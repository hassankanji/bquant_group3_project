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/>
  <mc:AlternateContent xmlns:mc="http://schemas.openxmlformats.org/markup-compatibility/2006">
    <mc:Choice Requires="x15">
      <x15ac:absPath xmlns:x15ac="http://schemas.microsoft.com/office/spreadsheetml/2010/11/ac" url="C:\Users\8234542\Downloads\"/>
    </mc:Choice>
  </mc:AlternateContent>
  <xr:revisionPtr revIDLastSave="0" documentId="8_{2C6D044C-75FA-42F3-9E42-2069FE9186F2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FRAs" sheetId="4" r:id="rId1"/>
    <sheet name="Sheet1" sheetId="1" r:id="rId2"/>
    <sheet name="Sheet2" sheetId="2" r:id="rId3"/>
    <sheet name="Sheet3" sheetId="3" r:id="rId4"/>
  </sheets>
  <externalReferences>
    <externalReference r:id="rId5"/>
    <externalReference r:id="rId6"/>
  </externalReferences>
  <definedNames>
    <definedName name="AMER">#REF!</definedName>
    <definedName name="AMER_Countries">#REF!</definedName>
    <definedName name="APAC">#REF!</definedName>
    <definedName name="APAC_Countries">#REF!</definedName>
    <definedName name="BoxPlot">"BoxPlot"</definedName>
    <definedName name="Bubble">"Bubble"</definedName>
    <definedName name="Button_ShowChart">#REF!</definedName>
    <definedName name="Candlestick">"Candlestick"</definedName>
    <definedName name="Chart">"Chart"</definedName>
    <definedName name="Chart_Show">#REF!,#REF!,#REF!,#REF!</definedName>
    <definedName name="ChartImage">"ChartImage"</definedName>
    <definedName name="ColumnRange">"ColumnRange"</definedName>
    <definedName name="Countries">#REF!,#REF!,#REF!</definedName>
    <definedName name="Dumbbell">"Dumbbell"</definedName>
    <definedName name="EMEA">#REF!</definedName>
    <definedName name="EMEA_Countries">#REF!</definedName>
    <definedName name="Heatmap">"Heatmap"</definedName>
    <definedName name="Histogram">"Histogram"</definedName>
    <definedName name="Map">"Map"</definedName>
    <definedName name="OHLC">"OHLC"</definedName>
    <definedName name="Output">[1]ENUM!$C$1:$C$10</definedName>
    <definedName name="PieChart">"PieChart"</definedName>
    <definedName name="Regions">#REF!</definedName>
    <definedName name="Scatter">"Scatter"</definedName>
    <definedName name="Schema">'[1]BView Example'!$C$57:$C$103</definedName>
    <definedName name="Series">"Series"</definedName>
    <definedName name="SpreadsheetBuilder_13" hidden="1">#REF!</definedName>
    <definedName name="SpreadsheetBuilder_14" hidden="1">#REF!</definedName>
    <definedName name="SpreadsheetBuilder_15" hidden="1">#REF!</definedName>
    <definedName name="SpreadsheetBuilder_16" hidden="1">#REF!</definedName>
    <definedName name="SpreadsheetBuilder_18" hidden="1">#REF!</definedName>
    <definedName name="SpreadsheetBuilder_19" hidden="1">#REF!</definedName>
    <definedName name="SpreadsheetBuilder_2" localSheetId="0" hidden="1">FRAs!$B$3:$C$12</definedName>
    <definedName name="SpreadsheetBuilder_20" hidden="1">#REF!</definedName>
    <definedName name="SpreadsheetBuilder_21" hidden="1">#REF!</definedName>
    <definedName name="SpreadsheetBuilder_22" hidden="1">#REF!</definedName>
    <definedName name="SpreadsheetBuilder_23" hidden="1">#REF!</definedName>
    <definedName name="SpreadsheetBuilder_28" hidden="1">'[2]Beta vs EM Basket'!#REF!</definedName>
    <definedName name="SpreadsheetBuilder_3" localSheetId="0" hidden="1">FRAs!$E$3:$F$12</definedName>
    <definedName name="SpreadsheetBuilder_4" localSheetId="0" hidden="1">FRAs!$H$3:$I$12</definedName>
    <definedName name="SpreadsheetBuilder_5" localSheetId="0" hidden="1">FRAs!$K$3:$L$12</definedName>
    <definedName name="SpreadsheetBuilder_5" hidden="1">#REF!</definedName>
    <definedName name="SpreadsheetBuilder_6" hidden="1">#REF!</definedName>
    <definedName name="SpreadsheetBuilder_7" hidden="1">#REF!</definedName>
    <definedName name="Stripe">"Stripe"</definedName>
    <definedName name="Table">"Table"</definedName>
    <definedName name="Table_Show">#REF!,#REF!,#REF!</definedName>
    <definedName name="TopAmer">#REF!</definedName>
    <definedName name="TopAPAC">#REF!</definedName>
    <definedName name="TopEMEA">#REF!</definedName>
    <definedName name="TreeMap">"TreeMap"</definedName>
    <definedName name="Waterfall">"Waterfall"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6" i="4" l="1"/>
  <c r="Z43" i="4"/>
  <c r="I6" i="4"/>
  <c r="AA41" i="4"/>
  <c r="AA45" i="4"/>
  <c r="F10" i="4"/>
  <c r="AA55" i="4"/>
  <c r="F12" i="4"/>
  <c r="Y42" i="4"/>
  <c r="AA42" i="4"/>
  <c r="L10" i="4"/>
  <c r="Z52" i="4"/>
  <c r="I9" i="4"/>
  <c r="Z44" i="4"/>
  <c r="AA44" i="4"/>
  <c r="L11" i="4"/>
  <c r="Y41" i="4"/>
  <c r="Y45" i="4"/>
  <c r="I11" i="4"/>
  <c r="Z45" i="4"/>
  <c r="Y46" i="4"/>
  <c r="C7" i="4"/>
  <c r="L12" i="4"/>
  <c r="Y47" i="4"/>
  <c r="Y44" i="4"/>
  <c r="I12" i="4"/>
  <c r="L9" i="4"/>
  <c r="Y49" i="4"/>
  <c r="C8" i="4"/>
  <c r="Z41" i="4"/>
  <c r="C12" i="4"/>
  <c r="F9" i="4"/>
  <c r="AA52" i="4"/>
  <c r="F11" i="4"/>
  <c r="Y52" i="4"/>
  <c r="C9" i="4"/>
  <c r="L5" i="4"/>
  <c r="Z42" i="4"/>
  <c r="F5" i="4"/>
  <c r="F8" i="4"/>
  <c r="AA49" i="4"/>
  <c r="Y48" i="4"/>
  <c r="Z49" i="4"/>
  <c r="I8" i="4"/>
  <c r="Y55" i="4"/>
  <c r="C10" i="4"/>
  <c r="Y43" i="4"/>
  <c r="C6" i="4"/>
  <c r="F6" i="4"/>
  <c r="AA43" i="4"/>
  <c r="C5" i="4"/>
  <c r="L7" i="4"/>
  <c r="I5" i="4"/>
  <c r="C11" i="4"/>
  <c r="L8" i="4"/>
  <c r="Z55" i="4"/>
  <c r="I10" i="4"/>
  <c r="F7" i="4"/>
  <c r="AA46" i="4"/>
  <c r="Z46" i="4"/>
  <c r="I7" i="4"/>
  <c r="AF1" i="4"/>
  <c r="AH1" i="4"/>
  <c r="AJ1" i="4"/>
  <c r="AL1" i="4"/>
  <c r="AN1" i="4"/>
  <c r="AP1" i="4"/>
  <c r="AR1" i="4"/>
  <c r="AT1" i="4"/>
  <c r="AV1" i="4"/>
  <c r="AX1" i="4"/>
  <c r="AZ1" i="4"/>
  <c r="BC1" i="4"/>
  <c r="BE1" i="4"/>
  <c r="BG1" i="4"/>
  <c r="BI1" i="4"/>
  <c r="BK1" i="4"/>
  <c r="BM1" i="4"/>
  <c r="BO1" i="4"/>
  <c r="BQ1" i="4"/>
  <c r="BS1" i="4"/>
  <c r="BU1" i="4"/>
  <c r="BW1" i="4"/>
  <c r="BZ1" i="4"/>
  <c r="CB1" i="4"/>
  <c r="CD1" i="4"/>
  <c r="CF1" i="4"/>
  <c r="CH1" i="4"/>
  <c r="CJ1" i="4"/>
  <c r="CL1" i="4"/>
  <c r="CN1" i="4"/>
  <c r="CP1" i="4"/>
  <c r="CR1" i="4"/>
  <c r="CT1" i="4"/>
  <c r="AI3" i="4"/>
  <c r="F3" i="4"/>
  <c r="L3" i="4"/>
  <c r="C3" i="4"/>
  <c r="I3" i="4"/>
  <c r="V3" i="4"/>
  <c r="W3" i="4"/>
  <c r="X3" i="4"/>
  <c r="AA3" i="4"/>
  <c r="AB3" i="4"/>
  <c r="AE3" i="4"/>
  <c r="AG3" i="4"/>
  <c r="AK3" i="4"/>
  <c r="AM3" i="4"/>
  <c r="AO3" i="4"/>
  <c r="AQ3" i="4"/>
  <c r="AS3" i="4"/>
  <c r="AU3" i="4"/>
  <c r="AW3" i="4"/>
  <c r="AY3" i="4"/>
  <c r="BB3" i="4"/>
  <c r="BD3" i="4"/>
  <c r="BF3" i="4"/>
  <c r="BH3" i="4"/>
  <c r="BJ3" i="4"/>
  <c r="BL3" i="4"/>
  <c r="BN3" i="4"/>
  <c r="BP3" i="4"/>
  <c r="BR3" i="4"/>
  <c r="BT3" i="4"/>
  <c r="BV3" i="4"/>
  <c r="BY3" i="4"/>
  <c r="CA3" i="4"/>
  <c r="CC3" i="4"/>
  <c r="CE3" i="4"/>
  <c r="CG3" i="4"/>
  <c r="CI3" i="4"/>
  <c r="CK3" i="4"/>
  <c r="CM3" i="4"/>
  <c r="CO3" i="4"/>
  <c r="CQ3" i="4"/>
  <c r="CS3" i="4"/>
  <c r="V4" i="4"/>
  <c r="W4" i="4"/>
  <c r="X4" i="4"/>
  <c r="AA4" i="4"/>
  <c r="AB4" i="4"/>
  <c r="V5" i="4"/>
  <c r="W5" i="4"/>
  <c r="X5" i="4"/>
  <c r="AA5" i="4"/>
  <c r="AB5" i="4"/>
  <c r="V6" i="4"/>
  <c r="W6" i="4"/>
  <c r="X6" i="4"/>
  <c r="AA6" i="4"/>
  <c r="AB6" i="4"/>
  <c r="V7" i="4"/>
  <c r="W7" i="4"/>
  <c r="X7" i="4"/>
  <c r="AA7" i="4"/>
  <c r="AB7" i="4"/>
  <c r="V8" i="4"/>
  <c r="W8" i="4"/>
  <c r="X8" i="4"/>
  <c r="AA8" i="4"/>
  <c r="AB8" i="4"/>
  <c r="V9" i="4"/>
  <c r="W9" i="4"/>
  <c r="X9" i="4"/>
  <c r="AA9" i="4"/>
  <c r="AB9" i="4"/>
  <c r="V10" i="4"/>
  <c r="W10" i="4"/>
  <c r="X10" i="4"/>
  <c r="AA10" i="4"/>
  <c r="AB10" i="4"/>
  <c r="V13" i="4"/>
  <c r="W13" i="4"/>
  <c r="X13" i="4"/>
  <c r="AA13" i="4"/>
  <c r="AB13" i="4"/>
  <c r="V14" i="4"/>
  <c r="W14" i="4"/>
  <c r="X14" i="4"/>
  <c r="AA14" i="4"/>
  <c r="AB14" i="4"/>
  <c r="V15" i="4"/>
  <c r="W15" i="4"/>
  <c r="X15" i="4"/>
  <c r="AA15" i="4"/>
  <c r="AB15" i="4"/>
  <c r="V16" i="4"/>
  <c r="W16" i="4"/>
  <c r="X16" i="4"/>
  <c r="AA16" i="4"/>
  <c r="AB16" i="4"/>
  <c r="V17" i="4"/>
  <c r="W17" i="4"/>
  <c r="X17" i="4"/>
  <c r="AA17" i="4"/>
  <c r="AB17" i="4"/>
  <c r="V18" i="4"/>
  <c r="W18" i="4"/>
  <c r="X18" i="4"/>
  <c r="AA18" i="4"/>
  <c r="AB18" i="4"/>
  <c r="V19" i="4"/>
  <c r="W19" i="4"/>
  <c r="X19" i="4"/>
  <c r="AA19" i="4"/>
  <c r="AB19" i="4"/>
  <c r="V20" i="4"/>
  <c r="W20" i="4"/>
  <c r="X20" i="4"/>
  <c r="AA20" i="4"/>
  <c r="AB20" i="4"/>
  <c r="V23" i="4"/>
  <c r="W23" i="4"/>
  <c r="X23" i="4"/>
  <c r="AA23" i="4"/>
  <c r="AB23" i="4"/>
  <c r="V24" i="4"/>
  <c r="W24" i="4"/>
  <c r="X24" i="4"/>
  <c r="AA24" i="4"/>
  <c r="AB24" i="4"/>
  <c r="V25" i="4"/>
  <c r="W25" i="4"/>
  <c r="X25" i="4"/>
  <c r="AA25" i="4"/>
  <c r="AB25" i="4"/>
  <c r="V26" i="4"/>
  <c r="W26" i="4"/>
  <c r="X26" i="4"/>
  <c r="AA26" i="4"/>
  <c r="AB26" i="4"/>
  <c r="V27" i="4"/>
  <c r="W27" i="4"/>
  <c r="X27" i="4"/>
  <c r="AA27" i="4"/>
  <c r="AB27" i="4"/>
  <c r="V28" i="4"/>
  <c r="W28" i="4"/>
  <c r="X28" i="4"/>
  <c r="AA28" i="4"/>
  <c r="AB28" i="4"/>
  <c r="V29" i="4"/>
  <c r="W29" i="4"/>
  <c r="X29" i="4"/>
  <c r="AA29" i="4"/>
  <c r="AB29" i="4"/>
  <c r="V30" i="4"/>
  <c r="W30" i="4"/>
  <c r="X30" i="4"/>
  <c r="AA30" i="4"/>
  <c r="AB30" i="4"/>
  <c r="Y40" i="4"/>
  <c r="Z40" i="4"/>
  <c r="AA40" i="4"/>
  <c r="AB40" i="4"/>
  <c r="AC40" i="4"/>
</calcChain>
</file>

<file path=xl/sharedStrings.xml><?xml version="1.0" encoding="utf-8"?>
<sst xmlns="http://schemas.openxmlformats.org/spreadsheetml/2006/main" count="147" uniqueCount="77">
  <si>
    <t>EA</t>
  </si>
  <si>
    <t>US</t>
  </si>
  <si>
    <t>15m</t>
  </si>
  <si>
    <t>14m</t>
  </si>
  <si>
    <t>13m</t>
  </si>
  <si>
    <t>12m</t>
  </si>
  <si>
    <t>11m</t>
  </si>
  <si>
    <t>10m</t>
  </si>
  <si>
    <t>9m</t>
  </si>
  <si>
    <t>8m</t>
  </si>
  <si>
    <t>7m</t>
  </si>
  <si>
    <t>6m</t>
  </si>
  <si>
    <t>5m</t>
  </si>
  <si>
    <t>4m</t>
  </si>
  <si>
    <t>3m</t>
  </si>
  <si>
    <t>2m</t>
  </si>
  <si>
    <t>1m</t>
  </si>
  <si>
    <t>Benchmark</t>
  </si>
  <si>
    <t>CZK</t>
  </si>
  <si>
    <t>HUF</t>
  </si>
  <si>
    <t>PLN</t>
  </si>
  <si>
    <t>21x24 FRA</t>
  </si>
  <si>
    <t>18x21 FRA</t>
  </si>
  <si>
    <t>15x18 FRA</t>
  </si>
  <si>
    <t>12x15 FRA</t>
  </si>
  <si>
    <t>9x12 FRA</t>
  </si>
  <si>
    <t>6x9 FRA</t>
  </si>
  <si>
    <t>3x6 FRA</t>
  </si>
  <si>
    <t>7d low</t>
  </si>
  <si>
    <t>7d high</t>
  </si>
  <si>
    <t>30d avg</t>
  </si>
  <si>
    <t>7d avg</t>
  </si>
  <si>
    <t>Now</t>
  </si>
  <si>
    <t>EUFR1I2 Curncy</t>
  </si>
  <si>
    <t>HFFR1I2 Curncy</t>
  </si>
  <si>
    <t>CKFR1I2 Curncy</t>
  </si>
  <si>
    <t>PZFR1I2 Curncy</t>
  </si>
  <si>
    <t>EUFR1F1I Curncy</t>
  </si>
  <si>
    <t>HFFR1F1I Curncy</t>
  </si>
  <si>
    <t>CKFR1F1I Curncy</t>
  </si>
  <si>
    <t>PZFR1F1I Curncy</t>
  </si>
  <si>
    <t>EUFR1C1F Curncy</t>
  </si>
  <si>
    <t>HFFR1C1F Curncy</t>
  </si>
  <si>
    <t>CKFR1C1F Curncy</t>
  </si>
  <si>
    <t>PZFR1C1F Curncy</t>
  </si>
  <si>
    <t>EUFR011C Curncy</t>
  </si>
  <si>
    <t>HFFR011C Curncy</t>
  </si>
  <si>
    <t>CKFR011C Curncy</t>
  </si>
  <si>
    <t>PZFR011C Curncy</t>
  </si>
  <si>
    <t>EUFR0I1 Curncy</t>
  </si>
  <si>
    <t>HFFR0I1 Curncy</t>
  </si>
  <si>
    <t>CKFR0I1 Curncy</t>
  </si>
  <si>
    <t>PZFR0I1 Curncy</t>
  </si>
  <si>
    <t>EUFR0FI Curncy</t>
  </si>
  <si>
    <t>HFFR0FI Curncy</t>
  </si>
  <si>
    <t>CKFR0FI Curncy</t>
  </si>
  <si>
    <t>PZFR0FI Curncy</t>
  </si>
  <si>
    <t>EUFR0CF Curncy</t>
  </si>
  <si>
    <t>HFFR0CF Curncy</t>
  </si>
  <si>
    <t>CKFR0CF Curncy</t>
  </si>
  <si>
    <t>PZFR0CF Curncy</t>
  </si>
  <si>
    <t>EURI3M Curncy</t>
  </si>
  <si>
    <t>HUFI3M Curncy</t>
  </si>
  <si>
    <t>CZKI3M Curncy</t>
  </si>
  <si>
    <t>PLNI3M Curncy</t>
  </si>
  <si>
    <t>3-month</t>
  </si>
  <si>
    <t>PX_LAST</t>
  </si>
  <si>
    <t>2x5 FRA</t>
  </si>
  <si>
    <t>1x4 FRA</t>
  </si>
  <si>
    <t>Bubor</t>
  </si>
  <si>
    <t>Policy</t>
  </si>
  <si>
    <t>Pribor</t>
  </si>
  <si>
    <t>Wibor</t>
  </si>
  <si>
    <t>Euro area</t>
  </si>
  <si>
    <t>Hungary</t>
  </si>
  <si>
    <t>Czech</t>
  </si>
  <si>
    <t>Poland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</si>
</sst>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1" fillId="0" borderId="0" xfId="1"/>
    <xf numFmtId="2" fontId="1" fillId="0" borderId="0" xfId="1" applyNumberFormat="1"/>
    <xf numFmtId="14" fontId="1" fillId="0" borderId="0" xfId="1" applyNumberFormat="1"/>
    <xf numFmtId="16" fontId="1" fillId="0" borderId="0" xfId="1" applyNumberFormat="1"/>
    <xf numFmtId="17" fontId="1" fillId="0" borderId="0" xfId="1" applyNumberFormat="1"/>
    <xf numFmtId="2" fontId="2" fillId="0" borderId="0" xfId="1" applyNumberFormat="1" applyFont="1"/>
    <xf numFmtId="0" fontId="2" fillId="0" borderId="0" xfId="1" applyFont="1"/>
  </cellXfs>
  <cellStyles count="2">
    <cellStyle name="Normal" xfId="0" builtinId="0"/>
    <cellStyle name="Normal 2" xfId="1" xr:uid="{EA6B510A-1E7D-4407-B8F4-2817821DEB59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Requesting Data...3877354166</v>
        <stp/>
        <stp>BDP|12722552897006612272</stp>
        <tr r="F5" s="4"/>
      </tp>
      <tp t="s">
        <v>#N/A Requesting Data...3792590911</v>
        <stp/>
        <stp>BDP|17660353887946006193</stp>
        <tr r="C8" s="4"/>
        <tr r="Y49" s="4"/>
      </tp>
      <tp t="s">
        <v>#N/A Requesting Data...1526039958</v>
        <stp/>
        <stp>BDP|17811398191873209557</stp>
        <tr r="I12" s="4"/>
      </tp>
      <tp t="e">
        <v>#N/A</v>
        <stp/>
        <stp>BDH|17011602995476038643</stp>
        <tr r="BJ3" s="4"/>
      </tp>
      <tp t="e">
        <v>#N/A</v>
        <stp/>
        <stp>BDH|17060201771333560920</stp>
        <tr r="CG3" s="4"/>
      </tp>
      <tp t="e">
        <v>#N/A</v>
        <stp/>
        <stp>BDH|12576286446059736369</stp>
        <tr r="AW3" s="4"/>
      </tp>
      <tp t="e">
        <v>#N/A</v>
        <stp/>
        <stp>BDH|12152626781181158397</stp>
        <tr r="AY3" s="4"/>
      </tp>
      <tp t="e">
        <v>#N/A</v>
        <stp/>
        <stp>BDH|12184454836989456369</stp>
        <tr r="BF3" s="4"/>
      </tp>
      <tp t="s">
        <v>#N/A Requesting Data...3280802599</v>
        <stp/>
        <stp>BDP|11146938873295876625</stp>
        <tr r="L6" s="4"/>
      </tp>
      <tp t="e">
        <v>#N/A</v>
        <stp/>
        <stp>BDH|15590196695505014468</stp>
        <tr r="BV3" s="4"/>
      </tp>
      <tp t="s">
        <v>#N/A Requesting Data...3651148173</v>
        <stp/>
        <stp>BDP|14174225164334956963</stp>
        <tr r="C9" s="4"/>
        <tr r="Y52" s="4"/>
      </tp>
      <tp t="s">
        <v>#N/A Requesting Data...2554035673</v>
        <stp/>
        <stp>BDP|12121743871846310965</stp>
        <tr r="I8" s="4"/>
        <tr r="Z49" s="4"/>
      </tp>
      <tp t="s">
        <v>#N/A Requesting Data...1914753996</v>
        <stp/>
        <stp>BDP|16236847637060473036</stp>
        <tr r="C12" s="4"/>
      </tp>
      <tp t="e">
        <v>#N/A</v>
        <stp/>
        <stp>BDH|12716477428818426193</stp>
        <tr r="CA3" s="4"/>
      </tp>
      <tp t="e">
        <v>#N/A</v>
        <stp/>
        <stp>BDH|11084573329983162852</stp>
        <tr r="BL3" s="4"/>
      </tp>
      <tp t="s">
        <v>#N/A Requesting Data...2528074230</v>
        <stp/>
        <stp>BDP|17104973652139978053</stp>
        <tr r="L9" s="4"/>
      </tp>
      <tp t="s">
        <v>#N/A Requesting Data...3749413968</v>
        <stp/>
        <stp>BDP|15185488438194916452</stp>
        <tr r="F11" s="4"/>
      </tp>
      <tp t="s">
        <v>#N/A Requesting Data...4234639785</v>
        <stp/>
        <stp>BDP|14878114274074668659</stp>
        <tr r="Z42" s="4"/>
      </tp>
      <tp t="s">
        <v>#N/A Requesting Data...1503232113</v>
        <stp/>
        <stp>BDP|10399547836683419508</stp>
        <tr r="I6" s="4"/>
        <tr r="Z43" s="4"/>
      </tp>
      <tp t="e">
        <v>#N/A</v>
        <stp/>
        <stp>BDH|10251322955320126611</stp>
        <tr r="AG3" s="4"/>
      </tp>
      <tp t="e">
        <v>#N/A</v>
        <stp/>
        <stp>BDH|18081795602899517674</stp>
        <tr r="AK3" s="4"/>
      </tp>
      <tp t="e">
        <v>#N/A</v>
        <stp/>
        <stp>BDH|16255715630836774557</stp>
        <tr r="BT3" s="4"/>
      </tp>
      <tp t="e">
        <v>#N/A</v>
        <stp/>
        <stp>BDH|17256913332054929828</stp>
        <tr r="AE3" s="4"/>
      </tp>
      <tp t="s">
        <v>#N/A Requesting Data...3486928000</v>
        <stp/>
        <stp>BDP|12246399546413367083</stp>
        <tr r="AA49" s="4"/>
        <tr r="F8" s="4"/>
      </tp>
      <tp t="s">
        <v>#N/A Requesting Data...1853592249</v>
        <stp/>
        <stp>BDP|18067975272058112991</stp>
        <tr r="Y44" s="4"/>
      </tp>
      <tp t="s">
        <v>#N/A Requesting Data...2423081721</v>
        <stp/>
        <stp>BDP|12439882530167513941</stp>
        <tr r="Y48" s="4"/>
      </tp>
      <tp t="s">
        <v>#N/A Requesting Data...4002979428</v>
        <stp/>
        <stp>BDP|17045509404247096242</stp>
        <tr r="Z41" s="4"/>
      </tp>
      <tp t="s">
        <v>#N/A Requesting Data...4209707525</v>
        <stp/>
        <stp>BDP|15734534779077758402</stp>
        <tr r="L5" s="4"/>
      </tp>
      <tp t="s">
        <v>#N/A Requesting Data...2380791487</v>
        <stp/>
        <stp>BDP|15768552520006204011</stp>
        <tr r="AA52" s="4"/>
        <tr r="F9" s="4"/>
      </tp>
      <tp t="s">
        <v>#N/A Requesting Data...2798200209</v>
        <stp/>
        <stp>BDP|12121491932955869466</stp>
        <tr r="C10" s="4"/>
        <tr r="Y55" s="4"/>
      </tp>
      <tp t="e">
        <v>#N/A</v>
        <stp/>
        <stp>BDH|10715351504907283098</stp>
        <tr r="BR3" s="4"/>
      </tp>
      <tp t="e">
        <v>#N/A</v>
        <stp/>
        <stp>BDH|15830138046972755794</stp>
        <tr r="AS3" s="4"/>
      </tp>
      <tp t="e">
        <v>#N/A</v>
        <stp/>
        <stp>BDH|10565751713060979388</stp>
        <tr r="CE3" s="4"/>
      </tp>
      <tp t="e">
        <v>#N/A</v>
        <stp/>
        <stp>BDH|16458525363560901053</stp>
        <tr r="AU3" s="4"/>
      </tp>
    </main>
    <main first="bloomberg.rtd">
      <tp t="e">
        <v>#N/A</v>
        <stp/>
        <stp>##V3_BFIELDINFOV12</stp>
        <stp>[book4]FRAs (2)!R3C9</stp>
        <stp>PX_LAST</stp>
        <tr r="I3" s="4"/>
      </tp>
      <tp t="e">
        <v>#N/A</v>
        <stp/>
        <stp>##V3_BFIELDINFOV12</stp>
        <stp>[book4]FRAs (2)!R3C6</stp>
        <stp>PX_LAST</stp>
        <tr r="F3" s="4"/>
      </tp>
      <tp t="e">
        <v>#N/A</v>
        <stp/>
        <stp>##V3_BFIELDINFOV12</stp>
        <stp>[book4]FRAs (2)!R3C3</stp>
        <stp>PX_LAST</stp>
        <tr r="C3" s="4"/>
      </tp>
    </main>
    <main first="bofaddin.rtdserver">
      <tp t="e">
        <v>#N/A</v>
        <stp/>
        <stp>BDH|9702100605955595159</stp>
        <tr r="AO3" s="4"/>
      </tp>
      <tp t="e">
        <v>#N/A</v>
        <stp/>
        <stp>BDH|9169180663933322185</stp>
        <tr r="BP3" s="4"/>
      </tp>
      <tp t="e">
        <v>#N/A</v>
        <stp/>
        <stp>BDH|8442795343850969729</stp>
        <tr r="BB3" s="4"/>
      </tp>
      <tp t="s">
        <v>#N/A Requesting Data...1015953783</v>
        <stp/>
        <stp>BDP|3175841520157328040</stp>
        <tr r="L8" s="4"/>
      </tp>
      <tp t="e">
        <v>#N/A</v>
        <stp/>
        <stp>BDH|3013233332819156576</stp>
        <tr r="CK3" s="4"/>
      </tp>
      <tp t="s">
        <v>#N/A Requesting Data...870778611</v>
        <stp/>
        <stp>BDP|9490516259342631435</stp>
        <tr r="AA45" s="4"/>
      </tp>
      <tp t="s">
        <v>#N/A Requesting Data...1598721492</v>
        <stp/>
        <stp>BDP|8190113440796637451</stp>
        <tr r="L10" s="4"/>
      </tp>
      <tp t="s">
        <v>#N/A Requesting Data...2073736767</v>
        <stp/>
        <stp>BDP|6252564772862379901</stp>
        <tr r="Y41" s="4"/>
      </tp>
      <tp t="e">
        <v>#N/A</v>
        <stp/>
        <stp>BDH|8108549539715124325</stp>
        <tr r="AI3" s="4"/>
      </tp>
      <tp t="s">
        <v>#N/A Requesting Data...1160107151</v>
        <stp/>
        <stp>BDP|4290365662801438812</stp>
        <tr r="Y47" s="4"/>
      </tp>
      <tp t="e">
        <v>#N/A</v>
        <stp/>
        <stp>BDH|5006881381635238983</stp>
        <tr r="CM3" s="4"/>
      </tp>
      <tp t="s">
        <v>#N/A Requesting Data...2544022889</v>
        <stp/>
        <stp>BDP|9736030345307858395</stp>
        <tr r="AA41" s="4"/>
      </tp>
      <tp t="s">
        <v>#N/A Requesting Data...752624929</v>
        <stp/>
        <stp>BDP|2592867629792761381</stp>
        <tr r="AA43" s="4"/>
        <tr r="F6" s="4"/>
      </tp>
      <tp t="e">
        <v>#N/A</v>
        <stp/>
        <stp>BDH|3616693682087776041</stp>
        <tr r="CQ3" s="4"/>
      </tp>
      <tp t="s">
        <v>#N/A Requesting Data...2963186445</v>
        <stp/>
        <stp>BDP|8542798244571883029</stp>
        <tr r="F12" s="4"/>
      </tp>
      <tp t="s">
        <v>#N/A Requesting Data...1671784507</v>
        <stp/>
        <stp>BDP|5339143286557166083</stp>
        <tr r="Y45" s="4"/>
      </tp>
      <tp t="s">
        <v>#N/A Requesting Data...3644307538</v>
        <stp/>
        <stp>BDP|8121294253481439521</stp>
        <tr r="I9" s="4"/>
        <tr r="Z52" s="4"/>
      </tp>
      <tp t="s">
        <v>#N/A Requesting Data...1111574376</v>
        <stp/>
        <stp>BDP|1535212870989136622</stp>
        <tr r="C6" s="4"/>
        <tr r="Y43" s="4"/>
      </tp>
      <tp t="s">
        <v>#N/A Requesting Data...3846327213</v>
        <stp/>
        <stp>BDP|2689330935506978031</stp>
        <tr r="AA46" s="4"/>
        <tr r="F7" s="4"/>
      </tp>
      <tp t="s">
        <v>#N/A Requesting Data...2204469368</v>
        <stp/>
        <stp>BDP|4638516523086954134</stp>
        <tr r="L12" s="4"/>
      </tp>
      <tp t="s">
        <v>#N/A Requesting Data...2022010318</v>
        <stp/>
        <stp>BDP|4788944269746288942</stp>
        <tr r="Z45" s="4"/>
      </tp>
      <tp t="s">
        <v>#N/A Requesting Data...3059843711</v>
        <stp/>
        <stp>BDP|3418574308376835414</stp>
        <tr r="C5" s="4"/>
      </tp>
      <tp t="e">
        <v>#N/A</v>
        <stp/>
        <stp>BDH|1258516770894749372</stp>
        <tr r="CI3" s="4"/>
      </tp>
      <tp t="e">
        <v>#N/A</v>
        <stp/>
        <stp>BDH|5459899088179971920</stp>
        <tr r="CC3" s="4"/>
      </tp>
      <tp t="e">
        <v>#N/A</v>
        <stp/>
        <stp>BDH|1652326617833506593</stp>
        <tr r="CO3" s="4"/>
      </tp>
      <tp t="s">
        <v>#N/A Requesting Data...1700022109</v>
        <stp/>
        <stp>BDP|8288255757652709875</stp>
        <tr r="AA42" s="4"/>
      </tp>
      <tp t="e">
        <v>#N/A</v>
        <stp/>
        <stp>BDH|4211095123607766718</stp>
        <tr r="AQ3" s="4"/>
      </tp>
      <tp t="s">
        <v>#N/A Requesting Data...2959724344</v>
        <stp/>
        <stp>BDP|4594834178024758956</stp>
        <tr r="C7" s="4"/>
        <tr r="Y46" s="4"/>
      </tp>
      <tp t="s">
        <v>#N/A Requesting Data...4287573979</v>
        <stp/>
        <stp>BDP|5288610201251400454</stp>
        <tr r="I11" s="4"/>
      </tp>
      <tp t="s">
        <v>#N/A Requesting Data...3702901590</v>
        <stp/>
        <stp>BDP|2418083028442129451</stp>
        <tr r="I10" s="4"/>
        <tr r="Z55" s="4"/>
      </tp>
      <tp t="s">
        <v>#N/A Requesting Data...3237555693</v>
        <stp/>
        <stp>BDP|1634023621744387088</stp>
        <tr r="I7" s="4"/>
        <tr r="Z46" s="4"/>
      </tp>
      <tp t="e">
        <v>#N/A</v>
        <stp/>
        <stp>BDH|2509288316277527195</stp>
        <tr r="CS3" s="4"/>
      </tp>
      <tp t="s">
        <v>#N/A Requesting Data...3229162165</v>
        <stp/>
        <stp>BDP|9304335892774208052</stp>
        <tr r="AA55" s="4"/>
        <tr r="F10" s="4"/>
      </tp>
      <tp t="s">
        <v>#N/A Requesting Data...2363103936</v>
        <stp/>
        <stp>BDP|7551129142074240677</stp>
        <tr r="AA44" s="4"/>
      </tp>
      <tp t="s">
        <v>#N/A Requesting Data...3706324380</v>
        <stp/>
        <stp>BDP|3313852158049682610</stp>
        <tr r="C11" s="4"/>
      </tp>
      <tp t="e">
        <v>#N/A</v>
        <stp/>
        <stp>BDH|6060691606419112817</stp>
        <tr r="BN3" s="4"/>
      </tp>
      <tp t="e">
        <v>#N/A</v>
        <stp/>
        <stp>BDH|2773730377530292301</stp>
        <tr r="BH3" s="4"/>
      </tp>
      <tp t="s">
        <v>#N/A Requesting Data...1193080339</v>
        <stp/>
        <stp>BDP|8832674409998721416</stp>
        <tr r="Y42" s="4"/>
      </tp>
      <tp t="s">
        <v>#N/A Requesting Data...2803172018</v>
        <stp/>
        <stp>BDP|4073115857876651478</stp>
        <tr r="L7" s="4"/>
      </tp>
      <tp t="s">
        <v>#N/A Requesting Data...3838789748</v>
        <stp/>
        <stp>BDP|7642314567587754651</stp>
        <tr r="Z44" s="4"/>
      </tp>
      <tp t="e">
        <v>#N/A</v>
        <stp/>
        <stp>BDH|2974388344646361049</stp>
        <tr r="BD3" s="4"/>
      </tp>
      <tp t="s">
        <v>#N/A Requesting Data...1697205245</v>
        <stp/>
        <stp>BDP|5934635524624078696</stp>
        <tr r="L11" s="4"/>
      </tp>
      <tp t="e">
        <v>#N/A</v>
        <stp/>
        <stp>BDH|9398928776846681262</stp>
        <tr r="BY3" s="4"/>
      </tp>
      <tp t="e">
        <v>#N/A</v>
        <stp/>
        <stp>BDH|541805786382197727</stp>
        <tr r="AM3" s="4"/>
      </tp>
      <tp t="s">
        <v>#N/A Requesting Data...2667231310</v>
        <stp/>
        <stp>BDP|908960555559356962</stp>
        <tr r="I5" s="4"/>
      </tp>
    </main>
    <main first="bloomberg.rtd">
      <tp t="e">
        <v>#N/A</v>
        <stp/>
        <stp>##V3_BFIELDINFOV12</stp>
        <stp>[book4]FRAs (2)!R3C12</stp>
        <stp>PX_LAST</stp>
        <tr r="L3" s="4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volatileDependencies" Target="volatileDependencies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Market implied rates Poland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FRAs!$V$2</c:f>
              <c:strCache>
                <c:ptCount val="1"/>
                <c:pt idx="0">
                  <c:v>Now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FRAs!$U$3:$U$10</c:f>
              <c:strCache>
                <c:ptCount val="8"/>
                <c:pt idx="0">
                  <c:v>Benchmark</c:v>
                </c:pt>
                <c:pt idx="1">
                  <c:v>3x6 FRA</c:v>
                </c:pt>
                <c:pt idx="2">
                  <c:v>6x9 FRA</c:v>
                </c:pt>
                <c:pt idx="3">
                  <c:v>9x12 FRA</c:v>
                </c:pt>
                <c:pt idx="4">
                  <c:v>12x15 FRA</c:v>
                </c:pt>
                <c:pt idx="5">
                  <c:v>15x18 FRA</c:v>
                </c:pt>
                <c:pt idx="6">
                  <c:v>18x21 FRA</c:v>
                </c:pt>
                <c:pt idx="7">
                  <c:v>21x24 FRA</c:v>
                </c:pt>
              </c:strCache>
            </c:strRef>
          </c:cat>
          <c:val>
            <c:numRef>
              <c:f>FRAs!$V$3:$V$10</c:f>
              <c:numCache>
                <c:formatCode>0.00</c:formatCode>
                <c:ptCount val="8"/>
                <c:pt idx="0" formatCode="General">
                  <c:v>3.8</c:v>
                </c:pt>
                <c:pt idx="1">
                  <c:v>3.8174999999999999</c:v>
                </c:pt>
                <c:pt idx="2">
                  <c:v>3.8325</c:v>
                </c:pt>
                <c:pt idx="3">
                  <c:v>3.8624999999999998</c:v>
                </c:pt>
                <c:pt idx="4" formatCode="General">
                  <c:v>3.8174999999999999</c:v>
                </c:pt>
                <c:pt idx="5" formatCode="General">
                  <c:v>3.8025000000000002</c:v>
                </c:pt>
                <c:pt idx="6" formatCode="General">
                  <c:v>3.7974999999999999</c:v>
                </c:pt>
                <c:pt idx="7" formatCode="General">
                  <c:v>3.8025000000000002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97-458E-BE9E-4239D6C83271}"/>
            </c:ext>
          </c:extLst>
        </c:ser>
        <c:ser>
          <c:idx val="1"/>
          <c:order val="1"/>
          <c:tx>
            <c:strRef>
              <c:f>FRAs!$W$2</c:f>
              <c:strCache>
                <c:ptCount val="1"/>
                <c:pt idx="0">
                  <c:v>7d avg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FRAs!$U$3:$U$10</c:f>
              <c:strCache>
                <c:ptCount val="8"/>
                <c:pt idx="0">
                  <c:v>Benchmark</c:v>
                </c:pt>
                <c:pt idx="1">
                  <c:v>3x6 FRA</c:v>
                </c:pt>
                <c:pt idx="2">
                  <c:v>6x9 FRA</c:v>
                </c:pt>
                <c:pt idx="3">
                  <c:v>9x12 FRA</c:v>
                </c:pt>
                <c:pt idx="4">
                  <c:v>12x15 FRA</c:v>
                </c:pt>
                <c:pt idx="5">
                  <c:v>15x18 FRA</c:v>
                </c:pt>
                <c:pt idx="6">
                  <c:v>18x21 FRA</c:v>
                </c:pt>
                <c:pt idx="7">
                  <c:v>21x24 FRA</c:v>
                </c:pt>
              </c:strCache>
            </c:strRef>
          </c:cat>
          <c:val>
            <c:numRef>
              <c:f>FRAs!$W$3:$W$10</c:f>
              <c:numCache>
                <c:formatCode>0.00</c:formatCode>
                <c:ptCount val="8"/>
                <c:pt idx="0" formatCode="General">
                  <c:v>3.75</c:v>
                </c:pt>
                <c:pt idx="1">
                  <c:v>3.8478571428571429</c:v>
                </c:pt>
                <c:pt idx="2">
                  <c:v>3.910714285714286</c:v>
                </c:pt>
                <c:pt idx="3">
                  <c:v>3.9746428571428574</c:v>
                </c:pt>
                <c:pt idx="4">
                  <c:v>3.9714285714285715</c:v>
                </c:pt>
                <c:pt idx="5">
                  <c:v>3.9575</c:v>
                </c:pt>
                <c:pt idx="6" formatCode="General">
                  <c:v>3.9482142857142861</c:v>
                </c:pt>
                <c:pt idx="7" formatCode="General">
                  <c:v>3.9453571428571435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397-458E-BE9E-4239D6C83271}"/>
            </c:ext>
          </c:extLst>
        </c:ser>
        <c:ser>
          <c:idx val="2"/>
          <c:order val="2"/>
          <c:tx>
            <c:strRef>
              <c:f>FRAs!$X$2</c:f>
              <c:strCache>
                <c:ptCount val="1"/>
                <c:pt idx="0">
                  <c:v>30d avg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FRAs!$U$3:$U$10</c:f>
              <c:strCache>
                <c:ptCount val="8"/>
                <c:pt idx="0">
                  <c:v>Benchmark</c:v>
                </c:pt>
                <c:pt idx="1">
                  <c:v>3x6 FRA</c:v>
                </c:pt>
                <c:pt idx="2">
                  <c:v>6x9 FRA</c:v>
                </c:pt>
                <c:pt idx="3">
                  <c:v>9x12 FRA</c:v>
                </c:pt>
                <c:pt idx="4">
                  <c:v>12x15 FRA</c:v>
                </c:pt>
                <c:pt idx="5">
                  <c:v>15x18 FRA</c:v>
                </c:pt>
                <c:pt idx="6">
                  <c:v>18x21 FRA</c:v>
                </c:pt>
                <c:pt idx="7">
                  <c:v>21x24 FRA</c:v>
                </c:pt>
              </c:strCache>
            </c:strRef>
          </c:cat>
          <c:val>
            <c:numRef>
              <c:f>FRAs!$X$3:$X$10</c:f>
              <c:numCache>
                <c:formatCode>0.00</c:formatCode>
                <c:ptCount val="8"/>
                <c:pt idx="0" formatCode="General">
                  <c:v>3.75</c:v>
                </c:pt>
                <c:pt idx="1">
                  <c:v>3.9318913043478263</c:v>
                </c:pt>
                <c:pt idx="2">
                  <c:v>4.1015217391304342</c:v>
                </c:pt>
                <c:pt idx="3">
                  <c:v>4.2457086956521737</c:v>
                </c:pt>
                <c:pt idx="4">
                  <c:v>4.250108695652175</c:v>
                </c:pt>
                <c:pt idx="5">
                  <c:v>4.2310869565217386</c:v>
                </c:pt>
                <c:pt idx="6" formatCode="General">
                  <c:v>4.2132608695652181</c:v>
                </c:pt>
                <c:pt idx="7" formatCode="General">
                  <c:v>4.1985869565217397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397-458E-BE9E-4239D6C83271}"/>
            </c:ext>
          </c:extLst>
        </c:ser>
        <c:ser>
          <c:idx val="3"/>
          <c:order val="3"/>
          <c:tx>
            <c:strRef>
              <c:f>FRAs!$Y$2</c:f>
              <c:strCache>
                <c:ptCount val="1"/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FRAs!$U$3:$U$10</c:f>
              <c:strCache>
                <c:ptCount val="8"/>
                <c:pt idx="0">
                  <c:v>Benchmark</c:v>
                </c:pt>
                <c:pt idx="1">
                  <c:v>3x6 FRA</c:v>
                </c:pt>
                <c:pt idx="2">
                  <c:v>6x9 FRA</c:v>
                </c:pt>
                <c:pt idx="3">
                  <c:v>9x12 FRA</c:v>
                </c:pt>
                <c:pt idx="4">
                  <c:v>12x15 FRA</c:v>
                </c:pt>
                <c:pt idx="5">
                  <c:v>15x18 FRA</c:v>
                </c:pt>
                <c:pt idx="6">
                  <c:v>18x21 FRA</c:v>
                </c:pt>
                <c:pt idx="7">
                  <c:v>21x24 FRA</c:v>
                </c:pt>
              </c:strCache>
            </c:strRef>
          </c:cat>
          <c:val>
            <c:numRef>
              <c:f>FRAs!$Y$3:$Y$10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397-458E-BE9E-4239D6C832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1644608"/>
        <c:axId val="2098230735"/>
      </c:lineChart>
      <c:catAx>
        <c:axId val="1131644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8230735"/>
        <c:crosses val="autoZero"/>
        <c:auto val="1"/>
        <c:lblAlgn val="ctr"/>
        <c:lblOffset val="100"/>
        <c:noMultiLvlLbl val="0"/>
      </c:catAx>
      <c:valAx>
        <c:axId val="2098230735"/>
        <c:scaling>
          <c:orientation val="minMax"/>
          <c:min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1644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Market implied rates</a:t>
            </a:r>
            <a:r>
              <a:rPr lang="en-GB" baseline="0"/>
              <a:t> Czech over time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>
        <c:manualLayout>
          <c:layoutTarget val="inner"/>
          <c:xMode val="edge"/>
          <c:yMode val="edge"/>
          <c:x val="5.4801183667559546E-2"/>
          <c:y val="1.2994675080030283E-2"/>
          <c:w val="0.94368660624811862"/>
          <c:h val="0.80324491502184814"/>
        </c:manualLayout>
      </c:layout>
      <c:lineChart>
        <c:grouping val="standard"/>
        <c:varyColors val="0"/>
        <c:ser>
          <c:idx val="0"/>
          <c:order val="0"/>
          <c:tx>
            <c:strRef>
              <c:f>FRAs!$V$12</c:f>
              <c:strCache>
                <c:ptCount val="1"/>
                <c:pt idx="0">
                  <c:v>Now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FRAs!$U$13:$U$20</c:f>
              <c:strCache>
                <c:ptCount val="8"/>
                <c:pt idx="0">
                  <c:v>Benchmark</c:v>
                </c:pt>
                <c:pt idx="1">
                  <c:v>3x6 FRA</c:v>
                </c:pt>
                <c:pt idx="2">
                  <c:v>6x9 FRA</c:v>
                </c:pt>
                <c:pt idx="3">
                  <c:v>9x12 FRA</c:v>
                </c:pt>
                <c:pt idx="4">
                  <c:v>12x15 FRA</c:v>
                </c:pt>
                <c:pt idx="5">
                  <c:v>15x18 FRA</c:v>
                </c:pt>
                <c:pt idx="6">
                  <c:v>18x21 FRA</c:v>
                </c:pt>
                <c:pt idx="7">
                  <c:v>21x24 FRA</c:v>
                </c:pt>
              </c:strCache>
            </c:strRef>
          </c:cat>
          <c:val>
            <c:numRef>
              <c:f>FRAs!$V$13:$V$20</c:f>
              <c:numCache>
                <c:formatCode>General</c:formatCode>
                <c:ptCount val="8"/>
                <c:pt idx="0">
                  <c:v>3.7850000000000001</c:v>
                </c:pt>
                <c:pt idx="1">
                  <c:v>3.948</c:v>
                </c:pt>
                <c:pt idx="2">
                  <c:v>4.0199999999999996</c:v>
                </c:pt>
                <c:pt idx="3">
                  <c:v>4.03</c:v>
                </c:pt>
                <c:pt idx="4">
                  <c:v>4.01</c:v>
                </c:pt>
                <c:pt idx="5">
                  <c:v>4.0030000000000001</c:v>
                </c:pt>
                <c:pt idx="6">
                  <c:v>3.9929999999999999</c:v>
                </c:pt>
                <c:pt idx="7">
                  <c:v>3.99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428-47AB-896F-A20B0293CCC3}"/>
            </c:ext>
          </c:extLst>
        </c:ser>
        <c:ser>
          <c:idx val="1"/>
          <c:order val="1"/>
          <c:tx>
            <c:strRef>
              <c:f>FRAs!$W$12</c:f>
              <c:strCache>
                <c:ptCount val="1"/>
                <c:pt idx="0">
                  <c:v>7d avg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FRAs!$U$13:$U$20</c:f>
              <c:strCache>
                <c:ptCount val="8"/>
                <c:pt idx="0">
                  <c:v>Benchmark</c:v>
                </c:pt>
                <c:pt idx="1">
                  <c:v>3x6 FRA</c:v>
                </c:pt>
                <c:pt idx="2">
                  <c:v>6x9 FRA</c:v>
                </c:pt>
                <c:pt idx="3">
                  <c:v>9x12 FRA</c:v>
                </c:pt>
                <c:pt idx="4">
                  <c:v>12x15 FRA</c:v>
                </c:pt>
                <c:pt idx="5">
                  <c:v>15x18 FRA</c:v>
                </c:pt>
                <c:pt idx="6">
                  <c:v>18x21 FRA</c:v>
                </c:pt>
                <c:pt idx="7">
                  <c:v>21x24 FRA</c:v>
                </c:pt>
              </c:strCache>
            </c:strRef>
          </c:cat>
          <c:val>
            <c:numRef>
              <c:f>FRAs!$W$13:$W$20</c:f>
              <c:numCache>
                <c:formatCode>General</c:formatCode>
                <c:ptCount val="8"/>
                <c:pt idx="0">
                  <c:v>3.75</c:v>
                </c:pt>
                <c:pt idx="1">
                  <c:v>3.9670000000000001</c:v>
                </c:pt>
                <c:pt idx="2">
                  <c:v>4.0639999999999992</c:v>
                </c:pt>
                <c:pt idx="3">
                  <c:v>4.1041428571428566</c:v>
                </c:pt>
                <c:pt idx="4">
                  <c:v>4.0919999999999996</c:v>
                </c:pt>
                <c:pt idx="5">
                  <c:v>4.0878571428571417</c:v>
                </c:pt>
                <c:pt idx="6">
                  <c:v>4.0834285714285707</c:v>
                </c:pt>
                <c:pt idx="7">
                  <c:v>4.0830000000000002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428-47AB-896F-A20B0293CCC3}"/>
            </c:ext>
          </c:extLst>
        </c:ser>
        <c:ser>
          <c:idx val="2"/>
          <c:order val="2"/>
          <c:tx>
            <c:strRef>
              <c:f>FRAs!$X$12</c:f>
              <c:strCache>
                <c:ptCount val="1"/>
                <c:pt idx="0">
                  <c:v>30d avg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FRAs!$U$13:$U$20</c:f>
              <c:strCache>
                <c:ptCount val="8"/>
                <c:pt idx="0">
                  <c:v>Benchmark</c:v>
                </c:pt>
                <c:pt idx="1">
                  <c:v>3x6 FRA</c:v>
                </c:pt>
                <c:pt idx="2">
                  <c:v>6x9 FRA</c:v>
                </c:pt>
                <c:pt idx="3">
                  <c:v>9x12 FRA</c:v>
                </c:pt>
                <c:pt idx="4">
                  <c:v>12x15 FRA</c:v>
                </c:pt>
                <c:pt idx="5">
                  <c:v>15x18 FRA</c:v>
                </c:pt>
                <c:pt idx="6">
                  <c:v>18x21 FRA</c:v>
                </c:pt>
                <c:pt idx="7">
                  <c:v>21x24 FRA</c:v>
                </c:pt>
              </c:strCache>
            </c:strRef>
          </c:cat>
          <c:val>
            <c:numRef>
              <c:f>FRAs!$X$13:$X$20</c:f>
              <c:numCache>
                <c:formatCode>General</c:formatCode>
                <c:ptCount val="8"/>
                <c:pt idx="0">
                  <c:v>3.5652173913043477</c:v>
                </c:pt>
                <c:pt idx="1">
                  <c:v>3.9315217391304347</c:v>
                </c:pt>
                <c:pt idx="2">
                  <c:v>4.1347391304347818</c:v>
                </c:pt>
                <c:pt idx="3">
                  <c:v>4.2383043478260873</c:v>
                </c:pt>
                <c:pt idx="4">
                  <c:v>4.259608695652175</c:v>
                </c:pt>
                <c:pt idx="5">
                  <c:v>4.260478260869565</c:v>
                </c:pt>
                <c:pt idx="6">
                  <c:v>4.25995652173913</c:v>
                </c:pt>
                <c:pt idx="7">
                  <c:v>4.2600869565217394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A428-47AB-896F-A20B0293CC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98323007"/>
        <c:axId val="1221369312"/>
        <c:extLst/>
      </c:lineChart>
      <c:catAx>
        <c:axId val="13983230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1369312"/>
        <c:crosses val="autoZero"/>
        <c:auto val="1"/>
        <c:lblAlgn val="ctr"/>
        <c:lblOffset val="100"/>
        <c:noMultiLvlLbl val="0"/>
      </c:catAx>
      <c:valAx>
        <c:axId val="1221369312"/>
        <c:scaling>
          <c:orientation val="minMax"/>
          <c:min val="3.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83230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Market implied rates Hungary</a:t>
            </a:r>
            <a:r>
              <a:rPr lang="en-GB" baseline="0"/>
              <a:t> over time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FRAs!$V$22</c:f>
              <c:strCache>
                <c:ptCount val="1"/>
                <c:pt idx="0">
                  <c:v>Now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FRAs!$U$23:$U$30</c:f>
              <c:strCache>
                <c:ptCount val="8"/>
                <c:pt idx="0">
                  <c:v>Benchmark</c:v>
                </c:pt>
                <c:pt idx="1">
                  <c:v>3x6 FRA</c:v>
                </c:pt>
                <c:pt idx="2">
                  <c:v>6x9 FRA</c:v>
                </c:pt>
                <c:pt idx="3">
                  <c:v>9x12 FRA</c:v>
                </c:pt>
                <c:pt idx="4">
                  <c:v>12x15 FRA</c:v>
                </c:pt>
                <c:pt idx="5">
                  <c:v>15x18 FRA</c:v>
                </c:pt>
                <c:pt idx="6">
                  <c:v>18x21 FRA</c:v>
                </c:pt>
                <c:pt idx="7">
                  <c:v>21x24 FRA</c:v>
                </c:pt>
              </c:strCache>
            </c:strRef>
          </c:cat>
          <c:val>
            <c:numRef>
              <c:f>FRAs!$V$23:$V$30</c:f>
              <c:numCache>
                <c:formatCode>General</c:formatCode>
                <c:ptCount val="8"/>
                <c:pt idx="0">
                  <c:v>5.8599999999999994</c:v>
                </c:pt>
                <c:pt idx="1">
                  <c:v>5.24</c:v>
                </c:pt>
                <c:pt idx="2">
                  <c:v>4.99</c:v>
                </c:pt>
                <c:pt idx="3">
                  <c:v>4.84</c:v>
                </c:pt>
                <c:pt idx="4">
                  <c:v>4.75</c:v>
                </c:pt>
                <c:pt idx="5">
                  <c:v>4.72</c:v>
                </c:pt>
                <c:pt idx="6">
                  <c:v>4.6900000000000004</c:v>
                </c:pt>
                <c:pt idx="7">
                  <c:v>4.66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87-4138-959A-723D44707240}"/>
            </c:ext>
          </c:extLst>
        </c:ser>
        <c:ser>
          <c:idx val="1"/>
          <c:order val="1"/>
          <c:tx>
            <c:strRef>
              <c:f>FRAs!$W$22</c:f>
              <c:strCache>
                <c:ptCount val="1"/>
                <c:pt idx="0">
                  <c:v>7d avg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FRAs!$U$23:$U$30</c:f>
              <c:strCache>
                <c:ptCount val="8"/>
                <c:pt idx="0">
                  <c:v>Benchmark</c:v>
                </c:pt>
                <c:pt idx="1">
                  <c:v>3x6 FRA</c:v>
                </c:pt>
                <c:pt idx="2">
                  <c:v>6x9 FRA</c:v>
                </c:pt>
                <c:pt idx="3">
                  <c:v>9x12 FRA</c:v>
                </c:pt>
                <c:pt idx="4">
                  <c:v>12x15 FRA</c:v>
                </c:pt>
                <c:pt idx="5">
                  <c:v>15x18 FRA</c:v>
                </c:pt>
                <c:pt idx="6">
                  <c:v>18x21 FRA</c:v>
                </c:pt>
                <c:pt idx="7">
                  <c:v>21x24 FRA</c:v>
                </c:pt>
              </c:strCache>
            </c:strRef>
          </c:cat>
          <c:val>
            <c:numRef>
              <c:f>FRAs!$W$23:$W$30</c:f>
              <c:numCache>
                <c:formatCode>General</c:formatCode>
                <c:ptCount val="8"/>
                <c:pt idx="0">
                  <c:v>6.1428571428571432</c:v>
                </c:pt>
                <c:pt idx="1">
                  <c:v>5.3414285714285725</c:v>
                </c:pt>
                <c:pt idx="2">
                  <c:v>5.088571428571429</c:v>
                </c:pt>
                <c:pt idx="3">
                  <c:v>4.944285714285714</c:v>
                </c:pt>
                <c:pt idx="4">
                  <c:v>4.8428571428571434</c:v>
                </c:pt>
                <c:pt idx="5">
                  <c:v>4.8021428571428562</c:v>
                </c:pt>
                <c:pt idx="6">
                  <c:v>4.7642857142857142</c:v>
                </c:pt>
                <c:pt idx="7">
                  <c:v>4.7271428571428578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A87-4138-959A-723D44707240}"/>
            </c:ext>
          </c:extLst>
        </c:ser>
        <c:ser>
          <c:idx val="2"/>
          <c:order val="2"/>
          <c:tx>
            <c:strRef>
              <c:f>FRAs!$X$22</c:f>
              <c:strCache>
                <c:ptCount val="1"/>
                <c:pt idx="0">
                  <c:v>30d avg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FRAs!$U$23:$U$30</c:f>
              <c:strCache>
                <c:ptCount val="8"/>
                <c:pt idx="0">
                  <c:v>Benchmark</c:v>
                </c:pt>
                <c:pt idx="1">
                  <c:v>3x6 FRA</c:v>
                </c:pt>
                <c:pt idx="2">
                  <c:v>6x9 FRA</c:v>
                </c:pt>
                <c:pt idx="3">
                  <c:v>9x12 FRA</c:v>
                </c:pt>
                <c:pt idx="4">
                  <c:v>12x15 FRA</c:v>
                </c:pt>
                <c:pt idx="5">
                  <c:v>15x18 FRA</c:v>
                </c:pt>
                <c:pt idx="6">
                  <c:v>18x21 FRA</c:v>
                </c:pt>
                <c:pt idx="7">
                  <c:v>21x24 FRA</c:v>
                </c:pt>
              </c:strCache>
            </c:strRef>
          </c:cat>
          <c:val>
            <c:numRef>
              <c:f>FRAs!$X$23:$X$30</c:f>
              <c:numCache>
                <c:formatCode>General</c:formatCode>
                <c:ptCount val="8"/>
                <c:pt idx="0">
                  <c:v>6.2173913043478262</c:v>
                </c:pt>
                <c:pt idx="1">
                  <c:v>5.4891304347826084</c:v>
                </c:pt>
                <c:pt idx="2">
                  <c:v>5.2578260869565216</c:v>
                </c:pt>
                <c:pt idx="3">
                  <c:v>5.0999999999999996</c:v>
                </c:pt>
                <c:pt idx="4">
                  <c:v>4.9965217391304346</c:v>
                </c:pt>
                <c:pt idx="5">
                  <c:v>4.961086956521739</c:v>
                </c:pt>
                <c:pt idx="6">
                  <c:v>4.9295652173913052</c:v>
                </c:pt>
                <c:pt idx="7">
                  <c:v>4.8954347826086959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A87-4138-959A-723D447072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87605039"/>
        <c:axId val="1221411072"/>
      </c:lineChart>
      <c:catAx>
        <c:axId val="1087605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1411072"/>
        <c:crosses val="autoZero"/>
        <c:auto val="1"/>
        <c:lblAlgn val="ctr"/>
        <c:lblOffset val="100"/>
        <c:noMultiLvlLbl val="0"/>
      </c:catAx>
      <c:valAx>
        <c:axId val="1221411072"/>
        <c:scaling>
          <c:orientation val="minMax"/>
          <c:min val="4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7605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Range</a:t>
            </a:r>
            <a:r>
              <a:rPr lang="en-GB" baseline="0"/>
              <a:t> of </a:t>
            </a:r>
            <a:r>
              <a:rPr lang="en-GB"/>
              <a:t>market pricing (shaded)</a:t>
            </a:r>
            <a:r>
              <a:rPr lang="en-GB" baseline="0"/>
              <a:t> </a:t>
            </a:r>
            <a:r>
              <a:rPr lang="en-GB"/>
              <a:t>versus currently (line) </a:t>
            </a:r>
            <a:r>
              <a:rPr lang="en-GB">
                <a:solidFill>
                  <a:srgbClr val="FF0000"/>
                </a:solidFill>
              </a:rPr>
              <a:t>, x</a:t>
            </a:r>
            <a:r>
              <a:rPr lang="en-GB" baseline="0">
                <a:solidFill>
                  <a:srgbClr val="FF0000"/>
                </a:solidFill>
              </a:rPr>
              <a:t> day</a:t>
            </a:r>
            <a:r>
              <a:rPr lang="en-GB">
                <a:solidFill>
                  <a:srgbClr val="FF0000"/>
                </a:solidFill>
              </a:rPr>
              <a:t> avg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ndard"/>
        <c:varyColors val="0"/>
        <c:ser>
          <c:idx val="11"/>
          <c:order val="0"/>
          <c:tx>
            <c:v>maxhuf</c:v>
          </c:tx>
          <c:spPr>
            <a:solidFill>
              <a:schemeClr val="accent6">
                <a:lumMod val="20000"/>
                <a:lumOff val="80000"/>
              </a:schemeClr>
            </a:solidFill>
            <a:ln>
              <a:noFill/>
            </a:ln>
            <a:effectLst/>
          </c:spPr>
          <c:val>
            <c:numRef>
              <c:f>FRAs!$AA$23:$AA$30</c:f>
              <c:numCache>
                <c:formatCode>General</c:formatCode>
                <c:ptCount val="8"/>
                <c:pt idx="0">
                  <c:v>6.12</c:v>
                </c:pt>
                <c:pt idx="1">
                  <c:v>5.66</c:v>
                </c:pt>
                <c:pt idx="2">
                  <c:v>5.51</c:v>
                </c:pt>
                <c:pt idx="3">
                  <c:v>5.4</c:v>
                </c:pt>
                <c:pt idx="4">
                  <c:v>5.31</c:v>
                </c:pt>
                <c:pt idx="5">
                  <c:v>5.28</c:v>
                </c:pt>
                <c:pt idx="6">
                  <c:v>5.25</c:v>
                </c:pt>
                <c:pt idx="7">
                  <c:v>5.2149999999999999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92-4663-AD39-298BE9A69216}"/>
            </c:ext>
          </c:extLst>
        </c:ser>
        <c:ser>
          <c:idx val="12"/>
          <c:order val="1"/>
          <c:tx>
            <c:v>minhuf</c:v>
          </c:tx>
          <c:spPr>
            <a:solidFill>
              <a:schemeClr val="bg1"/>
            </a:solidFill>
            <a:ln>
              <a:noFill/>
            </a:ln>
            <a:effectLst/>
          </c:spPr>
          <c:val>
            <c:numRef>
              <c:f>FRAs!$AB$23:$AB$30</c:f>
              <c:numCache>
                <c:formatCode>General</c:formatCode>
                <c:ptCount val="8"/>
                <c:pt idx="0">
                  <c:v>6</c:v>
                </c:pt>
                <c:pt idx="1">
                  <c:v>5.24</c:v>
                </c:pt>
                <c:pt idx="2">
                  <c:v>4.99</c:v>
                </c:pt>
                <c:pt idx="3">
                  <c:v>4.83</c:v>
                </c:pt>
                <c:pt idx="4">
                  <c:v>4.74</c:v>
                </c:pt>
                <c:pt idx="5">
                  <c:v>4.7</c:v>
                </c:pt>
                <c:pt idx="6">
                  <c:v>4.66</c:v>
                </c:pt>
                <c:pt idx="7">
                  <c:v>4.62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E92-4663-AD39-298BE9A69216}"/>
            </c:ext>
          </c:extLst>
        </c:ser>
        <c:ser>
          <c:idx val="5"/>
          <c:order val="7"/>
          <c:tx>
            <c:strRef>
              <c:f>FRAs!$AA$2</c:f>
              <c:strCache>
                <c:ptCount val="1"/>
                <c:pt idx="0">
                  <c:v>7d high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  <a:ln>
              <a:noFill/>
            </a:ln>
            <a:effectLst/>
          </c:spPr>
          <c:cat>
            <c:strRef>
              <c:f>FRAs!$U$3:$U$10</c:f>
              <c:strCache>
                <c:ptCount val="8"/>
                <c:pt idx="0">
                  <c:v>Benchmark</c:v>
                </c:pt>
                <c:pt idx="1">
                  <c:v>3x6 FRA</c:v>
                </c:pt>
                <c:pt idx="2">
                  <c:v>6x9 FRA</c:v>
                </c:pt>
                <c:pt idx="3">
                  <c:v>9x12 FRA</c:v>
                </c:pt>
                <c:pt idx="4">
                  <c:v>12x15 FRA</c:v>
                </c:pt>
                <c:pt idx="5">
                  <c:v>15x18 FRA</c:v>
                </c:pt>
                <c:pt idx="6">
                  <c:v>18x21 FRA</c:v>
                </c:pt>
                <c:pt idx="7">
                  <c:v>21x24 FRA</c:v>
                </c:pt>
              </c:strCache>
            </c:strRef>
          </c:cat>
          <c:val>
            <c:numRef>
              <c:f>FRAs!$AA$3:$AA$10</c:f>
              <c:numCache>
                <c:formatCode>0.00</c:formatCode>
                <c:ptCount val="8"/>
                <c:pt idx="0" formatCode="General">
                  <c:v>3.8149999999999999</c:v>
                </c:pt>
                <c:pt idx="1">
                  <c:v>4.085</c:v>
                </c:pt>
                <c:pt idx="2">
                  <c:v>4.3949999999999996</c:v>
                </c:pt>
                <c:pt idx="3">
                  <c:v>4.6449999999999996</c:v>
                </c:pt>
                <c:pt idx="4">
                  <c:v>4.6574999999999998</c:v>
                </c:pt>
                <c:pt idx="5">
                  <c:v>4.6349999999999998</c:v>
                </c:pt>
                <c:pt idx="6">
                  <c:v>4.6100000000000003</c:v>
                </c:pt>
                <c:pt idx="7">
                  <c:v>4.5824999999999996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E92-4663-AD39-298BE9A69216}"/>
            </c:ext>
          </c:extLst>
        </c:ser>
        <c:ser>
          <c:idx val="6"/>
          <c:order val="8"/>
          <c:tx>
            <c:strRef>
              <c:f>FRAs!$AB$2</c:f>
              <c:strCache>
                <c:ptCount val="1"/>
                <c:pt idx="0">
                  <c:v>7d low</c:v>
                </c:pt>
              </c:strCache>
            </c:strRef>
          </c:tx>
          <c:spPr>
            <a:solidFill>
              <a:schemeClr val="bg1"/>
            </a:solidFill>
            <a:ln>
              <a:solidFill>
                <a:schemeClr val="bg1">
                  <a:alpha val="0"/>
                </a:schemeClr>
              </a:solidFill>
            </a:ln>
            <a:effectLst/>
          </c:spPr>
          <c:cat>
            <c:strRef>
              <c:f>FRAs!$U$3:$U$10</c:f>
              <c:strCache>
                <c:ptCount val="8"/>
                <c:pt idx="0">
                  <c:v>Benchmark</c:v>
                </c:pt>
                <c:pt idx="1">
                  <c:v>3x6 FRA</c:v>
                </c:pt>
                <c:pt idx="2">
                  <c:v>6x9 FRA</c:v>
                </c:pt>
                <c:pt idx="3">
                  <c:v>9x12 FRA</c:v>
                </c:pt>
                <c:pt idx="4">
                  <c:v>12x15 FRA</c:v>
                </c:pt>
                <c:pt idx="5">
                  <c:v>15x18 FRA</c:v>
                </c:pt>
                <c:pt idx="6">
                  <c:v>18x21 FRA</c:v>
                </c:pt>
                <c:pt idx="7">
                  <c:v>21x24 FRA</c:v>
                </c:pt>
              </c:strCache>
            </c:strRef>
          </c:cat>
          <c:val>
            <c:numRef>
              <c:f>FRAs!$AB$3:$AB$10</c:f>
              <c:numCache>
                <c:formatCode>0.00</c:formatCode>
                <c:ptCount val="8"/>
                <c:pt idx="0" formatCode="General">
                  <c:v>3.79</c:v>
                </c:pt>
                <c:pt idx="1">
                  <c:v>3.8174999999999999</c:v>
                </c:pt>
                <c:pt idx="2">
                  <c:v>3.8325</c:v>
                </c:pt>
                <c:pt idx="3">
                  <c:v>3.8624999999999998</c:v>
                </c:pt>
                <c:pt idx="4">
                  <c:v>3.8174999999999999</c:v>
                </c:pt>
                <c:pt idx="5">
                  <c:v>3.8025000000000002</c:v>
                </c:pt>
                <c:pt idx="6">
                  <c:v>3.7974999999999999</c:v>
                </c:pt>
                <c:pt idx="7">
                  <c:v>3.8025000000000002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E92-4663-AD39-298BE9A69216}"/>
            </c:ext>
          </c:extLst>
        </c:ser>
        <c:ser>
          <c:idx val="8"/>
          <c:order val="10"/>
          <c:tx>
            <c:v>Max</c:v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val>
            <c:numRef>
              <c:f>FRAs!$AA$13:$AA$20</c:f>
              <c:numCache>
                <c:formatCode>General</c:formatCode>
                <c:ptCount val="8"/>
                <c:pt idx="0">
                  <c:v>3.7850000000000001</c:v>
                </c:pt>
                <c:pt idx="1">
                  <c:v>4.0750000000000002</c:v>
                </c:pt>
                <c:pt idx="2">
                  <c:v>4.415</c:v>
                </c:pt>
                <c:pt idx="3">
                  <c:v>4.5449999999999999</c:v>
                </c:pt>
                <c:pt idx="4">
                  <c:v>4.5449999999999999</c:v>
                </c:pt>
                <c:pt idx="5">
                  <c:v>4.5350000000000001</c:v>
                </c:pt>
                <c:pt idx="6">
                  <c:v>4.5229999999999997</c:v>
                </c:pt>
                <c:pt idx="7">
                  <c:v>4.5129999999999999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E92-4663-AD39-298BE9A69216}"/>
            </c:ext>
          </c:extLst>
        </c:ser>
        <c:ser>
          <c:idx val="9"/>
          <c:order val="11"/>
          <c:tx>
            <c:v>minczk</c:v>
          </c:tx>
          <c:spPr>
            <a:solidFill>
              <a:schemeClr val="bg1"/>
            </a:solidFill>
            <a:ln>
              <a:noFill/>
            </a:ln>
            <a:effectLst/>
          </c:spPr>
          <c:val>
            <c:numRef>
              <c:f>FRAs!$AB$13:$AB$20</c:f>
              <c:numCache>
                <c:formatCode>General</c:formatCode>
                <c:ptCount val="8"/>
                <c:pt idx="0">
                  <c:v>3.5549999999999997</c:v>
                </c:pt>
                <c:pt idx="1">
                  <c:v>3.875</c:v>
                </c:pt>
                <c:pt idx="2">
                  <c:v>3.9980000000000002</c:v>
                </c:pt>
                <c:pt idx="3">
                  <c:v>4.03</c:v>
                </c:pt>
                <c:pt idx="4">
                  <c:v>4.01</c:v>
                </c:pt>
                <c:pt idx="5">
                  <c:v>4.0030000000000001</c:v>
                </c:pt>
                <c:pt idx="6">
                  <c:v>3.9929999999999999</c:v>
                </c:pt>
                <c:pt idx="7">
                  <c:v>3.99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E92-4663-AD39-298BE9A692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5049359"/>
        <c:axId val="522405039"/>
        <c:extLst>
          <c:ext xmlns:c15="http://schemas.microsoft.com/office/drawing/2012/chart" uri="{02D57815-91ED-43cb-92C2-25804820EDAC}">
            <c15:filteredAreaSeries>
              <c15:ser>
                <c:idx val="1"/>
                <c:order val="3"/>
                <c:tx>
                  <c:strRef>
                    <c:extLst>
                      <c:ext uri="{02D57815-91ED-43cb-92C2-25804820EDAC}">
                        <c15:formulaRef>
                          <c15:sqref>FRAs!$W$2</c15:sqref>
                        </c15:formulaRef>
                      </c:ext>
                    </c:extLst>
                    <c:strCache>
                      <c:ptCount val="1"/>
                      <c:pt idx="0">
                        <c:v>7d avg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 w="25400">
                    <a:noFill/>
                  </a:ln>
                  <a:effectLst/>
                </c:spPr>
                <c:cat>
                  <c:strRef>
                    <c:extLst>
                      <c:ext uri="{02D57815-91ED-43cb-92C2-25804820EDAC}">
                        <c15:formulaRef>
                          <c15:sqref>FRAs!$U$3:$U$10</c15:sqref>
                        </c15:formulaRef>
                      </c:ext>
                    </c:extLst>
                    <c:strCache>
                      <c:ptCount val="8"/>
                      <c:pt idx="0">
                        <c:v>Benchmark</c:v>
                      </c:pt>
                      <c:pt idx="1">
                        <c:v>3x6 FRA</c:v>
                      </c:pt>
                      <c:pt idx="2">
                        <c:v>6x9 FRA</c:v>
                      </c:pt>
                      <c:pt idx="3">
                        <c:v>9x12 FRA</c:v>
                      </c:pt>
                      <c:pt idx="4">
                        <c:v>12x15 FRA</c:v>
                      </c:pt>
                      <c:pt idx="5">
                        <c:v>15x18 FRA</c:v>
                      </c:pt>
                      <c:pt idx="6">
                        <c:v>18x21 FRA</c:v>
                      </c:pt>
                      <c:pt idx="7">
                        <c:v>21x24 FRA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FRAs!$W$3:$W$10</c15:sqref>
                        </c15:formulaRef>
                      </c:ext>
                    </c:extLst>
                    <c:numCache>
                      <c:formatCode>0.00</c:formatCode>
                      <c:ptCount val="8"/>
                      <c:pt idx="0" formatCode="General">
                        <c:v>3.75</c:v>
                      </c:pt>
                      <c:pt idx="1">
                        <c:v>3.8478571428571429</c:v>
                      </c:pt>
                      <c:pt idx="2">
                        <c:v>3.910714285714286</c:v>
                      </c:pt>
                      <c:pt idx="3">
                        <c:v>3.9746428571428574</c:v>
                      </c:pt>
                      <c:pt idx="4">
                        <c:v>3.9714285714285715</c:v>
                      </c:pt>
                      <c:pt idx="5">
                        <c:v>3.9575</c:v>
                      </c:pt>
                      <c:pt idx="6" formatCode="General">
                        <c:v>3.9482142857142861</c:v>
                      </c:pt>
                      <c:pt idx="7" formatCode="General">
                        <c:v>3.9453571428571435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9-8E92-4663-AD39-298BE9A69216}"/>
                  </c:ext>
                </c:extLst>
              </c15:ser>
            </c15:filteredAreaSeries>
            <c15:filteredAreaSeries>
              <c15:ser>
                <c:idx val="2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FRAs!$X$2</c15:sqref>
                        </c15:formulaRef>
                      </c:ext>
                    </c:extLst>
                    <c:strCache>
                      <c:ptCount val="1"/>
                      <c:pt idx="0">
                        <c:v>30d avg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 w="25400"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FRAs!$U$3:$U$10</c15:sqref>
                        </c15:formulaRef>
                      </c:ext>
                    </c:extLst>
                    <c:strCache>
                      <c:ptCount val="8"/>
                      <c:pt idx="0">
                        <c:v>Benchmark</c:v>
                      </c:pt>
                      <c:pt idx="1">
                        <c:v>3x6 FRA</c:v>
                      </c:pt>
                      <c:pt idx="2">
                        <c:v>6x9 FRA</c:v>
                      </c:pt>
                      <c:pt idx="3">
                        <c:v>9x12 FRA</c:v>
                      </c:pt>
                      <c:pt idx="4">
                        <c:v>12x15 FRA</c:v>
                      </c:pt>
                      <c:pt idx="5">
                        <c:v>15x18 FRA</c:v>
                      </c:pt>
                      <c:pt idx="6">
                        <c:v>18x21 FRA</c:v>
                      </c:pt>
                      <c:pt idx="7">
                        <c:v>21x24 FRA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FRAs!$X$3:$X$10</c15:sqref>
                        </c15:formulaRef>
                      </c:ext>
                    </c:extLst>
                    <c:numCache>
                      <c:formatCode>0.00</c:formatCode>
                      <c:ptCount val="8"/>
                      <c:pt idx="0" formatCode="General">
                        <c:v>3.75</c:v>
                      </c:pt>
                      <c:pt idx="1">
                        <c:v>3.9318913043478263</c:v>
                      </c:pt>
                      <c:pt idx="2">
                        <c:v>4.1015217391304342</c:v>
                      </c:pt>
                      <c:pt idx="3">
                        <c:v>4.2457086956521737</c:v>
                      </c:pt>
                      <c:pt idx="4">
                        <c:v>4.250108695652175</c:v>
                      </c:pt>
                      <c:pt idx="5">
                        <c:v>4.2310869565217386</c:v>
                      </c:pt>
                      <c:pt idx="6" formatCode="General">
                        <c:v>4.2132608695652181</c:v>
                      </c:pt>
                      <c:pt idx="7" formatCode="General">
                        <c:v>4.1985869565217397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8E92-4663-AD39-298BE9A69216}"/>
                  </c:ext>
                </c:extLst>
              </c15:ser>
            </c15:filteredAreaSeries>
            <c15:filteredAreaSeries>
              <c15:ser>
                <c:idx val="3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FRAs!$Y$2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4"/>
                  </a:solidFill>
                  <a:ln w="25400"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FRAs!$U$3:$U$10</c15:sqref>
                        </c15:formulaRef>
                      </c:ext>
                    </c:extLst>
                    <c:strCache>
                      <c:ptCount val="8"/>
                      <c:pt idx="0">
                        <c:v>Benchmark</c:v>
                      </c:pt>
                      <c:pt idx="1">
                        <c:v>3x6 FRA</c:v>
                      </c:pt>
                      <c:pt idx="2">
                        <c:v>6x9 FRA</c:v>
                      </c:pt>
                      <c:pt idx="3">
                        <c:v>9x12 FRA</c:v>
                      </c:pt>
                      <c:pt idx="4">
                        <c:v>12x15 FRA</c:v>
                      </c:pt>
                      <c:pt idx="5">
                        <c:v>15x18 FRA</c:v>
                      </c:pt>
                      <c:pt idx="6">
                        <c:v>18x21 FRA</c:v>
                      </c:pt>
                      <c:pt idx="7">
                        <c:v>21x24 FRA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FRAs!$Y$3:$Y$10</c15:sqref>
                        </c15:formulaRef>
                      </c:ext>
                    </c:extLst>
                    <c:numCache>
                      <c:formatCode>General</c:formatCode>
                      <c:ptCount val="8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8E92-4663-AD39-298BE9A69216}"/>
                  </c:ext>
                </c:extLst>
              </c15:ser>
            </c15:filteredAreaSeries>
            <c15:filteredAreaSeries>
              <c15:ser>
                <c:idx val="4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FRAs!$Z$2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5"/>
                  </a:solidFill>
                  <a:ln w="25400"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FRAs!$U$3:$U$10</c15:sqref>
                        </c15:formulaRef>
                      </c:ext>
                    </c:extLst>
                    <c:strCache>
                      <c:ptCount val="8"/>
                      <c:pt idx="0">
                        <c:v>Benchmark</c:v>
                      </c:pt>
                      <c:pt idx="1">
                        <c:v>3x6 FRA</c:v>
                      </c:pt>
                      <c:pt idx="2">
                        <c:v>6x9 FRA</c:v>
                      </c:pt>
                      <c:pt idx="3">
                        <c:v>9x12 FRA</c:v>
                      </c:pt>
                      <c:pt idx="4">
                        <c:v>12x15 FRA</c:v>
                      </c:pt>
                      <c:pt idx="5">
                        <c:v>15x18 FRA</c:v>
                      </c:pt>
                      <c:pt idx="6">
                        <c:v>18x21 FRA</c:v>
                      </c:pt>
                      <c:pt idx="7">
                        <c:v>21x24 FRA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FRAs!$Z$3:$Z$10</c15:sqref>
                        </c15:formulaRef>
                      </c:ext>
                    </c:extLst>
                    <c:numCache>
                      <c:formatCode>General</c:formatCode>
                      <c:ptCount val="8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8E92-4663-AD39-298BE9A69216}"/>
                  </c:ext>
                </c:extLst>
              </c15:ser>
            </c15:filteredAreaSeries>
          </c:ext>
        </c:extLst>
      </c:areaChart>
      <c:lineChart>
        <c:grouping val="standard"/>
        <c:varyColors val="0"/>
        <c:ser>
          <c:idx val="0"/>
          <c:order val="2"/>
          <c:tx>
            <c:v>PLN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FRAs!$U$3:$U$10</c:f>
              <c:strCache>
                <c:ptCount val="8"/>
                <c:pt idx="0">
                  <c:v>Benchmark</c:v>
                </c:pt>
                <c:pt idx="1">
                  <c:v>3x6 FRA</c:v>
                </c:pt>
                <c:pt idx="2">
                  <c:v>6x9 FRA</c:v>
                </c:pt>
                <c:pt idx="3">
                  <c:v>9x12 FRA</c:v>
                </c:pt>
                <c:pt idx="4">
                  <c:v>12x15 FRA</c:v>
                </c:pt>
                <c:pt idx="5">
                  <c:v>15x18 FRA</c:v>
                </c:pt>
                <c:pt idx="6">
                  <c:v>18x21 FRA</c:v>
                </c:pt>
                <c:pt idx="7">
                  <c:v>21x24 FRA</c:v>
                </c:pt>
              </c:strCache>
            </c:strRef>
          </c:cat>
          <c:val>
            <c:numRef>
              <c:f>FRAs!$V$3:$V$10</c:f>
              <c:numCache>
                <c:formatCode>0.00</c:formatCode>
                <c:ptCount val="8"/>
                <c:pt idx="0" formatCode="General">
                  <c:v>3.8</c:v>
                </c:pt>
                <c:pt idx="1">
                  <c:v>3.8174999999999999</c:v>
                </c:pt>
                <c:pt idx="2">
                  <c:v>3.8325</c:v>
                </c:pt>
                <c:pt idx="3">
                  <c:v>3.8624999999999998</c:v>
                </c:pt>
                <c:pt idx="4" formatCode="General">
                  <c:v>3.8174999999999999</c:v>
                </c:pt>
                <c:pt idx="5" formatCode="General">
                  <c:v>3.8025000000000002</c:v>
                </c:pt>
                <c:pt idx="6" formatCode="General">
                  <c:v>3.7974999999999999</c:v>
                </c:pt>
                <c:pt idx="7" formatCode="General">
                  <c:v>3.8025000000000002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E92-4663-AD39-298BE9A69216}"/>
            </c:ext>
          </c:extLst>
        </c:ser>
        <c:ser>
          <c:idx val="7"/>
          <c:order val="9"/>
          <c:tx>
            <c:v>CZK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FRAs!$V$13:$V$20</c:f>
              <c:numCache>
                <c:formatCode>General</c:formatCode>
                <c:ptCount val="8"/>
                <c:pt idx="0">
                  <c:v>3.7850000000000001</c:v>
                </c:pt>
                <c:pt idx="1">
                  <c:v>3.948</c:v>
                </c:pt>
                <c:pt idx="2">
                  <c:v>4.0199999999999996</c:v>
                </c:pt>
                <c:pt idx="3">
                  <c:v>4.03</c:v>
                </c:pt>
                <c:pt idx="4">
                  <c:v>4.01</c:v>
                </c:pt>
                <c:pt idx="5">
                  <c:v>4.0030000000000001</c:v>
                </c:pt>
                <c:pt idx="6">
                  <c:v>3.9929999999999999</c:v>
                </c:pt>
                <c:pt idx="7">
                  <c:v>3.99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E92-4663-AD39-298BE9A69216}"/>
            </c:ext>
          </c:extLst>
        </c:ser>
        <c:ser>
          <c:idx val="10"/>
          <c:order val="12"/>
          <c:tx>
            <c:v>HUF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FRAs!$V$23:$V$30</c:f>
              <c:numCache>
                <c:formatCode>General</c:formatCode>
                <c:ptCount val="8"/>
                <c:pt idx="0">
                  <c:v>5.8599999999999994</c:v>
                </c:pt>
                <c:pt idx="1">
                  <c:v>5.24</c:v>
                </c:pt>
                <c:pt idx="2">
                  <c:v>4.99</c:v>
                </c:pt>
                <c:pt idx="3">
                  <c:v>4.84</c:v>
                </c:pt>
                <c:pt idx="4">
                  <c:v>4.75</c:v>
                </c:pt>
                <c:pt idx="5">
                  <c:v>4.72</c:v>
                </c:pt>
                <c:pt idx="6">
                  <c:v>4.6900000000000004</c:v>
                </c:pt>
                <c:pt idx="7">
                  <c:v>4.66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E92-4663-AD39-298BE9A692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15049359"/>
        <c:axId val="522405039"/>
      </c:lineChart>
      <c:catAx>
        <c:axId val="2115049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2405039"/>
        <c:crosses val="autoZero"/>
        <c:auto val="1"/>
        <c:lblAlgn val="ctr"/>
        <c:lblOffset val="100"/>
        <c:noMultiLvlLbl val="0"/>
      </c:catAx>
      <c:valAx>
        <c:axId val="522405039"/>
        <c:scaling>
          <c:orientation val="minMax"/>
          <c:min val="3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5049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FRAs!$W$41:$X$41</c:f>
              <c:strCache>
                <c:ptCount val="2"/>
                <c:pt idx="1">
                  <c:v>1m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FRAs!$Y$39:$AA$39</c:f>
              <c:strCache>
                <c:ptCount val="3"/>
                <c:pt idx="0">
                  <c:v>PLN</c:v>
                </c:pt>
                <c:pt idx="1">
                  <c:v>HUF</c:v>
                </c:pt>
                <c:pt idx="2">
                  <c:v>CZK</c:v>
                </c:pt>
              </c:strCache>
            </c:strRef>
          </c:cat>
          <c:val>
            <c:numRef>
              <c:f>FRAs!$Y$41:$AA$41</c:f>
              <c:numCache>
                <c:formatCode>General</c:formatCode>
                <c:ptCount val="3"/>
                <c:pt idx="0">
                  <c:v>-2.0000000000000018</c:v>
                </c:pt>
                <c:pt idx="1">
                  <c:v>32.699999999999903</c:v>
                </c:pt>
                <c:pt idx="2">
                  <c:v>-5.4999999999999716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4A-4C45-B6D2-92A06E9FF735}"/>
            </c:ext>
          </c:extLst>
        </c:ser>
        <c:ser>
          <c:idx val="1"/>
          <c:order val="1"/>
          <c:tx>
            <c:strRef>
              <c:f>FRAs!$W$42:$X$42</c:f>
              <c:strCache>
                <c:ptCount val="2"/>
                <c:pt idx="1">
                  <c:v>2m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FRAs!$Y$39:$AA$39</c:f>
              <c:strCache>
                <c:ptCount val="3"/>
                <c:pt idx="0">
                  <c:v>PLN</c:v>
                </c:pt>
                <c:pt idx="1">
                  <c:v>HUF</c:v>
                </c:pt>
                <c:pt idx="2">
                  <c:v>CZK</c:v>
                </c:pt>
              </c:strCache>
            </c:strRef>
          </c:cat>
          <c:val>
            <c:numRef>
              <c:f>FRAs!$Y$42:$AA$42</c:f>
              <c:numCache>
                <c:formatCode>General</c:formatCode>
                <c:ptCount val="3"/>
                <c:pt idx="0">
                  <c:v>-2.6000000000000245</c:v>
                </c:pt>
                <c:pt idx="1">
                  <c:v>48.699999999999918</c:v>
                </c:pt>
                <c:pt idx="2">
                  <c:v>-9.9999999999999645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D4A-4C45-B6D2-92A06E9FF735}"/>
            </c:ext>
          </c:extLst>
        </c:ser>
        <c:ser>
          <c:idx val="2"/>
          <c:order val="2"/>
          <c:tx>
            <c:strRef>
              <c:f>FRAs!$W$43:$X$43</c:f>
              <c:strCache>
                <c:ptCount val="2"/>
                <c:pt idx="1">
                  <c:v>3m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FRAs!$Y$39:$AA$39</c:f>
              <c:strCache>
                <c:ptCount val="3"/>
                <c:pt idx="0">
                  <c:v>PLN</c:v>
                </c:pt>
                <c:pt idx="1">
                  <c:v>HUF</c:v>
                </c:pt>
                <c:pt idx="2">
                  <c:v>CZK</c:v>
                </c:pt>
              </c:strCache>
            </c:strRef>
          </c:cat>
          <c:val>
            <c:numRef>
              <c:f>FRAs!$Y$43:$AA$43</c:f>
              <c:numCache>
                <c:formatCode>General</c:formatCode>
                <c:ptCount val="3"/>
                <c:pt idx="0">
                  <c:v>-1.0000000000000231</c:v>
                </c:pt>
                <c:pt idx="1">
                  <c:v>61.999999999999922</c:v>
                </c:pt>
                <c:pt idx="2">
                  <c:v>-16.299999999999983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D4A-4C45-B6D2-92A06E9FF735}"/>
            </c:ext>
          </c:extLst>
        </c:ser>
        <c:ser>
          <c:idx val="3"/>
          <c:order val="3"/>
          <c:tx>
            <c:strRef>
              <c:f>FRAs!$W$44:$X$44</c:f>
              <c:strCache>
                <c:ptCount val="2"/>
                <c:pt idx="1">
                  <c:v>4m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FRAs!$Y$39:$AA$39</c:f>
              <c:strCache>
                <c:ptCount val="3"/>
                <c:pt idx="0">
                  <c:v>PLN</c:v>
                </c:pt>
                <c:pt idx="1">
                  <c:v>HUF</c:v>
                </c:pt>
                <c:pt idx="2">
                  <c:v>CZK</c:v>
                </c:pt>
              </c:strCache>
            </c:strRef>
          </c:cat>
          <c:val>
            <c:numRef>
              <c:f>FRAs!$Y$44:$AA$44</c:f>
              <c:numCache>
                <c:formatCode>General</c:formatCode>
                <c:ptCount val="3"/>
                <c:pt idx="0">
                  <c:v>-1.5000000000000124</c:v>
                </c:pt>
                <c:pt idx="1">
                  <c:v>72.169999999999931</c:v>
                </c:pt>
                <c:pt idx="2">
                  <c:v>-17.300000000000004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D4A-4C45-B6D2-92A06E9FF735}"/>
            </c:ext>
          </c:extLst>
        </c:ser>
        <c:ser>
          <c:idx val="4"/>
          <c:order val="4"/>
          <c:tx>
            <c:strRef>
              <c:f>FRAs!$W$45:$X$45</c:f>
              <c:strCache>
                <c:ptCount val="2"/>
                <c:pt idx="1">
                  <c:v>5m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FRAs!$Y$39:$AA$39</c:f>
              <c:strCache>
                <c:ptCount val="3"/>
                <c:pt idx="0">
                  <c:v>PLN</c:v>
                </c:pt>
                <c:pt idx="1">
                  <c:v>HUF</c:v>
                </c:pt>
                <c:pt idx="2">
                  <c:v>CZK</c:v>
                </c:pt>
              </c:strCache>
            </c:strRef>
          </c:cat>
          <c:val>
            <c:numRef>
              <c:f>FRAs!$Y$45:$AA$45</c:f>
              <c:numCache>
                <c:formatCode>General</c:formatCode>
                <c:ptCount val="3"/>
                <c:pt idx="0">
                  <c:v>-2.0000000000000018</c:v>
                </c:pt>
                <c:pt idx="1">
                  <c:v>80.339999999999904</c:v>
                </c:pt>
                <c:pt idx="2">
                  <c:v>-21.799999999999997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D4A-4C45-B6D2-92A06E9FF735}"/>
            </c:ext>
          </c:extLst>
        </c:ser>
        <c:ser>
          <c:idx val="5"/>
          <c:order val="5"/>
          <c:tx>
            <c:strRef>
              <c:f>FRAs!$W$46:$X$46</c:f>
              <c:strCache>
                <c:ptCount val="2"/>
                <c:pt idx="1">
                  <c:v>6m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FRAs!$Y$39:$AA$39</c:f>
              <c:strCache>
                <c:ptCount val="3"/>
                <c:pt idx="0">
                  <c:v>PLN</c:v>
                </c:pt>
                <c:pt idx="1">
                  <c:v>HUF</c:v>
                </c:pt>
                <c:pt idx="2">
                  <c:v>CZK</c:v>
                </c:pt>
              </c:strCache>
            </c:strRef>
          </c:cat>
          <c:val>
            <c:numRef>
              <c:f>FRAs!$Y$46:$AA$46</c:f>
              <c:numCache>
                <c:formatCode>General</c:formatCode>
                <c:ptCount val="3"/>
                <c:pt idx="0">
                  <c:v>-2.5000000000000355</c:v>
                </c:pt>
                <c:pt idx="1">
                  <c:v>86.999999999999915</c:v>
                </c:pt>
                <c:pt idx="2" formatCode="0.00">
                  <c:v>-23.499999999999943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D4A-4C45-B6D2-92A06E9FF7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8475712"/>
        <c:axId val="519573343"/>
      </c:barChart>
      <c:catAx>
        <c:axId val="1308475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9573343"/>
        <c:crosses val="autoZero"/>
        <c:auto val="1"/>
        <c:lblAlgn val="ctr"/>
        <c:lblOffset val="100"/>
        <c:noMultiLvlLbl val="0"/>
      </c:catAx>
      <c:valAx>
        <c:axId val="519573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8475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459369</xdr:colOff>
      <xdr:row>52</xdr:row>
      <xdr:rowOff>0</xdr:rowOff>
    </xdr:from>
    <xdr:to>
      <xdr:col>12</xdr:col>
      <xdr:colOff>325243</xdr:colOff>
      <xdr:row>87</xdr:row>
      <xdr:rowOff>23231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45BF4AB-A16C-4274-B9C9-629AA4DCB1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534970</xdr:colOff>
      <xdr:row>90</xdr:row>
      <xdr:rowOff>68934</xdr:rowOff>
    </xdr:from>
    <xdr:to>
      <xdr:col>12</xdr:col>
      <xdr:colOff>220700</xdr:colOff>
      <xdr:row>122</xdr:row>
      <xdr:rowOff>58079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B36DCBF-1FE8-496D-9BD1-187F912481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129556</xdr:colOff>
      <xdr:row>125</xdr:row>
      <xdr:rowOff>127014</xdr:rowOff>
    </xdr:from>
    <xdr:to>
      <xdr:col>12</xdr:col>
      <xdr:colOff>197469</xdr:colOff>
      <xdr:row>156</xdr:row>
      <xdr:rowOff>23232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49A739A-5459-472F-950B-96B8989695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439615</xdr:colOff>
      <xdr:row>16</xdr:row>
      <xdr:rowOff>10519</xdr:rowOff>
    </xdr:from>
    <xdr:to>
      <xdr:col>12</xdr:col>
      <xdr:colOff>122115</xdr:colOff>
      <xdr:row>47</xdr:row>
      <xdr:rowOff>73028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2A0A5D7-F05C-4C7B-973B-012E6F07F9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297603</xdr:colOff>
      <xdr:row>63</xdr:row>
      <xdr:rowOff>26911</xdr:rowOff>
    </xdr:from>
    <xdr:to>
      <xdr:col>21</xdr:col>
      <xdr:colOff>54187</xdr:colOff>
      <xdr:row>80</xdr:row>
      <xdr:rowOff>71360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5D51648-BB2C-4BC6-9311-41ABA345BF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Temporary\Arup\XCTK.xls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2014306/AppData/Local/Microsoft/Windows/INetCache/Content.Outlook/S30A4RAK/CE3%20FX%20Chart%20Pack%20(003).xlsx" TargetMode="External"/><Relationship Id="rId2" Type="http://schemas.openxmlformats.org/officeDocument/2006/relationships/externalLinkPath" Target="file:///C:\Users\2014306\AppData\Local\Microsoft\Windows\INetCache\Content.Outlook\S30A4RAK\CE3%20FX%20Chart%20Pack%20(003).xlsx" TargetMode="External"/><Relationship Id="rId1" Type="http://schemas.openxmlformats.org/officeDocument/2006/relationships/externalLinkPath" Target="/Users/2014306/AppData/Local/Microsoft/Windows/INetCache/Content.Outlook/S30A4RAK/CE3%20FX%20Chart%20Pack%20(003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rves Toolkit"/>
      <sheetName val="BCurve"/>
      <sheetName val="BCurveStrip"/>
      <sheetName val="BView"/>
      <sheetName val="BCurveInt"/>
      <sheetName val="BCurveFwd"/>
      <sheetName val="BCurve Example"/>
      <sheetName val="BCurveStrip Example"/>
      <sheetName val="BView Example"/>
      <sheetName val="BCurveInt Example"/>
      <sheetName val="BCurveFwd Example"/>
      <sheetName val="Syntax Diagrams"/>
      <sheetName val="DayCount"/>
      <sheetName val="Profiles"/>
      <sheetName val="ENUM"/>
      <sheetName val="Bloomberg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57">
          <cell r="C57" t="str">
            <v>CurveDate</v>
          </cell>
        </row>
        <row r="58">
          <cell r="C58" t="str">
            <v>Type</v>
          </cell>
        </row>
        <row r="59">
          <cell r="C59" t="str">
            <v>Currency</v>
          </cell>
        </row>
        <row r="60">
          <cell r="C60" t="str">
            <v>CurveDes</v>
          </cell>
        </row>
        <row r="61">
          <cell r="C61" t="str">
            <v>CurveNum</v>
          </cell>
        </row>
        <row r="62">
          <cell r="C62" t="str">
            <v>CurveName</v>
          </cell>
        </row>
        <row r="63">
          <cell r="C63" t="str">
            <v>CurveId</v>
          </cell>
        </row>
        <row r="64">
          <cell r="C64" t="str">
            <v>CurveIndex</v>
          </cell>
        </row>
        <row r="65">
          <cell r="C65" t="str">
            <v>FloatLegFreq</v>
          </cell>
        </row>
        <row r="66">
          <cell r="C66" t="str">
            <v>SettlementDate</v>
          </cell>
        </row>
        <row r="67">
          <cell r="C67" t="str">
            <v>ApplyConvexity</v>
          </cell>
        </row>
        <row r="68">
          <cell r="C68" t="str">
            <v>ApplyShift</v>
          </cell>
        </row>
        <row r="69">
          <cell r="C69" t="str">
            <v>ApplyFixing</v>
          </cell>
        </row>
        <row r="70">
          <cell r="C70" t="str">
            <v>ApplyDC</v>
          </cell>
        </row>
        <row r="71">
          <cell r="C71" t="str">
            <v>BasisPayRcv</v>
          </cell>
        </row>
        <row r="72">
          <cell r="C72" t="str">
            <v>MeanRev</v>
          </cell>
        </row>
        <row r="73">
          <cell r="C73" t="str">
            <v>Volatility</v>
          </cell>
        </row>
        <row r="74">
          <cell r="C74" t="str">
            <v>ParallelShift</v>
          </cell>
        </row>
        <row r="75">
          <cell r="C75" t="str">
            <v>UpdateTime</v>
          </cell>
        </row>
        <row r="76">
          <cell r="C76" t="str">
            <v>Interpolation</v>
          </cell>
        </row>
        <row r="77">
          <cell r="C77" t="str">
            <v>Profile</v>
          </cell>
        </row>
        <row r="78">
          <cell r="C78" t="str">
            <v>PCSDeposit</v>
          </cell>
        </row>
        <row r="79">
          <cell r="C79" t="str">
            <v>PCSFra</v>
          </cell>
        </row>
        <row r="80">
          <cell r="C80" t="str">
            <v>PCSSwap</v>
          </cell>
        </row>
        <row r="81">
          <cell r="C81" t="str">
            <v>PCSFixing</v>
          </cell>
        </row>
        <row r="82">
          <cell r="C82" t="str">
            <v>PCS</v>
          </cell>
        </row>
        <row r="83">
          <cell r="C83" t="str">
            <v>StartDate</v>
          </cell>
        </row>
        <row r="84">
          <cell r="C84" t="str">
            <v>StartTerm</v>
          </cell>
        </row>
        <row r="85">
          <cell r="C85" t="str">
            <v>Maturity</v>
          </cell>
        </row>
        <row r="86">
          <cell r="C86" t="str">
            <v>Term</v>
          </cell>
        </row>
        <row r="87">
          <cell r="C87" t="str">
            <v>DaysToMaturity</v>
          </cell>
        </row>
        <row r="88">
          <cell r="C88" t="str">
            <v>InstType</v>
          </cell>
        </row>
        <row r="89">
          <cell r="C89" t="str">
            <v>Frequency</v>
          </cell>
        </row>
        <row r="90">
          <cell r="C90" t="str">
            <v>Instrument</v>
          </cell>
        </row>
        <row r="91">
          <cell r="C91" t="str">
            <v>InstDes</v>
          </cell>
        </row>
        <row r="92">
          <cell r="C92" t="str">
            <v>Df.Bid</v>
          </cell>
        </row>
        <row r="93">
          <cell r="C93" t="str">
            <v>Df.Mid</v>
          </cell>
        </row>
        <row r="94">
          <cell r="C94" t="str">
            <v>Df.Ask</v>
          </cell>
        </row>
        <row r="95">
          <cell r="C95" t="str">
            <v>Zc.Bid</v>
          </cell>
        </row>
        <row r="96">
          <cell r="C96" t="str">
            <v>Zc.Mid</v>
          </cell>
        </row>
        <row r="97">
          <cell r="C97" t="str">
            <v>Zc.Ask</v>
          </cell>
        </row>
        <row r="98">
          <cell r="C98" t="str">
            <v>Par.Bid</v>
          </cell>
        </row>
        <row r="99">
          <cell r="C99" t="str">
            <v>Par.Mid</v>
          </cell>
        </row>
        <row r="100">
          <cell r="C100" t="str">
            <v>Par.Ask</v>
          </cell>
        </row>
        <row r="101">
          <cell r="C101" t="str">
            <v>Market.Bid</v>
          </cell>
        </row>
        <row r="102">
          <cell r="C102" t="str">
            <v>Market.Mid</v>
          </cell>
        </row>
        <row r="103">
          <cell r="C103" t="str">
            <v>Market.Ask</v>
          </cell>
        </row>
      </sheetData>
      <sheetData sheetId="9"/>
      <sheetData sheetId="10"/>
      <sheetData sheetId="11"/>
      <sheetData sheetId="12"/>
      <sheetData sheetId="13"/>
      <sheetData sheetId="14">
        <row r="1">
          <cell r="C1" t="str">
            <v>Df.Ask</v>
          </cell>
        </row>
        <row r="2">
          <cell r="C2" t="str">
            <v>Df.Bid</v>
          </cell>
        </row>
        <row r="3">
          <cell r="C3" t="str">
            <v>Df.Mid</v>
          </cell>
        </row>
        <row r="4">
          <cell r="C4" t="str">
            <v>Par.Ask</v>
          </cell>
        </row>
        <row r="5">
          <cell r="C5" t="str">
            <v>Par.Bid</v>
          </cell>
        </row>
        <row r="6">
          <cell r="C6" t="str">
            <v>Par.Mid</v>
          </cell>
        </row>
        <row r="7">
          <cell r="C7" t="str">
            <v>Zc.Ask</v>
          </cell>
        </row>
        <row r="8">
          <cell r="C8" t="str">
            <v>Zc.Bid</v>
          </cell>
        </row>
        <row r="9">
          <cell r="C9" t="str">
            <v>Zc.Mid</v>
          </cell>
        </row>
        <row r="10">
          <cell r="C10" t="str">
            <v>Maturity</v>
          </cell>
        </row>
      </sheetData>
      <sheetData sheetId="15"/>
      <sheetData sheetId="1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arry to Vol Ratio"/>
      <sheetName val="1Y1Y Differential"/>
      <sheetName val="Implied Vol CE3 vs EM"/>
      <sheetName val="Beta vs EUR, PLN"/>
      <sheetName val="Beta vs EM Basket"/>
    </sheetNames>
    <sheetDataSet>
      <sheetData sheetId="0"/>
      <sheetData sheetId="1" refreshError="1"/>
      <sheetData sheetId="2"/>
      <sheetData sheetId="3" refreshError="1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SCB Colours">
      <a:dk1>
        <a:srgbClr val="000000"/>
      </a:dk1>
      <a:lt1>
        <a:srgbClr val="FFFFFF"/>
      </a:lt1>
      <a:dk2>
        <a:srgbClr val="6C6C6C"/>
      </a:dk2>
      <a:lt2>
        <a:srgbClr val="DDDDDD"/>
      </a:lt2>
      <a:accent1>
        <a:srgbClr val="003651"/>
      </a:accent1>
      <a:accent2>
        <a:srgbClr val="319733"/>
      </a:accent2>
      <a:accent3>
        <a:srgbClr val="33BBFF"/>
      </a:accent3>
      <a:accent4>
        <a:srgbClr val="A7D9A3"/>
      </a:accent4>
      <a:accent5>
        <a:srgbClr val="0072AA"/>
      </a:accent5>
      <a:accent6>
        <a:srgbClr val="136127"/>
      </a:accent6>
      <a:hlink>
        <a:srgbClr val="0072AA"/>
      </a:hlink>
      <a:folHlink>
        <a:srgbClr val="0072AA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71037-DACC-4A35-9B3F-87957F4C0A48}">
  <sheetPr>
    <tabColor theme="5" tint="0.79998168889431442"/>
  </sheetPr>
  <dimension ref="A1:CT1260"/>
  <sheetViews>
    <sheetView tabSelected="1" zoomScaleNormal="100" workbookViewId="0">
      <selection activeCell="O21" sqref="O21"/>
    </sheetView>
  </sheetViews>
  <sheetFormatPr defaultRowHeight="12.75" x14ac:dyDescent="0.2"/>
  <cols>
    <col min="1" max="1" width="9.140625" style="1"/>
    <col min="2" max="2" width="13.85546875" style="1" customWidth="1"/>
    <col min="3" max="3" width="9.28515625" style="1" bestFit="1" customWidth="1"/>
    <col min="4" max="4" width="9.140625" style="1"/>
    <col min="5" max="5" width="18" style="1" bestFit="1" customWidth="1"/>
    <col min="6" max="6" width="9.28515625" style="1" bestFit="1" customWidth="1"/>
    <col min="7" max="7" width="9.140625" style="1"/>
    <col min="8" max="8" width="14.85546875" style="1" customWidth="1"/>
    <col min="9" max="9" width="9.42578125" style="1" bestFit="1" customWidth="1"/>
    <col min="10" max="10" width="9.140625" style="1"/>
    <col min="11" max="16" width="9.42578125" style="1" bestFit="1" customWidth="1"/>
    <col min="17" max="17" width="9.140625" style="1"/>
    <col min="18" max="18" width="9.42578125" style="1" bestFit="1" customWidth="1"/>
    <col min="19" max="21" width="9.140625" style="1"/>
    <col min="22" max="22" width="9.42578125" style="1" bestFit="1" customWidth="1"/>
    <col min="23" max="23" width="12.5703125" style="1" bestFit="1" customWidth="1"/>
    <col min="24" max="24" width="12" style="1" bestFit="1" customWidth="1"/>
    <col min="25" max="25" width="12.42578125" style="1" bestFit="1" customWidth="1"/>
    <col min="26" max="26" width="9.28515625" style="1" bestFit="1" customWidth="1"/>
    <col min="27" max="27" width="13.85546875" style="1" customWidth="1"/>
    <col min="28" max="28" width="9.28515625" style="1" bestFit="1" customWidth="1"/>
    <col min="29" max="29" width="9.140625" style="1"/>
    <col min="30" max="30" width="58.85546875" style="1" bestFit="1" customWidth="1"/>
    <col min="31" max="31" width="13.140625" style="1" bestFit="1" customWidth="1"/>
    <col min="32" max="32" width="9.5703125" style="1" bestFit="1" customWidth="1"/>
    <col min="33" max="33" width="12" style="1" customWidth="1"/>
    <col min="34" max="34" width="9.42578125" style="1" customWidth="1"/>
    <col min="35" max="35" width="12.28515625" style="1" bestFit="1" customWidth="1"/>
    <col min="36" max="38" width="9.42578125" style="1" customWidth="1"/>
    <col min="39" max="39" width="13.140625" style="1" bestFit="1" customWidth="1"/>
    <col min="40" max="40" width="9.5703125" style="1" bestFit="1" customWidth="1"/>
    <col min="41" max="41" width="13.28515625" style="1" bestFit="1" customWidth="1"/>
    <col min="42" max="42" width="9.7109375" style="1" bestFit="1" customWidth="1"/>
    <col min="43" max="43" width="13.28515625" style="1" bestFit="1" customWidth="1"/>
    <col min="44" max="44" width="9.5703125" style="1" bestFit="1" customWidth="1"/>
    <col min="45" max="45" width="13.140625" style="1" bestFit="1" customWidth="1"/>
    <col min="46" max="46" width="9.5703125" style="1" bestFit="1" customWidth="1"/>
    <col min="47" max="47" width="13.140625" style="1" bestFit="1" customWidth="1"/>
    <col min="48" max="48" width="9.5703125" style="1" bestFit="1" customWidth="1"/>
    <col min="49" max="49" width="13.140625" style="1" bestFit="1" customWidth="1"/>
    <col min="50" max="50" width="9.5703125" style="1" bestFit="1" customWidth="1"/>
    <col min="51" max="51" width="13.140625" style="1" bestFit="1" customWidth="1"/>
    <col min="52" max="52" width="9.5703125" style="1" bestFit="1" customWidth="1"/>
    <col min="53" max="53" width="9.140625" style="1"/>
    <col min="54" max="54" width="13.140625" style="1" bestFit="1" customWidth="1"/>
    <col min="55" max="55" width="9.42578125" style="1" bestFit="1" customWidth="1"/>
    <col min="56" max="61" width="9.28515625" style="1" customWidth="1"/>
    <col min="62" max="62" width="13.140625" style="1" bestFit="1" customWidth="1"/>
    <col min="63" max="63" width="9.28515625" style="1" bestFit="1" customWidth="1"/>
    <col min="64" max="64" width="11.5703125" style="1" bestFit="1" customWidth="1"/>
    <col min="65" max="65" width="9.28515625" style="1" bestFit="1" customWidth="1"/>
    <col min="66" max="66" width="11.5703125" style="1" bestFit="1" customWidth="1"/>
    <col min="67" max="67" width="9.28515625" style="1" bestFit="1" customWidth="1"/>
    <col min="68" max="68" width="11.5703125" style="1" bestFit="1" customWidth="1"/>
    <col min="69" max="69" width="9.28515625" style="1" bestFit="1" customWidth="1"/>
    <col min="70" max="70" width="11.5703125" style="1" bestFit="1" customWidth="1"/>
    <col min="71" max="71" width="9.28515625" style="1" bestFit="1" customWidth="1"/>
    <col min="72" max="72" width="11.5703125" style="1" bestFit="1" customWidth="1"/>
    <col min="73" max="73" width="9.28515625" style="1" bestFit="1" customWidth="1"/>
    <col min="74" max="74" width="11.5703125" style="1" bestFit="1" customWidth="1"/>
    <col min="75" max="75" width="9.28515625" style="1" bestFit="1" customWidth="1"/>
    <col min="76" max="76" width="9.140625" style="1"/>
    <col min="77" max="77" width="14" style="1" customWidth="1"/>
    <col min="78" max="78" width="9.28515625" style="1" bestFit="1" customWidth="1"/>
    <col min="79" max="80" width="9.140625" style="1" customWidth="1"/>
    <col min="81" max="81" width="11.5703125" style="1" bestFit="1" customWidth="1"/>
    <col min="82" max="82" width="9.28515625" style="1" bestFit="1" customWidth="1"/>
    <col min="83" max="84" width="9.140625" style="1" customWidth="1"/>
    <col min="85" max="85" width="11.5703125" style="1" bestFit="1" customWidth="1"/>
    <col min="86" max="86" width="9.28515625" style="1" bestFit="1" customWidth="1"/>
    <col min="87" max="87" width="11.5703125" style="1" bestFit="1" customWidth="1"/>
    <col min="88" max="88" width="9.28515625" style="1" bestFit="1" customWidth="1"/>
    <col min="89" max="89" width="11.5703125" style="1" bestFit="1" customWidth="1"/>
    <col min="90" max="90" width="9.140625" style="1" bestFit="1" customWidth="1"/>
    <col min="91" max="91" width="11.42578125" style="1" bestFit="1" customWidth="1"/>
    <col min="92" max="92" width="9.140625" style="1" bestFit="1" customWidth="1"/>
    <col min="93" max="93" width="11.42578125" style="1" bestFit="1" customWidth="1"/>
    <col min="94" max="94" width="9.140625" style="1" bestFit="1" customWidth="1"/>
    <col min="95" max="95" width="11.42578125" style="1" bestFit="1" customWidth="1"/>
    <col min="96" max="96" width="9.140625" style="1"/>
    <col min="97" max="97" width="13" style="1" bestFit="1" customWidth="1"/>
    <col min="98" max="16384" width="9.140625" style="1"/>
  </cols>
  <sheetData>
    <row r="1" spans="1:98" x14ac:dyDescent="0.2">
      <c r="AF1" s="2">
        <f>AF3-AF20</f>
        <v>0</v>
      </c>
      <c r="AG1" s="2"/>
      <c r="AH1" s="2">
        <f>AH3-AH20</f>
        <v>-9.9999999999997868E-3</v>
      </c>
      <c r="AI1" s="2"/>
      <c r="AJ1" s="2">
        <f>AJ3-AJ20</f>
        <v>-5.500000000000016E-2</v>
      </c>
      <c r="AK1" s="2"/>
      <c r="AL1" s="2">
        <f>AL3-AL20</f>
        <v>-7.8999999999999737E-2</v>
      </c>
      <c r="AM1" s="2"/>
      <c r="AN1" s="2">
        <f>AN3-AN20</f>
        <v>-0.17750000000000021</v>
      </c>
      <c r="AO1" s="2"/>
      <c r="AP1" s="2">
        <f>AP3-AP20</f>
        <v>-0.4049999999999998</v>
      </c>
      <c r="AQ1" s="2"/>
      <c r="AR1" s="2">
        <f>AR3-AR20</f>
        <v>-0.60500000000000043</v>
      </c>
      <c r="AS1" s="2"/>
      <c r="AT1" s="2">
        <f>AT3-AT20</f>
        <v>-0.64749999999999996</v>
      </c>
      <c r="AU1" s="2"/>
      <c r="AV1" s="2">
        <f>AV3-AV20</f>
        <v>-0.63499999999999979</v>
      </c>
      <c r="AW1" s="2"/>
      <c r="AX1" s="2">
        <f>AX3-AX20</f>
        <v>-0.60499999999999998</v>
      </c>
      <c r="AY1" s="2"/>
      <c r="AZ1" s="2">
        <f>AZ3-AZ20</f>
        <v>-0.5649999999999995</v>
      </c>
      <c r="BA1" s="2"/>
      <c r="BB1" s="2"/>
      <c r="BC1" s="2">
        <f>BC3-BC20</f>
        <v>0.25</v>
      </c>
      <c r="BD1" s="2"/>
      <c r="BE1" s="2">
        <f>BE3-BE20</f>
        <v>0.22999999999999998</v>
      </c>
      <c r="BF1" s="2"/>
      <c r="BG1" s="2">
        <f>BG3-BG20</f>
        <v>6.999999999999984E-2</v>
      </c>
      <c r="BH1" s="2"/>
      <c r="BI1" s="2">
        <f>BI3-BI20</f>
        <v>2.9999999999999805E-2</v>
      </c>
      <c r="BJ1" s="2"/>
      <c r="BK1" s="2">
        <f>BK3-BK20</f>
        <v>-2.2000000000000242E-2</v>
      </c>
      <c r="BL1" s="2"/>
      <c r="BM1" s="2">
        <f>BM3-BM20</f>
        <v>-0.24300000000000033</v>
      </c>
      <c r="BN1" s="2"/>
      <c r="BO1" s="2">
        <f>BO3-BO20</f>
        <v>-0.37299999999999933</v>
      </c>
      <c r="BP1" s="2"/>
      <c r="BQ1" s="2">
        <f>BQ3-BQ20</f>
        <v>-0.42799999999999994</v>
      </c>
      <c r="BR1" s="2"/>
      <c r="BS1" s="2">
        <f>BS3-BS20</f>
        <v>-0.4269999999999996</v>
      </c>
      <c r="BT1" s="2"/>
      <c r="BU1" s="2">
        <f>BU3-BU20</f>
        <v>-0.42700000000000005</v>
      </c>
      <c r="BV1" s="2"/>
      <c r="BW1" s="2">
        <f>BW3-BW20</f>
        <v>-0.41299999999999937</v>
      </c>
      <c r="BX1" s="2"/>
      <c r="BY1" s="2"/>
      <c r="BZ1" s="2">
        <f>BZ3-BZ20</f>
        <v>-0.25</v>
      </c>
      <c r="CA1" s="2"/>
      <c r="CB1" s="2">
        <f>CB3-CB20</f>
        <v>-0.27000000000000046</v>
      </c>
      <c r="CC1" s="2"/>
      <c r="CD1" s="2">
        <f>CD3-CD20</f>
        <v>-0.29699999999999971</v>
      </c>
      <c r="CE1" s="2"/>
      <c r="CF1" s="2">
        <f>CF3-CF20</f>
        <v>-0.33699999999999974</v>
      </c>
      <c r="CG1" s="2"/>
      <c r="CH1" s="2">
        <f>CH3-CH20</f>
        <v>-0.35999999999999943</v>
      </c>
      <c r="CI1" s="2"/>
      <c r="CJ1" s="2">
        <f>CJ3-CJ20</f>
        <v>-0.39999999999999947</v>
      </c>
      <c r="CK1" s="2"/>
      <c r="CL1" s="2">
        <f>CL3-CL20</f>
        <v>-0.37000000000000011</v>
      </c>
      <c r="CM1" s="2"/>
      <c r="CN1" s="2">
        <f>CN3-CN20</f>
        <v>-0.33999999999999986</v>
      </c>
      <c r="CO1" s="2"/>
      <c r="CP1" s="2">
        <f>CP3-CP20</f>
        <v>-0.33999999999999986</v>
      </c>
      <c r="CQ1" s="2"/>
      <c r="CR1" s="2">
        <f>CR3-CR20</f>
        <v>-0.35499999999999954</v>
      </c>
      <c r="CS1" s="2"/>
      <c r="CT1" s="2">
        <f>CT3-CT20</f>
        <v>-0.36500000000000021</v>
      </c>
    </row>
    <row r="2" spans="1:98" x14ac:dyDescent="0.2">
      <c r="C2" s="1" t="s">
        <v>76</v>
      </c>
      <c r="F2" s="1" t="s">
        <v>75</v>
      </c>
      <c r="I2" s="1" t="s">
        <v>74</v>
      </c>
      <c r="L2" s="1" t="s">
        <v>73</v>
      </c>
      <c r="U2" s="1" t="s">
        <v>20</v>
      </c>
      <c r="V2" s="1" t="s">
        <v>32</v>
      </c>
      <c r="W2" s="1" t="s">
        <v>31</v>
      </c>
      <c r="X2" s="1" t="s">
        <v>30</v>
      </c>
      <c r="AA2" s="1" t="s">
        <v>29</v>
      </c>
      <c r="AB2" s="1" t="s">
        <v>28</v>
      </c>
      <c r="AE2" s="1" t="s">
        <v>20</v>
      </c>
      <c r="AF2" s="1" t="s">
        <v>70</v>
      </c>
      <c r="AH2" s="1" t="s">
        <v>72</v>
      </c>
      <c r="AJ2" s="1" t="s">
        <v>68</v>
      </c>
      <c r="AL2" s="1" t="s">
        <v>67</v>
      </c>
      <c r="AN2" s="1" t="s">
        <v>27</v>
      </c>
      <c r="AP2" s="1" t="s">
        <v>26</v>
      </c>
      <c r="AR2" s="1" t="s">
        <v>25</v>
      </c>
      <c r="AT2" s="1" t="s">
        <v>24</v>
      </c>
      <c r="AV2" s="1" t="s">
        <v>23</v>
      </c>
      <c r="AX2" s="1" t="s">
        <v>22</v>
      </c>
      <c r="AZ2" s="1" t="s">
        <v>21</v>
      </c>
      <c r="BB2" s="1" t="s">
        <v>18</v>
      </c>
      <c r="BC2" s="1" t="s">
        <v>70</v>
      </c>
      <c r="BE2" s="1" t="s">
        <v>71</v>
      </c>
      <c r="BG2" s="1" t="s">
        <v>68</v>
      </c>
      <c r="BI2" s="1" t="s">
        <v>67</v>
      </c>
      <c r="BK2" s="1" t="s">
        <v>27</v>
      </c>
      <c r="BM2" s="1" t="s">
        <v>26</v>
      </c>
      <c r="BO2" s="1" t="s">
        <v>25</v>
      </c>
      <c r="BQ2" s="1" t="s">
        <v>24</v>
      </c>
      <c r="BS2" s="1" t="s">
        <v>23</v>
      </c>
      <c r="BU2" s="1" t="s">
        <v>22</v>
      </c>
      <c r="BW2" s="1" t="s">
        <v>21</v>
      </c>
      <c r="BY2" s="1" t="s">
        <v>19</v>
      </c>
      <c r="BZ2" s="1" t="s">
        <v>70</v>
      </c>
      <c r="CB2" s="1" t="s">
        <v>69</v>
      </c>
      <c r="CD2" s="1" t="s">
        <v>68</v>
      </c>
      <c r="CF2" s="1" t="s">
        <v>67</v>
      </c>
      <c r="CH2" s="1" t="s">
        <v>27</v>
      </c>
      <c r="CJ2" s="1" t="s">
        <v>26</v>
      </c>
      <c r="CL2" s="1" t="s">
        <v>25</v>
      </c>
      <c r="CN2" s="1" t="s">
        <v>24</v>
      </c>
      <c r="CP2" s="1" t="s">
        <v>23</v>
      </c>
      <c r="CR2" s="1" t="s">
        <v>22</v>
      </c>
      <c r="CT2" s="1" t="s">
        <v>21</v>
      </c>
    </row>
    <row r="3" spans="1:98" x14ac:dyDescent="0.2">
      <c r="C3" s="1" t="str">
        <f>_xll.BFieldInfo(C$4)</f>
        <v>Last Price</v>
      </c>
      <c r="F3" s="1" t="str">
        <f>_xll.BFieldInfo(F$4)</f>
        <v>Last Price</v>
      </c>
      <c r="I3" s="1" t="str">
        <f>_xll.BFieldInfo(I$4)</f>
        <v>Last Price</v>
      </c>
      <c r="L3" s="1" t="str">
        <f>_xll.BFieldInfo(L$4)</f>
        <v>Last Price</v>
      </c>
      <c r="U3" s="1" t="s">
        <v>17</v>
      </c>
      <c r="V3" s="1">
        <f>AVERAGE(AF3,AH3)</f>
        <v>3.8</v>
      </c>
      <c r="W3" s="1">
        <f>AVERAGE(AF3:AF9)</f>
        <v>3.75</v>
      </c>
      <c r="X3" s="1">
        <f>AVERAGE(AF3:AF25)</f>
        <v>3.75</v>
      </c>
      <c r="AA3" s="1">
        <f>AVERAGE(MAX(AF3:AF17),MAX(AH3:AH17))</f>
        <v>3.8149999999999999</v>
      </c>
      <c r="AB3" s="1">
        <f>AVERAGE(MIN(AF3:AF17),MIN(AH3:AH17))</f>
        <v>3.79</v>
      </c>
      <c r="AD3" s="2"/>
      <c r="AE3" s="3">
        <f>_xll.BDH("POREANN CURNCY", "PX LAST", "09/14/2021","","sort=descend","cols=2;rows=1243")</f>
        <v>46199</v>
      </c>
      <c r="AF3" s="1">
        <v>3.75</v>
      </c>
      <c r="AG3" s="3">
        <f>_xll.BDH("WIBR3m Index", "PX LAST", "09/14/2021","","sort=descend","cols=2;rows=1204")</f>
        <v>46198</v>
      </c>
      <c r="AH3" s="1">
        <v>3.85</v>
      </c>
      <c r="AI3" s="3">
        <f>_xll.BDH("PZFR0AD Curncy", "PX_LAST", "01/09/2021", "", "Sort", "R","cols=2;rows=1258")</f>
        <v>46199</v>
      </c>
      <c r="AJ3" s="2">
        <v>3.82</v>
      </c>
      <c r="AK3" s="3">
        <f>_xll.BDH("PZFR0BE Curncy", "PX_LAST", "01/09/2021", "", "Sort", "R","cols=2;rows=1258")</f>
        <v>46199</v>
      </c>
      <c r="AL3" s="2">
        <v>3.8260000000000001</v>
      </c>
      <c r="AM3" s="3">
        <f>_xll.BDH("PZFR0CF CURNCY", "PX LAST", "09/14/2021","","sort=descend","cols=2;rows=1249")</f>
        <v>46199</v>
      </c>
      <c r="AN3" s="2">
        <v>3.8174999999999999</v>
      </c>
      <c r="AO3" s="3">
        <f>_xll.BDH("PZFR0FI CURNCY", "PX LAST", "09/14/2021","","sort=descend","cols=2;rows=1249")</f>
        <v>46199</v>
      </c>
      <c r="AP3" s="2">
        <v>3.8325</v>
      </c>
      <c r="AQ3" s="3">
        <f>_xll.BDH("PZFR0I1 CURNCY", "PX LAST", "09/14/2021","","sort=descend","cols=2;rows=1249")</f>
        <v>46199</v>
      </c>
      <c r="AR3" s="2">
        <v>3.8624999999999998</v>
      </c>
      <c r="AS3" s="3">
        <f>_xll.BDH("PZFR011C CURNCY", "PX LAST", "09/14/2021","","sort=descend","cols=2;rows=1249")</f>
        <v>46199</v>
      </c>
      <c r="AT3" s="2">
        <v>3.8174999999999999</v>
      </c>
      <c r="AU3" s="3">
        <f>_xll.BDH("PZFR1C1F CURNCY", "PX LAST", "09/14/2021","","sort=descend","cols=2;rows=1249")</f>
        <v>46199</v>
      </c>
      <c r="AV3" s="2">
        <v>3.8025000000000002</v>
      </c>
      <c r="AW3" s="3">
        <f>_xll.BDH("PZFR1F1I CURNCY", "PX LAST", "09/14/2021","","sort=descend","cols=2;rows=1249")</f>
        <v>46199</v>
      </c>
      <c r="AX3" s="2">
        <v>3.7974999999999999</v>
      </c>
      <c r="AY3" s="3">
        <f>_xll.BDH("PZFR1I2 CURNCY", "PX LAST", "09/14/2021","","sort=descend","cols=2;rows=1249")</f>
        <v>46199</v>
      </c>
      <c r="AZ3" s="2">
        <v>3.8025000000000002</v>
      </c>
      <c r="BB3" s="3">
        <f>_xll.BDH("CZBRREPO Index", "PX_LAST", "14/09/2021", "", "Sort", "R", "Period", "D","cols=2;rows=1187")</f>
        <v>46199</v>
      </c>
      <c r="BC3" s="1">
        <v>3.75</v>
      </c>
      <c r="BD3" s="3">
        <f>_xll.BDH("PRIB03M Index", "PX_LAST", "14/09/2021", "", "Sort", "R", "Period", "D","cols=2;rows=1202")</f>
        <v>46199</v>
      </c>
      <c r="BE3" s="1">
        <v>3.82</v>
      </c>
      <c r="BF3" s="3">
        <f>_xll.BDH("CKFR0AD Curncy", "PX_LAST", "01/09/2021", "", "Sort", "R","cols=2;rows=1258")</f>
        <v>46199</v>
      </c>
      <c r="BG3" s="1">
        <v>3.84</v>
      </c>
      <c r="BH3" s="3">
        <f>_xll.BDH("CKFR0BE Curncy", "PX_LAST", "01/09/2021", "", "Sort", "R","cols=2;rows=1258")</f>
        <v>46199</v>
      </c>
      <c r="BI3" s="1">
        <v>3.8849999999999998</v>
      </c>
      <c r="BJ3" s="3">
        <f>_xll.BDH("CKFR0CF CURNCY", "PX LAST", "09/14/2021","","sort=descend","cols=2;rows=1249")</f>
        <v>46199</v>
      </c>
      <c r="BK3" s="1">
        <v>3.948</v>
      </c>
      <c r="BL3" s="3">
        <f>_xll.BDH("CKFR0FI CURNCY", "PX LAST", "09/14/2021","","sort=descend","cols=2;rows=1249")</f>
        <v>46199</v>
      </c>
      <c r="BM3" s="1">
        <v>4.0199999999999996</v>
      </c>
      <c r="BN3" s="3">
        <f>_xll.BDH("CKFR0I1 CURNCY", "PX LAST", "09/14/2021","","sort=descend","cols=2;rows=1248")</f>
        <v>46199</v>
      </c>
      <c r="BO3" s="1">
        <v>4.03</v>
      </c>
      <c r="BP3" s="3">
        <f>_xll.BDH("CKFR011c CURNCY", "PX LAST", "09/14/2021","","sort=descend","cols=2;rows=1249")</f>
        <v>46199</v>
      </c>
      <c r="BQ3" s="1">
        <v>4.01</v>
      </c>
      <c r="BR3" s="3">
        <f>_xll.BDH("CKFR1c1f CURNCY", "PX LAST", "09/14/2021","","sort=descend","cols=2;rows=1249")</f>
        <v>46199</v>
      </c>
      <c r="BS3" s="1">
        <v>4.0030000000000001</v>
      </c>
      <c r="BT3" s="3">
        <f>_xll.BDH("CKFR1f1i CURNCY", "PX LAST", "09/14/2021","","sort=descend","cols=2;rows=1249")</f>
        <v>46199</v>
      </c>
      <c r="BU3" s="1">
        <v>3.9929999999999999</v>
      </c>
      <c r="BV3" s="3">
        <f>_xll.BDH("CKFR1i2 CURNCY", "PX LAST", "09/14/2021","","sort=descend","cols=2;rows=1249")</f>
        <v>46199</v>
      </c>
      <c r="BW3" s="1">
        <v>3.99</v>
      </c>
      <c r="BY3" s="3">
        <f>_xll.BDH("HBBRATE Index", "PX_LAST", "14/09/2021", "", "Sort", "R", "Period", "D","cols=2;rows=1185")</f>
        <v>46199</v>
      </c>
      <c r="BZ3" s="1">
        <v>6</v>
      </c>
      <c r="CA3" s="3">
        <f>_xll.BDH("BUBOR03m Index", "PX_LAST", "14/09/2021", "", "Sort", "R", "Period", "D","cols=2;rows=1198")</f>
        <v>46199</v>
      </c>
      <c r="CB3" s="1">
        <v>5.72</v>
      </c>
      <c r="CC3" s="3">
        <f>_xll.BDH("HFFR0AD Curncy", "PX_LAST", "01/09/2021", "", "Sort", "R","cols=2;rows=1258")</f>
        <v>46199</v>
      </c>
      <c r="CD3" s="1">
        <v>5.5330000000000004</v>
      </c>
      <c r="CE3" s="3">
        <f>_xll.BDH("HFFR0BE Curncy", "PX_LAST", "01/09/2021", "", "Sort", "R","cols=2;rows=1258")</f>
        <v>46199</v>
      </c>
      <c r="CF3" s="1">
        <v>5.3730000000000002</v>
      </c>
      <c r="CG3" s="3">
        <f>_xll.BDH("HFFR0CF CURNCY", "PX LAST", "09/14/2021","","sort=descend","cols=2;rows=1249")</f>
        <v>46199</v>
      </c>
      <c r="CH3" s="1">
        <v>5.24</v>
      </c>
      <c r="CI3" s="3">
        <f>_xll.BDH("HFFR0FI CURNCY", "PX LAST", "09/14/2021","","sort=descend","cols=2;rows=1249")</f>
        <v>46199</v>
      </c>
      <c r="CJ3" s="1">
        <v>4.99</v>
      </c>
      <c r="CK3" s="3">
        <f>_xll.BDH("HFFR0I1 CURNCY", "PX LAST", "09/14/2021","","sort=descend","cols=2;rows=1249")</f>
        <v>46199</v>
      </c>
      <c r="CL3" s="1">
        <v>4.84</v>
      </c>
      <c r="CM3" s="3">
        <f>_xll.BDH("HFFR011C CURNCY", "PX LAST", "09/14/2021","","sort=descend","cols=2;rows=1242")</f>
        <v>46199</v>
      </c>
      <c r="CN3" s="1">
        <v>4.75</v>
      </c>
      <c r="CO3" s="3">
        <f>_xll.BDH("HFFR1C1F CURNCY", "PX LAST", "09/14/2021","","sort=descend","cols=2;rows=1236")</f>
        <v>46199</v>
      </c>
      <c r="CP3" s="1">
        <v>4.72</v>
      </c>
      <c r="CQ3" s="3">
        <f>_xll.BDH("HFFR1F1I CURNCY", "PX LAST", "09/14/2021","","sort=descend","cols=2;rows=1236")</f>
        <v>46199</v>
      </c>
      <c r="CR3" s="1">
        <v>4.6900000000000004</v>
      </c>
      <c r="CS3" s="3">
        <f>_xll.BDH("HFFR1I2 CURNCY", "PX LAST", "09/14/2021","","sort=descend","cols=2;rows=1236")</f>
        <v>46199</v>
      </c>
      <c r="CT3" s="1">
        <v>4.66</v>
      </c>
    </row>
    <row r="4" spans="1:98" x14ac:dyDescent="0.2">
      <c r="C4" s="1" t="s">
        <v>66</v>
      </c>
      <c r="F4" s="1" t="s">
        <v>66</v>
      </c>
      <c r="I4" s="1" t="s">
        <v>66</v>
      </c>
      <c r="L4" s="1" t="s">
        <v>66</v>
      </c>
      <c r="U4" s="1" t="s">
        <v>27</v>
      </c>
      <c r="V4" s="2">
        <f>AN3</f>
        <v>3.8174999999999999</v>
      </c>
      <c r="W4" s="2">
        <f>AVERAGE(AN3:AN9)</f>
        <v>3.8478571428571429</v>
      </c>
      <c r="X4" s="2">
        <f>AVERAGE(AN3:AN25)</f>
        <v>3.9318913043478263</v>
      </c>
      <c r="AA4" s="2">
        <f>MAX(AN3:AN17)</f>
        <v>4.085</v>
      </c>
      <c r="AB4" s="2">
        <f>MIN(AN3:AN17)</f>
        <v>3.8174999999999999</v>
      </c>
      <c r="AE4" s="3">
        <v>46198</v>
      </c>
      <c r="AF4" s="1">
        <v>3.75</v>
      </c>
      <c r="AG4" s="3">
        <v>46197</v>
      </c>
      <c r="AH4" s="1">
        <v>3.84</v>
      </c>
      <c r="AI4" s="3">
        <v>46198</v>
      </c>
      <c r="AJ4" s="2">
        <v>3.82</v>
      </c>
      <c r="AK4" s="3">
        <v>46198</v>
      </c>
      <c r="AL4" s="2">
        <v>3.82</v>
      </c>
      <c r="AM4" s="3">
        <v>46198</v>
      </c>
      <c r="AN4" s="2">
        <v>3.8250000000000002</v>
      </c>
      <c r="AO4" s="3">
        <v>46198</v>
      </c>
      <c r="AP4" s="2">
        <v>3.8525</v>
      </c>
      <c r="AQ4" s="3">
        <v>46198</v>
      </c>
      <c r="AR4" s="2">
        <v>3.89</v>
      </c>
      <c r="AS4" s="3">
        <v>46198</v>
      </c>
      <c r="AT4" s="2">
        <v>3.85</v>
      </c>
      <c r="AU4" s="3">
        <v>46198</v>
      </c>
      <c r="AV4" s="2">
        <v>3.8325</v>
      </c>
      <c r="AW4" s="3">
        <v>46198</v>
      </c>
      <c r="AX4" s="2">
        <v>3.8250000000000002</v>
      </c>
      <c r="AY4" s="3">
        <v>46198</v>
      </c>
      <c r="AZ4" s="2">
        <v>3.8275000000000001</v>
      </c>
      <c r="BB4" s="3">
        <v>46198</v>
      </c>
      <c r="BC4" s="1">
        <v>3.75</v>
      </c>
      <c r="BD4" s="3">
        <v>46198</v>
      </c>
      <c r="BE4" s="1">
        <v>3.82</v>
      </c>
      <c r="BF4" s="3">
        <v>46198</v>
      </c>
      <c r="BG4" s="1">
        <v>3.8450000000000002</v>
      </c>
      <c r="BH4" s="3">
        <v>46198</v>
      </c>
      <c r="BI4" s="1">
        <v>3.89</v>
      </c>
      <c r="BJ4" s="3">
        <v>46198</v>
      </c>
      <c r="BK4" s="1">
        <v>3.9580000000000002</v>
      </c>
      <c r="BL4" s="3">
        <v>46198</v>
      </c>
      <c r="BM4" s="1">
        <v>4.0250000000000004</v>
      </c>
      <c r="BN4" s="3">
        <v>46198</v>
      </c>
      <c r="BO4" s="1">
        <v>4.048</v>
      </c>
      <c r="BP4" s="3">
        <v>46198</v>
      </c>
      <c r="BQ4" s="1">
        <v>4.0229999999999997</v>
      </c>
      <c r="BR4" s="3">
        <v>46198</v>
      </c>
      <c r="BS4" s="1">
        <v>4.0129999999999999</v>
      </c>
      <c r="BT4" s="3">
        <v>46198</v>
      </c>
      <c r="BU4" s="1">
        <v>4</v>
      </c>
      <c r="BV4" s="3">
        <v>46198</v>
      </c>
      <c r="BW4" s="1">
        <v>3.9950000000000001</v>
      </c>
      <c r="BY4" s="3">
        <v>46198</v>
      </c>
      <c r="BZ4" s="1">
        <v>6</v>
      </c>
      <c r="CA4" s="3">
        <v>46198</v>
      </c>
      <c r="CB4" s="1">
        <v>5.74</v>
      </c>
      <c r="CC4" s="3">
        <v>46198</v>
      </c>
      <c r="CD4" s="1">
        <v>5.5469999999999997</v>
      </c>
      <c r="CE4" s="3">
        <v>46198</v>
      </c>
      <c r="CF4" s="1">
        <v>5.3739999999999997</v>
      </c>
      <c r="CG4" s="3">
        <v>46198</v>
      </c>
      <c r="CH4" s="1">
        <v>5.24</v>
      </c>
      <c r="CI4" s="3">
        <v>46198</v>
      </c>
      <c r="CJ4" s="1">
        <v>4.99</v>
      </c>
      <c r="CK4" s="3">
        <v>46198</v>
      </c>
      <c r="CL4" s="1">
        <v>4.83</v>
      </c>
      <c r="CM4" s="3">
        <v>46198</v>
      </c>
      <c r="CN4" s="1">
        <v>4.74</v>
      </c>
      <c r="CO4" s="3">
        <v>46198</v>
      </c>
      <c r="CP4" s="1">
        <v>4.71</v>
      </c>
      <c r="CQ4" s="3">
        <v>46198</v>
      </c>
      <c r="CR4" s="1">
        <v>4.68</v>
      </c>
      <c r="CS4" s="3">
        <v>46198</v>
      </c>
      <c r="CT4" s="1">
        <v>4.6500000000000004</v>
      </c>
    </row>
    <row r="5" spans="1:98" x14ac:dyDescent="0.2">
      <c r="A5" s="1" t="s">
        <v>65</v>
      </c>
      <c r="B5" s="1" t="s">
        <v>64</v>
      </c>
      <c r="C5" s="1">
        <f>_xll.BDP($B5,C$4)</f>
        <v>3.8035000000000001</v>
      </c>
      <c r="E5" s="1" t="s">
        <v>63</v>
      </c>
      <c r="F5" s="1">
        <f>_xll.BDP($E5,F$4)</f>
        <v>3.3717000000000001</v>
      </c>
      <c r="H5" s="1" t="s">
        <v>62</v>
      </c>
      <c r="I5" s="1">
        <f>_xll.BDP($H5,I$4)</f>
        <v>5.0426000000000002</v>
      </c>
      <c r="K5" s="1" t="s">
        <v>61</v>
      </c>
      <c r="L5" s="1">
        <f>_xll.BDP($K5,L$4)</f>
        <v>2.2082000000000002</v>
      </c>
      <c r="U5" s="1" t="s">
        <v>26</v>
      </c>
      <c r="V5" s="2">
        <f>AP3</f>
        <v>3.8325</v>
      </c>
      <c r="W5" s="2">
        <f>AVERAGE(AP3:AP9)</f>
        <v>3.910714285714286</v>
      </c>
      <c r="X5" s="2">
        <f>AVERAGE(AP3:AP25)</f>
        <v>4.1015217391304342</v>
      </c>
      <c r="AA5" s="2">
        <f>MAX(AP3:AP17)</f>
        <v>4.3949999999999996</v>
      </c>
      <c r="AB5" s="2">
        <f>MIN(AP3:AP17)</f>
        <v>3.8325</v>
      </c>
      <c r="AE5" s="3">
        <v>46197</v>
      </c>
      <c r="AF5" s="1">
        <v>3.75</v>
      </c>
      <c r="AG5" s="3">
        <v>46196</v>
      </c>
      <c r="AH5" s="1">
        <v>3.84</v>
      </c>
      <c r="AI5" s="3">
        <v>46197</v>
      </c>
      <c r="AJ5" s="2">
        <v>3.8250000000000002</v>
      </c>
      <c r="AK5" s="3">
        <v>46197</v>
      </c>
      <c r="AL5" s="2">
        <v>3.8250000000000002</v>
      </c>
      <c r="AM5" s="3">
        <v>46197</v>
      </c>
      <c r="AN5" s="2">
        <v>3.83</v>
      </c>
      <c r="AO5" s="3">
        <v>46197</v>
      </c>
      <c r="AP5" s="2">
        <v>3.88</v>
      </c>
      <c r="AQ5" s="3">
        <v>46197</v>
      </c>
      <c r="AR5" s="2">
        <v>3.92</v>
      </c>
      <c r="AS5" s="3">
        <v>46197</v>
      </c>
      <c r="AT5" s="2">
        <v>3.92</v>
      </c>
      <c r="AU5" s="3">
        <v>46197</v>
      </c>
      <c r="AV5" s="2">
        <v>3.9049999999999998</v>
      </c>
      <c r="AW5" s="3">
        <v>46197</v>
      </c>
      <c r="AX5" s="2">
        <v>3.895</v>
      </c>
      <c r="AY5" s="3">
        <v>46197</v>
      </c>
      <c r="AZ5" s="2">
        <v>3.89</v>
      </c>
      <c r="BB5" s="3">
        <v>46197</v>
      </c>
      <c r="BC5" s="1">
        <v>3.75</v>
      </c>
      <c r="BD5" s="3">
        <v>46197</v>
      </c>
      <c r="BE5" s="1">
        <v>3.82</v>
      </c>
      <c r="BF5" s="3">
        <v>46197</v>
      </c>
      <c r="BG5" s="1">
        <v>3.8450000000000002</v>
      </c>
      <c r="BH5" s="3">
        <v>46197</v>
      </c>
      <c r="BI5" s="1">
        <v>3.8929999999999998</v>
      </c>
      <c r="BJ5" s="3">
        <v>46197</v>
      </c>
      <c r="BK5" s="1">
        <v>3.9649999999999999</v>
      </c>
      <c r="BL5" s="3">
        <v>46197</v>
      </c>
      <c r="BM5" s="1">
        <v>4.05</v>
      </c>
      <c r="BN5" s="3">
        <v>46197</v>
      </c>
      <c r="BO5" s="1">
        <v>4.0979999999999999</v>
      </c>
      <c r="BP5" s="3">
        <v>46197</v>
      </c>
      <c r="BQ5" s="1">
        <v>4.085</v>
      </c>
      <c r="BR5" s="3">
        <v>46197</v>
      </c>
      <c r="BS5" s="1">
        <v>4.0830000000000002</v>
      </c>
      <c r="BT5" s="3">
        <v>46197</v>
      </c>
      <c r="BU5" s="1">
        <v>4.08</v>
      </c>
      <c r="BV5" s="3">
        <v>46197</v>
      </c>
      <c r="BW5" s="1">
        <v>4.0830000000000002</v>
      </c>
      <c r="BY5" s="3">
        <v>46197</v>
      </c>
      <c r="BZ5" s="1">
        <v>6</v>
      </c>
      <c r="CA5" s="3">
        <v>46197</v>
      </c>
      <c r="CB5" s="1">
        <v>5.76</v>
      </c>
      <c r="CC5" s="3">
        <v>46197</v>
      </c>
      <c r="CD5" s="1">
        <v>5.577</v>
      </c>
      <c r="CE5" s="3">
        <v>46197</v>
      </c>
      <c r="CF5" s="1">
        <v>5.4139999999999997</v>
      </c>
      <c r="CG5" s="3">
        <v>46197</v>
      </c>
      <c r="CH5" s="1">
        <v>5.25</v>
      </c>
      <c r="CI5" s="3">
        <v>46197</v>
      </c>
      <c r="CJ5" s="1">
        <v>5</v>
      </c>
      <c r="CK5" s="3">
        <v>46197</v>
      </c>
      <c r="CL5" s="1">
        <v>4.8499999999999996</v>
      </c>
      <c r="CM5" s="3">
        <v>46197</v>
      </c>
      <c r="CN5" s="1">
        <v>4.75</v>
      </c>
      <c r="CO5" s="3">
        <v>46197</v>
      </c>
      <c r="CP5" s="1">
        <v>4.7</v>
      </c>
      <c r="CQ5" s="3">
        <v>46197</v>
      </c>
      <c r="CR5" s="1">
        <v>4.66</v>
      </c>
      <c r="CS5" s="3">
        <v>46197</v>
      </c>
      <c r="CT5" s="1">
        <v>4.62</v>
      </c>
    </row>
    <row r="6" spans="1:98" x14ac:dyDescent="0.2">
      <c r="A6" s="1" t="s">
        <v>27</v>
      </c>
      <c r="B6" s="1" t="s">
        <v>60</v>
      </c>
      <c r="C6" s="1">
        <f>_xll.BDP($B6,C$4)</f>
        <v>3.81</v>
      </c>
      <c r="E6" s="1" t="s">
        <v>59</v>
      </c>
      <c r="F6" s="1">
        <f>_xll.BDP($E6,F$4)</f>
        <v>3.948</v>
      </c>
      <c r="H6" s="1" t="s">
        <v>58</v>
      </c>
      <c r="I6" s="1">
        <f>_xll.BDP($H6,I$4)</f>
        <v>5.24</v>
      </c>
      <c r="K6" s="1" t="s">
        <v>57</v>
      </c>
      <c r="L6" s="1">
        <f>_xll.BDP($K6,L$4)</f>
        <v>2.5070000000000001</v>
      </c>
      <c r="U6" s="1" t="s">
        <v>25</v>
      </c>
      <c r="V6" s="2">
        <f>AR3</f>
        <v>3.8624999999999998</v>
      </c>
      <c r="W6" s="2">
        <f>AVERAGE(AR3:AR9)</f>
        <v>3.9746428571428574</v>
      </c>
      <c r="X6" s="2">
        <f>AVERAGE(AR3:AR25)</f>
        <v>4.2457086956521737</v>
      </c>
      <c r="AA6" s="2">
        <f>MAX(AR3:AR17)</f>
        <v>4.6449999999999996</v>
      </c>
      <c r="AB6" s="2">
        <f>MIN(AR3:AR17)</f>
        <v>3.8624999999999998</v>
      </c>
      <c r="AE6" s="3">
        <v>46196</v>
      </c>
      <c r="AF6" s="1">
        <v>3.75</v>
      </c>
      <c r="AG6" s="3">
        <v>46195</v>
      </c>
      <c r="AH6" s="1">
        <v>3.83</v>
      </c>
      <c r="AI6" s="3">
        <v>46196</v>
      </c>
      <c r="AJ6" s="2">
        <v>3.8250000000000002</v>
      </c>
      <c r="AK6" s="3">
        <v>46196</v>
      </c>
      <c r="AL6" s="2">
        <v>3.8250000000000002</v>
      </c>
      <c r="AM6" s="3">
        <v>46196</v>
      </c>
      <c r="AN6" s="2">
        <v>3.8450000000000002</v>
      </c>
      <c r="AO6" s="3">
        <v>46196</v>
      </c>
      <c r="AP6" s="2">
        <v>3.92</v>
      </c>
      <c r="AQ6" s="3">
        <v>46196</v>
      </c>
      <c r="AR6" s="2">
        <v>3.98</v>
      </c>
      <c r="AS6" s="3">
        <v>46196</v>
      </c>
      <c r="AT6" s="2">
        <v>3.9925000000000002</v>
      </c>
      <c r="AU6" s="3">
        <v>46196</v>
      </c>
      <c r="AV6" s="2">
        <v>3.98</v>
      </c>
      <c r="AW6" s="3">
        <v>46196</v>
      </c>
      <c r="AX6" s="2">
        <v>3.97</v>
      </c>
      <c r="AY6" s="3">
        <v>46196</v>
      </c>
      <c r="AZ6" s="2">
        <v>3.9649999999999999</v>
      </c>
      <c r="BB6" s="3">
        <v>46196</v>
      </c>
      <c r="BC6" s="1">
        <v>3.75</v>
      </c>
      <c r="BD6" s="3">
        <v>46196</v>
      </c>
      <c r="BE6" s="1">
        <v>3.82</v>
      </c>
      <c r="BF6" s="3">
        <v>46196</v>
      </c>
      <c r="BG6" s="1">
        <v>3.84</v>
      </c>
      <c r="BH6" s="3">
        <v>46196</v>
      </c>
      <c r="BI6" s="1">
        <v>3.895</v>
      </c>
      <c r="BJ6" s="3">
        <v>46196</v>
      </c>
      <c r="BK6" s="1">
        <v>3.9780000000000002</v>
      </c>
      <c r="BL6" s="3">
        <v>46196</v>
      </c>
      <c r="BM6" s="1">
        <v>4.0750000000000002</v>
      </c>
      <c r="BN6" s="3">
        <v>46196</v>
      </c>
      <c r="BO6" s="1">
        <v>4.13</v>
      </c>
      <c r="BP6" s="3">
        <v>46196</v>
      </c>
      <c r="BQ6" s="1">
        <v>4.1230000000000002</v>
      </c>
      <c r="BR6" s="3">
        <v>46196</v>
      </c>
      <c r="BS6" s="1">
        <v>4.1150000000000002</v>
      </c>
      <c r="BT6" s="3">
        <v>46196</v>
      </c>
      <c r="BU6" s="1">
        <v>4.1130000000000004</v>
      </c>
      <c r="BV6" s="3">
        <v>46196</v>
      </c>
      <c r="BW6" s="1">
        <v>4.1100000000000003</v>
      </c>
      <c r="BY6" s="3">
        <v>46196</v>
      </c>
      <c r="BZ6" s="1">
        <v>6.25</v>
      </c>
      <c r="CA6" s="3">
        <v>46196</v>
      </c>
      <c r="CB6" s="1">
        <v>5.85</v>
      </c>
      <c r="CC6" s="3">
        <v>46196</v>
      </c>
      <c r="CD6" s="1">
        <v>5.6479999999999997</v>
      </c>
      <c r="CE6" s="3">
        <v>46196</v>
      </c>
      <c r="CF6" s="1">
        <v>5.4809999999999999</v>
      </c>
      <c r="CG6" s="3">
        <v>46196</v>
      </c>
      <c r="CH6" s="1">
        <v>5.33</v>
      </c>
      <c r="CI6" s="3">
        <v>46196</v>
      </c>
      <c r="CJ6" s="1">
        <v>5.05</v>
      </c>
      <c r="CK6" s="3">
        <v>46196</v>
      </c>
      <c r="CL6" s="1">
        <v>4.8899999999999997</v>
      </c>
      <c r="CM6" s="3">
        <v>46196</v>
      </c>
      <c r="CN6" s="1">
        <v>4.8099999999999996</v>
      </c>
      <c r="CO6" s="3">
        <v>46196</v>
      </c>
      <c r="CP6" s="1">
        <v>4.7549999999999999</v>
      </c>
      <c r="CQ6" s="3">
        <v>46196</v>
      </c>
      <c r="CR6" s="1">
        <v>4.71</v>
      </c>
      <c r="CS6" s="3">
        <v>46196</v>
      </c>
      <c r="CT6" s="1">
        <v>4.67</v>
      </c>
    </row>
    <row r="7" spans="1:98" x14ac:dyDescent="0.2">
      <c r="A7" s="1" t="s">
        <v>26</v>
      </c>
      <c r="B7" s="1" t="s">
        <v>56</v>
      </c>
      <c r="C7" s="1">
        <f>_xll.BDP($B7,C$4)</f>
        <v>3.8250000000000002</v>
      </c>
      <c r="E7" s="1" t="s">
        <v>55</v>
      </c>
      <c r="F7" s="1">
        <f>_xll.BDP($E7,F$4)</f>
        <v>4.0199999999999996</v>
      </c>
      <c r="H7" s="1" t="s">
        <v>54</v>
      </c>
      <c r="I7" s="1">
        <f>_xll.BDP($H7,I$4)</f>
        <v>4.99</v>
      </c>
      <c r="K7" s="1" t="s">
        <v>53</v>
      </c>
      <c r="L7" s="1">
        <f>_xll.BDP($K7,L$4)</f>
        <v>2.5779999999999998</v>
      </c>
      <c r="U7" s="1" t="s">
        <v>24</v>
      </c>
      <c r="V7" s="1">
        <f>AT3</f>
        <v>3.8174999999999999</v>
      </c>
      <c r="W7" s="2">
        <f>AVERAGE(AT3:AT9)</f>
        <v>3.9714285714285715</v>
      </c>
      <c r="X7" s="2">
        <f>AVERAGE(AT3:AT25)</f>
        <v>4.250108695652175</v>
      </c>
      <c r="AA7" s="2">
        <f>MAX(AT3:AT17)</f>
        <v>4.6574999999999998</v>
      </c>
      <c r="AB7" s="2">
        <f>MIN(AT3:AT17)</f>
        <v>3.8174999999999999</v>
      </c>
      <c r="AE7" s="3">
        <v>46195</v>
      </c>
      <c r="AF7" s="1">
        <v>3.75</v>
      </c>
      <c r="AG7" s="3">
        <v>46192</v>
      </c>
      <c r="AH7" s="1">
        <v>3.84</v>
      </c>
      <c r="AI7" s="3">
        <v>46195</v>
      </c>
      <c r="AJ7" s="2">
        <v>3.8250000000000002</v>
      </c>
      <c r="AK7" s="3">
        <v>46195</v>
      </c>
      <c r="AL7" s="2">
        <v>3.8250000000000002</v>
      </c>
      <c r="AM7" s="3">
        <v>46195</v>
      </c>
      <c r="AN7" s="2">
        <v>3.8475000000000001</v>
      </c>
      <c r="AO7" s="3">
        <v>46195</v>
      </c>
      <c r="AP7" s="2">
        <v>3.9350000000000001</v>
      </c>
      <c r="AQ7" s="3">
        <v>46195</v>
      </c>
      <c r="AR7" s="2">
        <v>4.01</v>
      </c>
      <c r="AS7" s="3">
        <v>46195</v>
      </c>
      <c r="AT7" s="2">
        <v>4.0250000000000004</v>
      </c>
      <c r="AU7" s="3">
        <v>46195</v>
      </c>
      <c r="AV7" s="2">
        <v>4.0125000000000002</v>
      </c>
      <c r="AW7" s="3">
        <v>46195</v>
      </c>
      <c r="AX7" s="2">
        <v>4</v>
      </c>
      <c r="AY7" s="3">
        <v>46195</v>
      </c>
      <c r="AZ7" s="2">
        <v>3.9925000000000002</v>
      </c>
      <c r="BB7" s="3">
        <v>46195</v>
      </c>
      <c r="BC7" s="1">
        <v>3.75</v>
      </c>
      <c r="BD7" s="3">
        <v>46195</v>
      </c>
      <c r="BE7" s="1">
        <v>3.82</v>
      </c>
      <c r="BF7" s="3">
        <v>46195</v>
      </c>
      <c r="BG7" s="1">
        <v>3.86</v>
      </c>
      <c r="BH7" s="3">
        <v>46195</v>
      </c>
      <c r="BI7" s="1">
        <v>3.9079999999999999</v>
      </c>
      <c r="BJ7" s="3">
        <v>46195</v>
      </c>
      <c r="BK7" s="1">
        <v>3.98</v>
      </c>
      <c r="BL7" s="3">
        <v>46195</v>
      </c>
      <c r="BM7" s="1">
        <v>4.0949999999999998</v>
      </c>
      <c r="BN7" s="3">
        <v>46195</v>
      </c>
      <c r="BO7" s="1">
        <v>4.1449999999999996</v>
      </c>
      <c r="BP7" s="3">
        <v>46195</v>
      </c>
      <c r="BQ7" s="1">
        <v>4.1349999999999998</v>
      </c>
      <c r="BR7" s="3">
        <v>46195</v>
      </c>
      <c r="BS7" s="1">
        <v>4.133</v>
      </c>
      <c r="BT7" s="3">
        <v>46195</v>
      </c>
      <c r="BU7" s="1">
        <v>4.13</v>
      </c>
      <c r="BV7" s="3">
        <v>46195</v>
      </c>
      <c r="BW7" s="1">
        <v>4.13</v>
      </c>
      <c r="BY7" s="3">
        <v>46195</v>
      </c>
      <c r="BZ7" s="1">
        <v>6.25</v>
      </c>
      <c r="CA7" s="3">
        <v>46195</v>
      </c>
      <c r="CB7" s="1">
        <v>5.88</v>
      </c>
      <c r="CC7" s="3">
        <v>46195</v>
      </c>
      <c r="CD7" s="1">
        <v>5.7</v>
      </c>
      <c r="CE7" s="3">
        <v>46195</v>
      </c>
      <c r="CF7" s="1">
        <v>5.55</v>
      </c>
      <c r="CG7" s="3">
        <v>46195</v>
      </c>
      <c r="CH7" s="1">
        <v>5.42</v>
      </c>
      <c r="CI7" s="3">
        <v>46195</v>
      </c>
      <c r="CJ7" s="1">
        <v>5.17</v>
      </c>
      <c r="CK7" s="3">
        <v>46195</v>
      </c>
      <c r="CL7" s="1">
        <v>5.04</v>
      </c>
      <c r="CM7" s="3">
        <v>46195</v>
      </c>
      <c r="CN7" s="1">
        <v>4.9000000000000004</v>
      </c>
      <c r="CO7" s="3">
        <v>46195</v>
      </c>
      <c r="CP7" s="1">
        <v>4.8600000000000003</v>
      </c>
      <c r="CQ7" s="3">
        <v>46195</v>
      </c>
      <c r="CR7" s="1">
        <v>4.82</v>
      </c>
      <c r="CS7" s="3">
        <v>46195</v>
      </c>
      <c r="CT7" s="1">
        <v>4.78</v>
      </c>
    </row>
    <row r="8" spans="1:98" x14ac:dyDescent="0.2">
      <c r="A8" s="1" t="s">
        <v>25</v>
      </c>
      <c r="B8" s="1" t="s">
        <v>52</v>
      </c>
      <c r="C8" s="1">
        <f>_xll.BDP($B8,C$4)</f>
        <v>3.8475000000000001</v>
      </c>
      <c r="E8" s="1" t="s">
        <v>51</v>
      </c>
      <c r="F8" s="1">
        <f>_xll.BDP($E8,F$4)</f>
        <v>4.03</v>
      </c>
      <c r="H8" s="1" t="s">
        <v>50</v>
      </c>
      <c r="I8" s="1">
        <f>_xll.BDP($H8,I$4)</f>
        <v>4.84</v>
      </c>
      <c r="K8" s="1" t="s">
        <v>49</v>
      </c>
      <c r="L8" s="1">
        <f>_xll.BDP($K8,L$4)</f>
        <v>2.5960000000000001</v>
      </c>
      <c r="U8" s="1" t="s">
        <v>23</v>
      </c>
      <c r="V8" s="1">
        <f>AV3</f>
        <v>3.8025000000000002</v>
      </c>
      <c r="W8" s="2">
        <f>AVERAGE(AV3:AV9)</f>
        <v>3.9575</v>
      </c>
      <c r="X8" s="2">
        <f>AVERAGE(AV3:AV25)</f>
        <v>4.2310869565217386</v>
      </c>
      <c r="AA8" s="2">
        <f>MAX(AV3:AV17)</f>
        <v>4.6349999999999998</v>
      </c>
      <c r="AB8" s="2">
        <f>MIN(AV3:AV17)</f>
        <v>3.8025000000000002</v>
      </c>
      <c r="AE8" s="3">
        <v>46192</v>
      </c>
      <c r="AF8" s="1">
        <v>3.75</v>
      </c>
      <c r="AG8" s="3">
        <v>46191</v>
      </c>
      <c r="AH8" s="1">
        <v>3.84</v>
      </c>
      <c r="AI8" s="3">
        <v>46192</v>
      </c>
      <c r="AJ8" s="2">
        <v>3.85</v>
      </c>
      <c r="AK8" s="3">
        <v>46192</v>
      </c>
      <c r="AL8" s="2">
        <v>3.86</v>
      </c>
      <c r="AM8" s="3">
        <v>46192</v>
      </c>
      <c r="AN8" s="2">
        <v>3.89</v>
      </c>
      <c r="AO8" s="3">
        <v>46192</v>
      </c>
      <c r="AP8" s="2">
        <v>3.9950000000000001</v>
      </c>
      <c r="AQ8" s="3">
        <v>46192</v>
      </c>
      <c r="AR8" s="2">
        <v>4.0949999999999998</v>
      </c>
      <c r="AS8" s="3">
        <v>46192</v>
      </c>
      <c r="AT8" s="2">
        <v>4.1174999999999997</v>
      </c>
      <c r="AU8" s="3">
        <v>46192</v>
      </c>
      <c r="AV8" s="2">
        <v>4.1050000000000004</v>
      </c>
      <c r="AW8" s="3">
        <v>46192</v>
      </c>
      <c r="AX8" s="2">
        <v>4.0925000000000002</v>
      </c>
      <c r="AY8" s="3">
        <v>46192</v>
      </c>
      <c r="AZ8" s="2">
        <v>4.085</v>
      </c>
      <c r="BB8" s="3">
        <v>46192</v>
      </c>
      <c r="BC8" s="1">
        <v>3.75</v>
      </c>
      <c r="BD8" s="3">
        <v>46192</v>
      </c>
      <c r="BE8" s="1">
        <v>3.82</v>
      </c>
      <c r="BF8" s="3">
        <v>46192</v>
      </c>
      <c r="BG8" s="1">
        <v>3.86</v>
      </c>
      <c r="BH8" s="3">
        <v>46192</v>
      </c>
      <c r="BI8" s="1">
        <v>3.9329999999999998</v>
      </c>
      <c r="BJ8" s="3">
        <v>46192</v>
      </c>
      <c r="BK8" s="1">
        <v>3.99</v>
      </c>
      <c r="BL8" s="3">
        <v>46192</v>
      </c>
      <c r="BM8" s="1">
        <v>4.1150000000000002</v>
      </c>
      <c r="BN8" s="3">
        <v>46192</v>
      </c>
      <c r="BO8" s="1">
        <v>4.17</v>
      </c>
      <c r="BP8" s="3">
        <v>46192</v>
      </c>
      <c r="BQ8" s="1">
        <v>4.17</v>
      </c>
      <c r="BR8" s="3">
        <v>46192</v>
      </c>
      <c r="BS8" s="1">
        <v>4.17</v>
      </c>
      <c r="BT8" s="3">
        <v>46192</v>
      </c>
      <c r="BU8" s="1">
        <v>4.17</v>
      </c>
      <c r="BV8" s="3">
        <v>46192</v>
      </c>
      <c r="BW8" s="1">
        <v>4.17</v>
      </c>
      <c r="BY8" s="3">
        <v>46192</v>
      </c>
      <c r="BZ8" s="1">
        <v>6.25</v>
      </c>
      <c r="CA8" s="3">
        <v>46192</v>
      </c>
      <c r="CB8" s="1">
        <v>5.89</v>
      </c>
      <c r="CC8" s="3">
        <v>46192</v>
      </c>
      <c r="CD8" s="1">
        <v>5.7249999999999996</v>
      </c>
      <c r="CE8" s="3">
        <v>46192</v>
      </c>
      <c r="CF8" s="1">
        <v>5.5819999999999999</v>
      </c>
      <c r="CG8" s="3">
        <v>46192</v>
      </c>
      <c r="CH8" s="1">
        <v>5.46</v>
      </c>
      <c r="CI8" s="3">
        <v>46192</v>
      </c>
      <c r="CJ8" s="1">
        <v>5.22</v>
      </c>
      <c r="CK8" s="3">
        <v>46192</v>
      </c>
      <c r="CL8" s="1">
        <v>5.09</v>
      </c>
      <c r="CM8" s="3">
        <v>46192</v>
      </c>
      <c r="CN8" s="1">
        <v>4.9800000000000004</v>
      </c>
      <c r="CO8" s="3">
        <v>46192</v>
      </c>
      <c r="CP8" s="1">
        <v>4.9400000000000004</v>
      </c>
      <c r="CQ8" s="3">
        <v>46192</v>
      </c>
      <c r="CR8" s="1">
        <v>4.9000000000000004</v>
      </c>
      <c r="CS8" s="3">
        <v>46192</v>
      </c>
      <c r="CT8" s="1">
        <v>4.8600000000000003</v>
      </c>
    </row>
    <row r="9" spans="1:98" x14ac:dyDescent="0.2">
      <c r="A9" s="1" t="s">
        <v>24</v>
      </c>
      <c r="B9" s="1" t="s">
        <v>48</v>
      </c>
      <c r="C9" s="1">
        <f>_xll.BDP($B9,C$4)</f>
        <v>3.8050000000000002</v>
      </c>
      <c r="E9" s="1" t="s">
        <v>47</v>
      </c>
      <c r="F9" s="1">
        <f>_xll.BDP($E9,F$4)</f>
        <v>4.01</v>
      </c>
      <c r="H9" s="1" t="s">
        <v>46</v>
      </c>
      <c r="I9" s="1">
        <f>_xll.BDP($H9,I$4)</f>
        <v>4.75</v>
      </c>
      <c r="K9" s="1" t="s">
        <v>45</v>
      </c>
      <c r="L9" s="1">
        <f>_xll.BDP($K9,L$4)</f>
        <v>2.5830000000000002</v>
      </c>
      <c r="U9" s="1" t="s">
        <v>22</v>
      </c>
      <c r="V9" s="1">
        <f>AX3</f>
        <v>3.7974999999999999</v>
      </c>
      <c r="W9" s="1">
        <f>AVERAGE(AX3:AX9)</f>
        <v>3.9482142857142861</v>
      </c>
      <c r="X9" s="1">
        <f>AVERAGE(AX3:AX25)</f>
        <v>4.2132608695652181</v>
      </c>
      <c r="AA9" s="2">
        <f>MAX(AX3:AX17)</f>
        <v>4.6100000000000003</v>
      </c>
      <c r="AB9" s="2">
        <f>MIN(AX3:AX17)</f>
        <v>3.7974999999999999</v>
      </c>
      <c r="AE9" s="3">
        <v>46191</v>
      </c>
      <c r="AF9" s="1">
        <v>3.75</v>
      </c>
      <c r="AG9" s="3">
        <v>46190</v>
      </c>
      <c r="AH9" s="1">
        <v>3.85</v>
      </c>
      <c r="AI9" s="3">
        <v>46191</v>
      </c>
      <c r="AJ9" s="2">
        <v>3.85</v>
      </c>
      <c r="AK9" s="3">
        <v>46191</v>
      </c>
      <c r="AL9" s="2">
        <v>3.867</v>
      </c>
      <c r="AM9" s="3">
        <v>46191</v>
      </c>
      <c r="AN9" s="2">
        <v>3.88</v>
      </c>
      <c r="AO9" s="3">
        <v>46191</v>
      </c>
      <c r="AP9" s="2">
        <v>3.96</v>
      </c>
      <c r="AQ9" s="3">
        <v>46191</v>
      </c>
      <c r="AR9" s="2">
        <v>4.0650000000000004</v>
      </c>
      <c r="AS9" s="3">
        <v>46191</v>
      </c>
      <c r="AT9" s="2">
        <v>4.0774999999999997</v>
      </c>
      <c r="AU9" s="3">
        <v>46191</v>
      </c>
      <c r="AV9" s="2">
        <v>4.0650000000000004</v>
      </c>
      <c r="AW9" s="3">
        <v>46191</v>
      </c>
      <c r="AX9" s="2">
        <v>4.0575000000000001</v>
      </c>
      <c r="AY9" s="3">
        <v>46191</v>
      </c>
      <c r="AZ9" s="2">
        <v>4.0549999999999997</v>
      </c>
      <c r="BB9" s="3">
        <v>46191</v>
      </c>
      <c r="BC9" s="1">
        <v>3.5</v>
      </c>
      <c r="BD9" s="3">
        <v>46191</v>
      </c>
      <c r="BE9" s="1">
        <v>3.65</v>
      </c>
      <c r="BF9" s="3">
        <v>46191</v>
      </c>
      <c r="BG9" s="1">
        <v>3.82</v>
      </c>
      <c r="BH9" s="3">
        <v>46191</v>
      </c>
      <c r="BI9" s="1">
        <v>3.8980000000000001</v>
      </c>
      <c r="BJ9" s="3">
        <v>46191</v>
      </c>
      <c r="BK9" s="1">
        <v>3.95</v>
      </c>
      <c r="BL9" s="3">
        <v>46191</v>
      </c>
      <c r="BM9" s="1">
        <v>4.0679999999999996</v>
      </c>
      <c r="BN9" s="3">
        <v>46191</v>
      </c>
      <c r="BO9" s="1">
        <v>4.1079999999999997</v>
      </c>
      <c r="BP9" s="3">
        <v>46191</v>
      </c>
      <c r="BQ9" s="1">
        <v>4.0979999999999999</v>
      </c>
      <c r="BR9" s="3">
        <v>46191</v>
      </c>
      <c r="BS9" s="1">
        <v>4.0979999999999999</v>
      </c>
      <c r="BT9" s="3">
        <v>46191</v>
      </c>
      <c r="BU9" s="1">
        <v>4.0979999999999999</v>
      </c>
      <c r="BV9" s="3">
        <v>46191</v>
      </c>
      <c r="BW9" s="1">
        <v>4.1029999999999998</v>
      </c>
      <c r="BY9" s="3">
        <v>46191</v>
      </c>
      <c r="BZ9" s="1">
        <v>6.25</v>
      </c>
      <c r="CA9" s="3">
        <v>46191</v>
      </c>
      <c r="CB9" s="1">
        <v>5.89</v>
      </c>
      <c r="CC9" s="3">
        <v>46191</v>
      </c>
      <c r="CD9" s="1">
        <v>5.73</v>
      </c>
      <c r="CE9" s="3">
        <v>46191</v>
      </c>
      <c r="CF9" s="1">
        <v>5.57</v>
      </c>
      <c r="CG9" s="3">
        <v>46191</v>
      </c>
      <c r="CH9" s="1">
        <v>5.45</v>
      </c>
      <c r="CI9" s="3">
        <v>46191</v>
      </c>
      <c r="CJ9" s="1">
        <v>5.2</v>
      </c>
      <c r="CK9" s="3">
        <v>46191</v>
      </c>
      <c r="CL9" s="1">
        <v>5.07</v>
      </c>
      <c r="CM9" s="3">
        <v>46191</v>
      </c>
      <c r="CN9" s="1">
        <v>4.97</v>
      </c>
      <c r="CO9" s="3">
        <v>46191</v>
      </c>
      <c r="CP9" s="1">
        <v>4.93</v>
      </c>
      <c r="CQ9" s="3">
        <v>46191</v>
      </c>
      <c r="CR9" s="1">
        <v>4.8899999999999997</v>
      </c>
      <c r="CS9" s="3">
        <v>46191</v>
      </c>
      <c r="CT9" s="1">
        <v>4.8499999999999996</v>
      </c>
    </row>
    <row r="10" spans="1:98" x14ac:dyDescent="0.2">
      <c r="A10" s="1" t="s">
        <v>23</v>
      </c>
      <c r="B10" s="1" t="s">
        <v>44</v>
      </c>
      <c r="C10" s="1">
        <f>_xll.BDP($B10,C$4)</f>
        <v>3.79</v>
      </c>
      <c r="E10" s="1" t="s">
        <v>43</v>
      </c>
      <c r="F10" s="1">
        <f>_xll.BDP($E10,F$4)</f>
        <v>4.0030000000000001</v>
      </c>
      <c r="H10" s="1" t="s">
        <v>42</v>
      </c>
      <c r="I10" s="1">
        <f>_xll.BDP($H10,I$4)</f>
        <v>4.72</v>
      </c>
      <c r="K10" s="1" t="s">
        <v>41</v>
      </c>
      <c r="L10" s="1">
        <f>_xll.BDP($K10,L$4)</f>
        <v>2.5470000000000002</v>
      </c>
      <c r="U10" s="1" t="s">
        <v>21</v>
      </c>
      <c r="V10" s="1">
        <f>AZ3</f>
        <v>3.8025000000000002</v>
      </c>
      <c r="W10" s="1">
        <f>AVERAGE(AZ3:AZ9)</f>
        <v>3.9453571428571435</v>
      </c>
      <c r="X10" s="1">
        <f>AVERAGE(AZ3:AZ25)</f>
        <v>4.1985869565217397</v>
      </c>
      <c r="AA10" s="2">
        <f>MAX(AZ3:AZ17)</f>
        <v>4.5824999999999996</v>
      </c>
      <c r="AB10" s="2">
        <f>MIN(AZ3:AZ17)</f>
        <v>3.8025000000000002</v>
      </c>
      <c r="AE10" s="3">
        <v>46190</v>
      </c>
      <c r="AF10" s="1">
        <v>3.75</v>
      </c>
      <c r="AG10" s="3">
        <v>46189</v>
      </c>
      <c r="AH10" s="1">
        <v>3.85</v>
      </c>
      <c r="AI10" s="3">
        <v>46190</v>
      </c>
      <c r="AJ10" s="2">
        <v>3.8475000000000001</v>
      </c>
      <c r="AK10" s="3">
        <v>46190</v>
      </c>
      <c r="AL10" s="2">
        <v>3.863</v>
      </c>
      <c r="AM10" s="3">
        <v>46190</v>
      </c>
      <c r="AN10" s="2">
        <v>3.87</v>
      </c>
      <c r="AO10" s="3">
        <v>46190</v>
      </c>
      <c r="AP10" s="2">
        <v>3.9449999999999998</v>
      </c>
      <c r="AQ10" s="3">
        <v>46190</v>
      </c>
      <c r="AR10" s="2">
        <v>4.0175000000000001</v>
      </c>
      <c r="AS10" s="3">
        <v>46190</v>
      </c>
      <c r="AT10" s="2">
        <v>4.0225</v>
      </c>
      <c r="AU10" s="3">
        <v>46190</v>
      </c>
      <c r="AV10" s="2">
        <v>4.0075000000000003</v>
      </c>
      <c r="AW10" s="3">
        <v>46190</v>
      </c>
      <c r="AX10" s="2">
        <v>3.9975000000000001</v>
      </c>
      <c r="AY10" s="3">
        <v>46190</v>
      </c>
      <c r="AZ10" s="2">
        <v>3.9950000000000001</v>
      </c>
      <c r="BB10" s="3">
        <v>46190</v>
      </c>
      <c r="BC10" s="1">
        <v>3.5</v>
      </c>
      <c r="BD10" s="3">
        <v>46190</v>
      </c>
      <c r="BE10" s="1">
        <v>3.63</v>
      </c>
      <c r="BF10" s="3">
        <v>46190</v>
      </c>
      <c r="BG10" s="1">
        <v>3.76</v>
      </c>
      <c r="BH10" s="3">
        <v>46190</v>
      </c>
      <c r="BI10" s="1">
        <v>3.835</v>
      </c>
      <c r="BJ10" s="3">
        <v>46190</v>
      </c>
      <c r="BK10" s="1">
        <v>3.875</v>
      </c>
      <c r="BL10" s="3">
        <v>46190</v>
      </c>
      <c r="BM10" s="1">
        <v>3.9980000000000002</v>
      </c>
      <c r="BN10" s="3">
        <v>46190</v>
      </c>
      <c r="BO10" s="1">
        <v>4.0780000000000003</v>
      </c>
      <c r="BP10" s="3">
        <v>46190</v>
      </c>
      <c r="BQ10" s="1">
        <v>4.0750000000000002</v>
      </c>
      <c r="BR10" s="3">
        <v>46190</v>
      </c>
      <c r="BS10" s="1">
        <v>4.0750000000000002</v>
      </c>
      <c r="BT10" s="3">
        <v>46190</v>
      </c>
      <c r="BU10" s="1">
        <v>4.0750000000000002</v>
      </c>
      <c r="BV10" s="3">
        <v>46190</v>
      </c>
      <c r="BW10" s="1">
        <v>4.08</v>
      </c>
      <c r="BY10" s="3">
        <v>46190</v>
      </c>
      <c r="BZ10" s="1">
        <v>6.25</v>
      </c>
      <c r="CA10" s="3">
        <v>46190</v>
      </c>
      <c r="CB10" s="1">
        <v>5.89</v>
      </c>
      <c r="CC10" s="3">
        <v>46190</v>
      </c>
      <c r="CD10" s="1">
        <v>5.7190000000000003</v>
      </c>
      <c r="CE10" s="3">
        <v>46190</v>
      </c>
      <c r="CF10" s="1">
        <v>5.5590000000000002</v>
      </c>
      <c r="CG10" s="3">
        <v>46190</v>
      </c>
      <c r="CH10" s="1">
        <v>5.42</v>
      </c>
      <c r="CI10" s="3">
        <v>46190</v>
      </c>
      <c r="CJ10" s="1">
        <v>5.16</v>
      </c>
      <c r="CK10" s="3">
        <v>46190</v>
      </c>
      <c r="CL10" s="1">
        <v>5.0199999999999996</v>
      </c>
      <c r="CM10" s="3">
        <v>46190</v>
      </c>
      <c r="CN10" s="1">
        <v>4.92</v>
      </c>
      <c r="CO10" s="3">
        <v>46190</v>
      </c>
      <c r="CP10" s="1">
        <v>4.88</v>
      </c>
      <c r="CQ10" s="3">
        <v>46190</v>
      </c>
      <c r="CR10" s="1">
        <v>4.84</v>
      </c>
      <c r="CS10" s="3">
        <v>46190</v>
      </c>
      <c r="CT10" s="1">
        <v>4.8</v>
      </c>
    </row>
    <row r="11" spans="1:98" x14ac:dyDescent="0.2">
      <c r="A11" s="1" t="s">
        <v>22</v>
      </c>
      <c r="B11" s="1" t="s">
        <v>40</v>
      </c>
      <c r="C11" s="1">
        <f>_xll.BDP($B11,C$4)</f>
        <v>3.7850000000000001</v>
      </c>
      <c r="E11" s="1" t="s">
        <v>39</v>
      </c>
      <c r="F11" s="1">
        <f>_xll.BDP($E11,F$4)</f>
        <v>3.9929999999999999</v>
      </c>
      <c r="H11" s="1" t="s">
        <v>38</v>
      </c>
      <c r="I11" s="1">
        <f>_xll.BDP($H11,I$4)</f>
        <v>4.6900000000000004</v>
      </c>
      <c r="K11" s="1" t="s">
        <v>37</v>
      </c>
      <c r="L11" s="1">
        <f>_xll.BDP($K11,L$4)</f>
        <v>2.5150000000000001</v>
      </c>
      <c r="AE11" s="3">
        <v>46189</v>
      </c>
      <c r="AF11" s="1">
        <v>3.75</v>
      </c>
      <c r="AG11" s="3">
        <v>46188</v>
      </c>
      <c r="AH11" s="1">
        <v>3.86</v>
      </c>
      <c r="AI11" s="3">
        <v>46189</v>
      </c>
      <c r="AJ11" s="2">
        <v>3.8450000000000002</v>
      </c>
      <c r="AK11" s="3">
        <v>46189</v>
      </c>
      <c r="AL11" s="2">
        <v>3.85</v>
      </c>
      <c r="AM11" s="3">
        <v>46189</v>
      </c>
      <c r="AN11" s="2">
        <v>3.8574999999999999</v>
      </c>
      <c r="AO11" s="3">
        <v>46189</v>
      </c>
      <c r="AP11" s="2">
        <v>3.91</v>
      </c>
      <c r="AQ11" s="3">
        <v>46189</v>
      </c>
      <c r="AR11" s="2">
        <v>3.9950000000000001</v>
      </c>
      <c r="AS11" s="3">
        <v>46189</v>
      </c>
      <c r="AT11" s="2">
        <v>4</v>
      </c>
      <c r="AU11" s="3">
        <v>46189</v>
      </c>
      <c r="AV11" s="2">
        <v>3.9849999999999999</v>
      </c>
      <c r="AW11" s="3">
        <v>46189</v>
      </c>
      <c r="AX11" s="2">
        <v>3.9775</v>
      </c>
      <c r="AY11" s="3">
        <v>46189</v>
      </c>
      <c r="AZ11" s="2">
        <v>3.9775</v>
      </c>
      <c r="BB11" s="3">
        <v>46189</v>
      </c>
      <c r="BC11" s="1">
        <v>3.5</v>
      </c>
      <c r="BD11" s="3">
        <v>46189</v>
      </c>
      <c r="BE11" s="1">
        <v>3.63</v>
      </c>
      <c r="BF11" s="3">
        <v>46189</v>
      </c>
      <c r="BG11" s="1">
        <v>3.8</v>
      </c>
      <c r="BH11" s="3">
        <v>46189</v>
      </c>
      <c r="BI11" s="1">
        <v>3.86</v>
      </c>
      <c r="BJ11" s="3">
        <v>46189</v>
      </c>
      <c r="BK11" s="1">
        <v>3.88</v>
      </c>
      <c r="BL11" s="3">
        <v>46189</v>
      </c>
      <c r="BM11" s="1">
        <v>4.01</v>
      </c>
      <c r="BN11" s="3">
        <v>46189</v>
      </c>
      <c r="BO11" s="1">
        <v>4.08</v>
      </c>
      <c r="BP11" s="3">
        <v>46189</v>
      </c>
      <c r="BQ11" s="1">
        <v>4.09</v>
      </c>
      <c r="BR11" s="3">
        <v>46189</v>
      </c>
      <c r="BS11" s="1">
        <v>4.0949999999999998</v>
      </c>
      <c r="BT11" s="3">
        <v>46189</v>
      </c>
      <c r="BU11" s="1">
        <v>4.0999999999999996</v>
      </c>
      <c r="BV11" s="3">
        <v>46189</v>
      </c>
      <c r="BW11" s="1">
        <v>4.1050000000000004</v>
      </c>
      <c r="BY11" s="3">
        <v>46189</v>
      </c>
      <c r="BZ11" s="1">
        <v>6.25</v>
      </c>
      <c r="CA11" s="3">
        <v>46189</v>
      </c>
      <c r="CB11" s="1">
        <v>5.9</v>
      </c>
      <c r="CC11" s="3">
        <v>46189</v>
      </c>
      <c r="CD11" s="1">
        <v>5.7069999999999999</v>
      </c>
      <c r="CE11" s="3">
        <v>46189</v>
      </c>
      <c r="CF11" s="1">
        <v>5.5430000000000001</v>
      </c>
      <c r="CG11" s="3">
        <v>46189</v>
      </c>
      <c r="CH11" s="1">
        <v>5.4</v>
      </c>
      <c r="CI11" s="3">
        <v>46189</v>
      </c>
      <c r="CJ11" s="1">
        <v>5.0999999999999996</v>
      </c>
      <c r="CK11" s="3">
        <v>46189</v>
      </c>
      <c r="CL11" s="1">
        <v>4.9000000000000004</v>
      </c>
      <c r="CM11" s="3">
        <v>46189</v>
      </c>
      <c r="CN11" s="1">
        <v>4.79</v>
      </c>
      <c r="CO11" s="3">
        <v>46189</v>
      </c>
      <c r="CP11" s="1">
        <v>4.75</v>
      </c>
      <c r="CQ11" s="3">
        <v>46189</v>
      </c>
      <c r="CR11" s="1">
        <v>4.71</v>
      </c>
      <c r="CS11" s="3">
        <v>46189</v>
      </c>
      <c r="CT11" s="1">
        <v>4.67</v>
      </c>
    </row>
    <row r="12" spans="1:98" x14ac:dyDescent="0.2">
      <c r="A12" s="1" t="s">
        <v>21</v>
      </c>
      <c r="B12" s="1" t="s">
        <v>36</v>
      </c>
      <c r="C12" s="1">
        <f>_xll.BDP($B12,C$4)</f>
        <v>3.79</v>
      </c>
      <c r="E12" s="1" t="s">
        <v>35</v>
      </c>
      <c r="F12" s="1">
        <f>_xll.BDP($E12,F$4)</f>
        <v>3.99</v>
      </c>
      <c r="H12" s="1" t="s">
        <v>34</v>
      </c>
      <c r="I12" s="1">
        <f>_xll.BDP($H12,I$4)</f>
        <v>4.66</v>
      </c>
      <c r="K12" s="1" t="s">
        <v>33</v>
      </c>
      <c r="L12" s="1" t="str">
        <f>_xll.BDP($K12,L$4)</f>
        <v>#N/A N/A</v>
      </c>
      <c r="U12" s="1" t="s">
        <v>18</v>
      </c>
      <c r="V12" s="1" t="s">
        <v>32</v>
      </c>
      <c r="W12" s="1" t="s">
        <v>31</v>
      </c>
      <c r="X12" s="1" t="s">
        <v>30</v>
      </c>
      <c r="AA12" s="1" t="s">
        <v>29</v>
      </c>
      <c r="AB12" s="1" t="s">
        <v>28</v>
      </c>
      <c r="AE12" s="3">
        <v>46188</v>
      </c>
      <c r="AF12" s="1">
        <v>3.75</v>
      </c>
      <c r="AG12" s="3">
        <v>46185</v>
      </c>
      <c r="AH12" s="1">
        <v>3.86</v>
      </c>
      <c r="AI12" s="3">
        <v>46188</v>
      </c>
      <c r="AJ12" s="2">
        <v>3.85</v>
      </c>
      <c r="AK12" s="3">
        <v>46188</v>
      </c>
      <c r="AL12" s="2">
        <v>3.86</v>
      </c>
      <c r="AM12" s="3">
        <v>46188</v>
      </c>
      <c r="AN12" s="2">
        <v>3.855</v>
      </c>
      <c r="AO12" s="3">
        <v>46188</v>
      </c>
      <c r="AP12" s="2">
        <v>3.94</v>
      </c>
      <c r="AQ12" s="3">
        <v>46188</v>
      </c>
      <c r="AR12" s="2">
        <v>4</v>
      </c>
      <c r="AS12" s="3">
        <v>46188</v>
      </c>
      <c r="AT12" s="2">
        <v>4.0199999999999996</v>
      </c>
      <c r="AU12" s="3">
        <v>46188</v>
      </c>
      <c r="AV12" s="2">
        <v>4</v>
      </c>
      <c r="AW12" s="3">
        <v>46188</v>
      </c>
      <c r="AX12" s="2">
        <v>3.99</v>
      </c>
      <c r="AY12" s="3">
        <v>46188</v>
      </c>
      <c r="AZ12" s="2">
        <v>3.99</v>
      </c>
      <c r="BB12" s="3">
        <v>46188</v>
      </c>
      <c r="BC12" s="1">
        <v>3.5</v>
      </c>
      <c r="BD12" s="3">
        <v>46188</v>
      </c>
      <c r="BE12" s="1">
        <v>3.63</v>
      </c>
      <c r="BF12" s="3">
        <v>46188</v>
      </c>
      <c r="BG12" s="1">
        <v>3.8</v>
      </c>
      <c r="BH12" s="3">
        <v>46188</v>
      </c>
      <c r="BI12" s="1">
        <v>3.8730000000000002</v>
      </c>
      <c r="BJ12" s="3">
        <v>46188</v>
      </c>
      <c r="BK12" s="1">
        <v>3.89</v>
      </c>
      <c r="BL12" s="3">
        <v>46188</v>
      </c>
      <c r="BM12" s="1">
        <v>4.04</v>
      </c>
      <c r="BN12" s="3">
        <v>46188</v>
      </c>
      <c r="BO12" s="1">
        <v>4.1399999999999997</v>
      </c>
      <c r="BP12" s="3">
        <v>46188</v>
      </c>
      <c r="BQ12" s="1">
        <v>4.1399999999999997</v>
      </c>
      <c r="BR12" s="3">
        <v>46188</v>
      </c>
      <c r="BS12" s="1">
        <v>4.1399999999999997</v>
      </c>
      <c r="BT12" s="3">
        <v>46188</v>
      </c>
      <c r="BU12" s="1">
        <v>4.1399999999999997</v>
      </c>
      <c r="BV12" s="3">
        <v>46188</v>
      </c>
      <c r="BW12" s="1">
        <v>4.1479999999999997</v>
      </c>
      <c r="BY12" s="3">
        <v>46188</v>
      </c>
      <c r="BZ12" s="1">
        <v>6.25</v>
      </c>
      <c r="CA12" s="3">
        <v>46188</v>
      </c>
      <c r="CB12" s="1">
        <v>5.92</v>
      </c>
      <c r="CC12" s="3">
        <v>46188</v>
      </c>
      <c r="CD12" s="1">
        <v>5.7030000000000003</v>
      </c>
      <c r="CE12" s="3">
        <v>46188</v>
      </c>
      <c r="CF12" s="1">
        <v>5.5469999999999997</v>
      </c>
      <c r="CG12" s="3">
        <v>46188</v>
      </c>
      <c r="CH12" s="1">
        <v>5.4</v>
      </c>
      <c r="CI12" s="3">
        <v>46188</v>
      </c>
      <c r="CJ12" s="1">
        <v>5.12</v>
      </c>
      <c r="CK12" s="3">
        <v>46188</v>
      </c>
      <c r="CL12" s="1">
        <v>4.9400000000000004</v>
      </c>
      <c r="CM12" s="3">
        <v>46188</v>
      </c>
      <c r="CN12" s="1">
        <v>4.8499999999999996</v>
      </c>
      <c r="CO12" s="3">
        <v>46188</v>
      </c>
      <c r="CP12" s="1">
        <v>4.8099999999999996</v>
      </c>
      <c r="CQ12" s="3">
        <v>46188</v>
      </c>
      <c r="CR12" s="1">
        <v>4.78</v>
      </c>
      <c r="CS12" s="3">
        <v>46188</v>
      </c>
      <c r="CT12" s="1">
        <v>4.75</v>
      </c>
    </row>
    <row r="13" spans="1:98" x14ac:dyDescent="0.2">
      <c r="U13" s="1" t="s">
        <v>17</v>
      </c>
      <c r="V13" s="1">
        <f>AVERAGE(BC3,BE3)</f>
        <v>3.7850000000000001</v>
      </c>
      <c r="W13" s="1">
        <f>AVERAGE(BC3:BC7)</f>
        <v>3.75</v>
      </c>
      <c r="X13" s="1">
        <f>AVERAGE(BC3:BC25)</f>
        <v>3.5652173913043477</v>
      </c>
      <c r="AA13" s="1">
        <f>AVERAGE(MAX(BC3:BC17),MAX(BE3:BE17))</f>
        <v>3.7850000000000001</v>
      </c>
      <c r="AB13" s="1">
        <f>AVERAGE(MIN(BC3:BC17),MIN(BE3:BE17))</f>
        <v>3.5549999999999997</v>
      </c>
      <c r="AE13" s="3">
        <v>46185</v>
      </c>
      <c r="AF13" s="1">
        <v>3.75</v>
      </c>
      <c r="AG13" s="3">
        <v>46184</v>
      </c>
      <c r="AH13" s="1">
        <v>3.85</v>
      </c>
      <c r="AI13" s="3">
        <v>46185</v>
      </c>
      <c r="AJ13" s="2">
        <v>3.86</v>
      </c>
      <c r="AK13" s="3">
        <v>46185</v>
      </c>
      <c r="AL13" s="2">
        <v>3.875</v>
      </c>
      <c r="AM13" s="3">
        <v>46185</v>
      </c>
      <c r="AN13" s="2">
        <v>3.9</v>
      </c>
      <c r="AO13" s="3">
        <v>46185</v>
      </c>
      <c r="AP13" s="2">
        <v>4.0225</v>
      </c>
      <c r="AQ13" s="3">
        <v>46185</v>
      </c>
      <c r="AR13" s="2">
        <v>4.1550000000000002</v>
      </c>
      <c r="AS13" s="3">
        <v>46185</v>
      </c>
      <c r="AT13" s="2">
        <v>4.1775000000000002</v>
      </c>
      <c r="AU13" s="3">
        <v>46185</v>
      </c>
      <c r="AV13" s="2">
        <v>4.1675000000000004</v>
      </c>
      <c r="AW13" s="3">
        <v>46185</v>
      </c>
      <c r="AX13" s="2">
        <v>4.16</v>
      </c>
      <c r="AY13" s="3">
        <v>46185</v>
      </c>
      <c r="AZ13" s="2">
        <v>4.1550000000000002</v>
      </c>
      <c r="BB13" s="3">
        <v>46185</v>
      </c>
      <c r="BC13" s="1">
        <v>3.5</v>
      </c>
      <c r="BD13" s="3">
        <v>46185</v>
      </c>
      <c r="BE13" s="1">
        <v>3.62</v>
      </c>
      <c r="BF13" s="3">
        <v>46185</v>
      </c>
      <c r="BG13" s="1">
        <v>3.8</v>
      </c>
      <c r="BH13" s="3">
        <v>46185</v>
      </c>
      <c r="BI13" s="1">
        <v>3.9329999999999998</v>
      </c>
      <c r="BJ13" s="3">
        <v>46185</v>
      </c>
      <c r="BK13" s="1">
        <v>3.9780000000000002</v>
      </c>
      <c r="BL13" s="3">
        <v>46185</v>
      </c>
      <c r="BM13" s="1">
        <v>4.1849999999999996</v>
      </c>
      <c r="BN13" s="3">
        <v>46185</v>
      </c>
      <c r="BO13" s="1">
        <v>4.2949999999999999</v>
      </c>
      <c r="BP13" s="3">
        <v>46185</v>
      </c>
      <c r="BQ13" s="1">
        <v>4.29</v>
      </c>
      <c r="BR13" s="3">
        <v>46185</v>
      </c>
      <c r="BS13" s="1">
        <v>4.2949999999999999</v>
      </c>
      <c r="BT13" s="3">
        <v>46185</v>
      </c>
      <c r="BU13" s="1">
        <v>4.3</v>
      </c>
      <c r="BV13" s="3">
        <v>46185</v>
      </c>
      <c r="BW13" s="1">
        <v>4.3099999999999996</v>
      </c>
      <c r="BY13" s="3">
        <v>46185</v>
      </c>
      <c r="BZ13" s="1">
        <v>6.25</v>
      </c>
      <c r="CA13" s="3">
        <v>46185</v>
      </c>
      <c r="CB13" s="1">
        <v>5.94</v>
      </c>
      <c r="CC13" s="3">
        <v>46185</v>
      </c>
      <c r="CD13" s="1">
        <v>5.7439999999999998</v>
      </c>
      <c r="CE13" s="3">
        <v>46185</v>
      </c>
      <c r="CF13" s="1">
        <v>5.59</v>
      </c>
      <c r="CG13" s="3">
        <v>46185</v>
      </c>
      <c r="CH13" s="1">
        <v>5.46</v>
      </c>
      <c r="CI13" s="3">
        <v>46185</v>
      </c>
      <c r="CJ13" s="1">
        <v>5.26</v>
      </c>
      <c r="CK13" s="3">
        <v>46185</v>
      </c>
      <c r="CL13" s="1">
        <v>5.13</v>
      </c>
      <c r="CM13" s="3">
        <v>46185</v>
      </c>
      <c r="CN13" s="1">
        <v>5.0199999999999996</v>
      </c>
      <c r="CO13" s="3">
        <v>46185</v>
      </c>
      <c r="CP13" s="1">
        <v>4.99</v>
      </c>
      <c r="CQ13" s="3">
        <v>46185</v>
      </c>
      <c r="CR13" s="1">
        <v>4.96</v>
      </c>
      <c r="CS13" s="3">
        <v>46185</v>
      </c>
      <c r="CT13" s="1">
        <v>4.915</v>
      </c>
    </row>
    <row r="14" spans="1:98" x14ac:dyDescent="0.2">
      <c r="U14" s="1" t="s">
        <v>27</v>
      </c>
      <c r="V14" s="1">
        <f>BK3</f>
        <v>3.948</v>
      </c>
      <c r="W14" s="1">
        <f>AVERAGE(BK3:BK9)</f>
        <v>3.9670000000000001</v>
      </c>
      <c r="X14" s="1">
        <f>AVERAGE(BK3:BK25)</f>
        <v>3.9315217391304347</v>
      </c>
      <c r="AA14" s="1">
        <f>MAX(BK3:BK17)</f>
        <v>4.0750000000000002</v>
      </c>
      <c r="AB14" s="1">
        <f>MIN(BK3:BK17)</f>
        <v>3.875</v>
      </c>
      <c r="AE14" s="3">
        <v>46184</v>
      </c>
      <c r="AF14" s="1">
        <v>3.75</v>
      </c>
      <c r="AG14" s="3">
        <v>46183</v>
      </c>
      <c r="AH14" s="1">
        <v>3.86</v>
      </c>
      <c r="AI14" s="3">
        <v>46184</v>
      </c>
      <c r="AJ14" s="2">
        <v>3.87</v>
      </c>
      <c r="AK14" s="3">
        <v>46184</v>
      </c>
      <c r="AL14" s="2">
        <v>3.9</v>
      </c>
      <c r="AM14" s="3">
        <v>46184</v>
      </c>
      <c r="AN14" s="2">
        <v>3.9550000000000001</v>
      </c>
      <c r="AO14" s="3">
        <v>46184</v>
      </c>
      <c r="AP14" s="2">
        <v>4.1275000000000004</v>
      </c>
      <c r="AQ14" s="3">
        <v>46184</v>
      </c>
      <c r="AR14" s="2">
        <v>4.3037999999999998</v>
      </c>
      <c r="AS14" s="3">
        <v>46184</v>
      </c>
      <c r="AT14" s="2">
        <v>4.3250000000000002</v>
      </c>
      <c r="AU14" s="3">
        <v>46184</v>
      </c>
      <c r="AV14" s="2">
        <v>4.3075000000000001</v>
      </c>
      <c r="AW14" s="3">
        <v>46184</v>
      </c>
      <c r="AX14" s="2">
        <v>4.2925000000000004</v>
      </c>
      <c r="AY14" s="3">
        <v>46184</v>
      </c>
      <c r="AZ14" s="2">
        <v>4.2824999999999998</v>
      </c>
      <c r="BB14" s="3">
        <v>46184</v>
      </c>
      <c r="BC14" s="1">
        <v>3.5</v>
      </c>
      <c r="BD14" s="3">
        <v>46184</v>
      </c>
      <c r="BE14" s="1">
        <v>3.62</v>
      </c>
      <c r="BF14" s="3">
        <v>46184</v>
      </c>
      <c r="BG14" s="1">
        <v>3.81</v>
      </c>
      <c r="BH14" s="3">
        <v>46184</v>
      </c>
      <c r="BI14" s="1">
        <v>3.9449999999999998</v>
      </c>
      <c r="BJ14" s="3">
        <v>46184</v>
      </c>
      <c r="BK14" s="1">
        <v>4.01</v>
      </c>
      <c r="BL14" s="3">
        <v>46184</v>
      </c>
      <c r="BM14" s="1">
        <v>4.2699999999999996</v>
      </c>
      <c r="BN14" s="3">
        <v>46184</v>
      </c>
      <c r="BO14" s="1">
        <v>4.3949999999999996</v>
      </c>
      <c r="BP14" s="3">
        <v>46184</v>
      </c>
      <c r="BQ14" s="1">
        <v>4.3899999999999997</v>
      </c>
      <c r="BR14" s="3">
        <v>46184</v>
      </c>
      <c r="BS14" s="1">
        <v>4.3849999999999998</v>
      </c>
      <c r="BT14" s="3">
        <v>46184</v>
      </c>
      <c r="BU14" s="1">
        <v>4.3849999999999998</v>
      </c>
      <c r="BV14" s="3">
        <v>46184</v>
      </c>
      <c r="BW14" s="1">
        <v>4.3849999999999998</v>
      </c>
      <c r="BY14" s="3">
        <v>46184</v>
      </c>
      <c r="BZ14" s="1">
        <v>6.25</v>
      </c>
      <c r="CA14" s="3">
        <v>46184</v>
      </c>
      <c r="CB14" s="1">
        <v>5.96</v>
      </c>
      <c r="CC14" s="3">
        <v>46184</v>
      </c>
      <c r="CD14" s="1">
        <v>5.7830000000000004</v>
      </c>
      <c r="CE14" s="3">
        <v>46184</v>
      </c>
      <c r="CF14" s="1">
        <v>5.6459999999999999</v>
      </c>
      <c r="CG14" s="3">
        <v>46184</v>
      </c>
      <c r="CH14" s="1">
        <v>5.54</v>
      </c>
      <c r="CI14" s="3">
        <v>46184</v>
      </c>
      <c r="CJ14" s="1">
        <v>5.34</v>
      </c>
      <c r="CK14" s="3">
        <v>46184</v>
      </c>
      <c r="CL14" s="1">
        <v>5.21</v>
      </c>
      <c r="CM14" s="3">
        <v>46184</v>
      </c>
      <c r="CN14" s="1">
        <v>5.12</v>
      </c>
      <c r="CO14" s="3">
        <v>46184</v>
      </c>
      <c r="CP14" s="1">
        <v>5.09</v>
      </c>
      <c r="CQ14" s="3">
        <v>46184</v>
      </c>
      <c r="CR14" s="1">
        <v>5.0599999999999996</v>
      </c>
      <c r="CS14" s="3">
        <v>46184</v>
      </c>
      <c r="CT14" s="1">
        <v>5.0149999999999997</v>
      </c>
    </row>
    <row r="15" spans="1:98" x14ac:dyDescent="0.2">
      <c r="U15" s="1" t="s">
        <v>26</v>
      </c>
      <c r="V15" s="1">
        <f>BM3</f>
        <v>4.0199999999999996</v>
      </c>
      <c r="W15" s="1">
        <f>AVERAGE(BM3:BM9)</f>
        <v>4.0639999999999992</v>
      </c>
      <c r="X15" s="1">
        <f>AVERAGE(BM3:BM25)</f>
        <v>4.1347391304347818</v>
      </c>
      <c r="AA15" s="1">
        <f>MAX(BM3:BM17)</f>
        <v>4.415</v>
      </c>
      <c r="AB15" s="1">
        <f>MIN(BM3:BM17)</f>
        <v>3.9980000000000002</v>
      </c>
      <c r="AE15" s="3">
        <v>46183</v>
      </c>
      <c r="AF15" s="1">
        <v>3.75</v>
      </c>
      <c r="AG15" s="3">
        <v>46182</v>
      </c>
      <c r="AH15" s="1">
        <v>3.88</v>
      </c>
      <c r="AI15" s="3">
        <v>46183</v>
      </c>
      <c r="AJ15" s="2">
        <v>3.8725000000000001</v>
      </c>
      <c r="AK15" s="3">
        <v>46183</v>
      </c>
      <c r="AL15" s="2">
        <v>3.91</v>
      </c>
      <c r="AM15" s="3">
        <v>46183</v>
      </c>
      <c r="AN15" s="2">
        <v>3.99</v>
      </c>
      <c r="AO15" s="3">
        <v>46183</v>
      </c>
      <c r="AP15" s="2">
        <v>4.22</v>
      </c>
      <c r="AQ15" s="3">
        <v>46183</v>
      </c>
      <c r="AR15" s="2">
        <v>4.4349999999999996</v>
      </c>
      <c r="AS15" s="3">
        <v>46183</v>
      </c>
      <c r="AT15" s="2">
        <v>4.4424999999999999</v>
      </c>
      <c r="AU15" s="3">
        <v>46183</v>
      </c>
      <c r="AV15" s="2">
        <v>4.42</v>
      </c>
      <c r="AW15" s="3">
        <v>46183</v>
      </c>
      <c r="AX15" s="2">
        <v>4.4000000000000004</v>
      </c>
      <c r="AY15" s="3">
        <v>46183</v>
      </c>
      <c r="AZ15" s="2">
        <v>4.375</v>
      </c>
      <c r="BB15" s="3">
        <v>46183</v>
      </c>
      <c r="BC15" s="1">
        <v>3.5</v>
      </c>
      <c r="BD15" s="3">
        <v>46183</v>
      </c>
      <c r="BE15" s="1">
        <v>3.61</v>
      </c>
      <c r="BF15" s="3">
        <v>46183</v>
      </c>
      <c r="BG15" s="1">
        <v>3.8050000000000002</v>
      </c>
      <c r="BH15" s="3">
        <v>46183</v>
      </c>
      <c r="BI15" s="1">
        <v>3.9449999999999998</v>
      </c>
      <c r="BJ15" s="3">
        <v>46183</v>
      </c>
      <c r="BK15" s="1">
        <v>4.01</v>
      </c>
      <c r="BL15" s="3">
        <v>46183</v>
      </c>
      <c r="BM15" s="1">
        <v>4.3150000000000004</v>
      </c>
      <c r="BN15" s="3">
        <v>46183</v>
      </c>
      <c r="BO15" s="1">
        <v>4.4450000000000003</v>
      </c>
      <c r="BP15" s="3">
        <v>46183</v>
      </c>
      <c r="BQ15" s="1">
        <v>4.45</v>
      </c>
      <c r="BR15" s="3">
        <v>46183</v>
      </c>
      <c r="BS15" s="1">
        <v>4.4550000000000001</v>
      </c>
      <c r="BT15" s="3">
        <v>46183</v>
      </c>
      <c r="BU15" s="1">
        <v>4.46</v>
      </c>
      <c r="BV15" s="3">
        <v>46183</v>
      </c>
      <c r="BW15" s="1">
        <v>4.46</v>
      </c>
      <c r="BY15" s="3">
        <v>46183</v>
      </c>
      <c r="BZ15" s="1">
        <v>6.25</v>
      </c>
      <c r="CA15" s="3">
        <v>46183</v>
      </c>
      <c r="CB15" s="1">
        <v>5.97</v>
      </c>
      <c r="CC15" s="3">
        <v>46183</v>
      </c>
      <c r="CD15" s="1">
        <v>5.8</v>
      </c>
      <c r="CE15" s="3">
        <v>46183</v>
      </c>
      <c r="CF15" s="1">
        <v>5.6790000000000003</v>
      </c>
      <c r="CG15" s="3">
        <v>46183</v>
      </c>
      <c r="CH15" s="1">
        <v>5.57</v>
      </c>
      <c r="CI15" s="3">
        <v>46183</v>
      </c>
      <c r="CJ15" s="1">
        <v>5.37</v>
      </c>
      <c r="CK15" s="3">
        <v>46183</v>
      </c>
      <c r="CL15" s="1">
        <v>5.24</v>
      </c>
      <c r="CM15" s="3">
        <v>46183</v>
      </c>
      <c r="CN15" s="1">
        <v>5.14</v>
      </c>
      <c r="CO15" s="3">
        <v>46183</v>
      </c>
      <c r="CP15" s="1">
        <v>5.1100000000000003</v>
      </c>
      <c r="CQ15" s="3">
        <v>46183</v>
      </c>
      <c r="CR15" s="1">
        <v>5.08</v>
      </c>
      <c r="CS15" s="3">
        <v>46183</v>
      </c>
      <c r="CT15" s="1">
        <v>5.0449999999999999</v>
      </c>
    </row>
    <row r="16" spans="1:98" x14ac:dyDescent="0.2">
      <c r="U16" s="1" t="s">
        <v>25</v>
      </c>
      <c r="V16" s="1">
        <f>BO3</f>
        <v>4.03</v>
      </c>
      <c r="W16" s="1">
        <f>AVERAGE(BO3:BO9)</f>
        <v>4.1041428571428566</v>
      </c>
      <c r="X16" s="1">
        <f>AVERAGE(BO3:BO25)</f>
        <v>4.2383043478260873</v>
      </c>
      <c r="AA16" s="1">
        <f>MAX(BO3:BO17)</f>
        <v>4.5449999999999999</v>
      </c>
      <c r="AB16" s="1">
        <f>MIN(BO3:BO17)</f>
        <v>4.03</v>
      </c>
      <c r="AE16" s="3">
        <v>46182</v>
      </c>
      <c r="AF16" s="1">
        <v>3.75</v>
      </c>
      <c r="AG16" s="3">
        <v>46181</v>
      </c>
      <c r="AH16" s="1">
        <v>3.86</v>
      </c>
      <c r="AI16" s="3">
        <v>46182</v>
      </c>
      <c r="AJ16" s="2">
        <v>3.87</v>
      </c>
      <c r="AK16" s="3">
        <v>46182</v>
      </c>
      <c r="AL16" s="2">
        <v>3.9125000000000001</v>
      </c>
      <c r="AM16" s="3">
        <v>46182</v>
      </c>
      <c r="AN16" s="2">
        <v>4.0025000000000004</v>
      </c>
      <c r="AO16" s="3">
        <v>46182</v>
      </c>
      <c r="AP16" s="2">
        <v>4.25</v>
      </c>
      <c r="AQ16" s="3">
        <v>46182</v>
      </c>
      <c r="AR16" s="2">
        <v>4.4675000000000002</v>
      </c>
      <c r="AS16" s="3">
        <v>46182</v>
      </c>
      <c r="AT16" s="2">
        <v>4.4800000000000004</v>
      </c>
      <c r="AU16" s="3">
        <v>46182</v>
      </c>
      <c r="AV16" s="2">
        <v>4.4550000000000001</v>
      </c>
      <c r="AW16" s="3">
        <v>46182</v>
      </c>
      <c r="AX16" s="2">
        <v>4.43</v>
      </c>
      <c r="AY16" s="3">
        <v>46182</v>
      </c>
      <c r="AZ16" s="2">
        <v>4.4024999999999999</v>
      </c>
      <c r="BB16" s="3">
        <v>46182</v>
      </c>
      <c r="BC16" s="1">
        <v>3.5</v>
      </c>
      <c r="BD16" s="3">
        <v>46182</v>
      </c>
      <c r="BE16" s="1">
        <v>3.61</v>
      </c>
      <c r="BF16" s="3">
        <v>46182</v>
      </c>
      <c r="BG16" s="1">
        <v>3.7749999999999999</v>
      </c>
      <c r="BH16" s="3">
        <v>46182</v>
      </c>
      <c r="BI16" s="1">
        <v>3.9279999999999999</v>
      </c>
      <c r="BJ16" s="3">
        <v>46182</v>
      </c>
      <c r="BK16" s="1">
        <v>4.0149999999999997</v>
      </c>
      <c r="BL16" s="3">
        <v>46182</v>
      </c>
      <c r="BM16" s="1">
        <v>4.3250000000000002</v>
      </c>
      <c r="BN16" s="3">
        <v>46182</v>
      </c>
      <c r="BO16" s="1">
        <v>4.4649999999999999</v>
      </c>
      <c r="BP16" s="3">
        <v>46182</v>
      </c>
      <c r="BQ16" s="1">
        <v>4.4749999999999996</v>
      </c>
      <c r="BR16" s="3">
        <v>46182</v>
      </c>
      <c r="BS16" s="1">
        <v>4.4749999999999996</v>
      </c>
      <c r="BT16" s="3">
        <v>46182</v>
      </c>
      <c r="BU16" s="1">
        <v>4.46</v>
      </c>
      <c r="BV16" s="3">
        <v>46182</v>
      </c>
      <c r="BW16" s="1">
        <v>4.4530000000000003</v>
      </c>
      <c r="BY16" s="3">
        <v>46182</v>
      </c>
      <c r="BZ16" s="1">
        <v>6.25</v>
      </c>
      <c r="CA16" s="3">
        <v>46182</v>
      </c>
      <c r="CB16" s="1">
        <v>5.98</v>
      </c>
      <c r="CC16" s="3">
        <v>46182</v>
      </c>
      <c r="CD16" s="1">
        <v>5.798</v>
      </c>
      <c r="CE16" s="3">
        <v>46182</v>
      </c>
      <c r="CF16" s="1">
        <v>5.68</v>
      </c>
      <c r="CG16" s="3">
        <v>46182</v>
      </c>
      <c r="CH16" s="1">
        <v>5.58</v>
      </c>
      <c r="CI16" s="3">
        <v>46182</v>
      </c>
      <c r="CJ16" s="1">
        <v>5.38</v>
      </c>
      <c r="CK16" s="3">
        <v>46182</v>
      </c>
      <c r="CL16" s="1">
        <v>5.25</v>
      </c>
      <c r="CM16" s="3">
        <v>46182</v>
      </c>
      <c r="CN16" s="1">
        <v>5.15</v>
      </c>
      <c r="CO16" s="3">
        <v>46182</v>
      </c>
      <c r="CP16" s="1">
        <v>5.12</v>
      </c>
      <c r="CQ16" s="3">
        <v>46182</v>
      </c>
      <c r="CR16" s="1">
        <v>5.09</v>
      </c>
      <c r="CS16" s="3">
        <v>46182</v>
      </c>
      <c r="CT16" s="1">
        <v>5.0549999999999997</v>
      </c>
    </row>
    <row r="17" spans="21:98" x14ac:dyDescent="0.2">
      <c r="U17" s="1" t="s">
        <v>24</v>
      </c>
      <c r="V17" s="1">
        <f>BQ3</f>
        <v>4.01</v>
      </c>
      <c r="W17" s="1">
        <f>AVERAGE(BQ3:BQ9)</f>
        <v>4.0919999999999996</v>
      </c>
      <c r="X17" s="1">
        <f>AVERAGE(BQ3:BQ25)</f>
        <v>4.259608695652175</v>
      </c>
      <c r="AA17" s="1">
        <f>MAX(BQ3:BQ17)</f>
        <v>4.5449999999999999</v>
      </c>
      <c r="AB17" s="1">
        <f>MIN(BQ3:BQ17)</f>
        <v>4.01</v>
      </c>
      <c r="AE17" s="3">
        <v>46181</v>
      </c>
      <c r="AF17" s="1">
        <v>3.75</v>
      </c>
      <c r="AG17" s="3">
        <v>46178</v>
      </c>
      <c r="AH17" s="1">
        <v>3.85</v>
      </c>
      <c r="AI17" s="3">
        <v>46181</v>
      </c>
      <c r="AJ17" s="2">
        <v>3.875</v>
      </c>
      <c r="AK17" s="3">
        <v>46181</v>
      </c>
      <c r="AL17" s="2">
        <v>3.972</v>
      </c>
      <c r="AM17" s="3">
        <v>46181</v>
      </c>
      <c r="AN17" s="2">
        <v>4.085</v>
      </c>
      <c r="AO17" s="3">
        <v>46181</v>
      </c>
      <c r="AP17" s="2">
        <v>4.3949999999999996</v>
      </c>
      <c r="AQ17" s="3">
        <v>46181</v>
      </c>
      <c r="AR17" s="2">
        <v>4.6449999999999996</v>
      </c>
      <c r="AS17" s="3">
        <v>46181</v>
      </c>
      <c r="AT17" s="2">
        <v>4.6574999999999998</v>
      </c>
      <c r="AU17" s="3">
        <v>46181</v>
      </c>
      <c r="AV17" s="2">
        <v>4.6349999999999998</v>
      </c>
      <c r="AW17" s="3">
        <v>46181</v>
      </c>
      <c r="AX17" s="2">
        <v>4.6100000000000003</v>
      </c>
      <c r="AY17" s="3">
        <v>46181</v>
      </c>
      <c r="AZ17" s="2">
        <v>4.5824999999999996</v>
      </c>
      <c r="BB17" s="3">
        <v>46181</v>
      </c>
      <c r="BC17" s="1">
        <v>3.5</v>
      </c>
      <c r="BD17" s="3">
        <v>46181</v>
      </c>
      <c r="BE17" s="1">
        <v>3.61</v>
      </c>
      <c r="BF17" s="3">
        <v>46181</v>
      </c>
      <c r="BG17" s="1">
        <v>3.79</v>
      </c>
      <c r="BH17" s="3">
        <v>46181</v>
      </c>
      <c r="BI17" s="1">
        <v>3.89</v>
      </c>
      <c r="BJ17" s="3">
        <v>46181</v>
      </c>
      <c r="BK17" s="1">
        <v>4.0750000000000002</v>
      </c>
      <c r="BL17" s="3">
        <v>46181</v>
      </c>
      <c r="BM17" s="1">
        <v>4.415</v>
      </c>
      <c r="BN17" s="3">
        <v>46181</v>
      </c>
      <c r="BO17" s="1">
        <v>4.5449999999999999</v>
      </c>
      <c r="BP17" s="3">
        <v>46181</v>
      </c>
      <c r="BQ17" s="1">
        <v>4.5449999999999999</v>
      </c>
      <c r="BR17" s="3">
        <v>46181</v>
      </c>
      <c r="BS17" s="1">
        <v>4.5350000000000001</v>
      </c>
      <c r="BT17" s="3">
        <v>46181</v>
      </c>
      <c r="BU17" s="1">
        <v>4.5229999999999997</v>
      </c>
      <c r="BV17" s="3">
        <v>46181</v>
      </c>
      <c r="BW17" s="1">
        <v>4.5129999999999999</v>
      </c>
      <c r="BY17" s="3">
        <v>46178</v>
      </c>
      <c r="BZ17" s="1">
        <v>6.25</v>
      </c>
      <c r="CA17" s="3">
        <v>46181</v>
      </c>
      <c r="CB17" s="1">
        <v>5.99</v>
      </c>
      <c r="CC17" s="3">
        <v>46181</v>
      </c>
      <c r="CD17" s="1">
        <v>5.8330000000000002</v>
      </c>
      <c r="CE17" s="3">
        <v>46181</v>
      </c>
      <c r="CF17" s="1">
        <v>5.7370000000000001</v>
      </c>
      <c r="CG17" s="3">
        <v>46181</v>
      </c>
      <c r="CH17" s="1">
        <v>5.66</v>
      </c>
      <c r="CI17" s="3">
        <v>46181</v>
      </c>
      <c r="CJ17" s="1">
        <v>5.51</v>
      </c>
      <c r="CK17" s="3">
        <v>46181</v>
      </c>
      <c r="CL17" s="1">
        <v>5.4</v>
      </c>
      <c r="CM17" s="3">
        <v>46181</v>
      </c>
      <c r="CN17" s="1">
        <v>5.31</v>
      </c>
      <c r="CO17" s="3">
        <v>46181</v>
      </c>
      <c r="CP17" s="1">
        <v>5.28</v>
      </c>
      <c r="CQ17" s="3">
        <v>46181</v>
      </c>
      <c r="CR17" s="1">
        <v>5.25</v>
      </c>
      <c r="CS17" s="3">
        <v>46181</v>
      </c>
      <c r="CT17" s="1">
        <v>5.2149999999999999</v>
      </c>
    </row>
    <row r="18" spans="21:98" x14ac:dyDescent="0.2">
      <c r="U18" s="1" t="s">
        <v>23</v>
      </c>
      <c r="V18" s="1">
        <f>BS3</f>
        <v>4.0030000000000001</v>
      </c>
      <c r="W18" s="1">
        <f>AVERAGE(BS3:BS9)</f>
        <v>4.0878571428571417</v>
      </c>
      <c r="X18" s="1">
        <f>AVERAGE(BS3:BS25)</f>
        <v>4.260478260869565</v>
      </c>
      <c r="AA18" s="1">
        <f>MAX(BS3:BS17)</f>
        <v>4.5350000000000001</v>
      </c>
      <c r="AB18" s="1">
        <f>MIN(BS3:BS17)</f>
        <v>4.0030000000000001</v>
      </c>
      <c r="AE18" s="3">
        <v>46178</v>
      </c>
      <c r="AF18" s="1">
        <v>3.75</v>
      </c>
      <c r="AG18" s="3">
        <v>46176</v>
      </c>
      <c r="AH18" s="1">
        <v>3.87</v>
      </c>
      <c r="AI18" s="3">
        <v>46178</v>
      </c>
      <c r="AJ18" s="2">
        <v>3.87</v>
      </c>
      <c r="AK18" s="3">
        <v>46178</v>
      </c>
      <c r="AL18" s="2">
        <v>3.9390000000000001</v>
      </c>
      <c r="AM18" s="3">
        <v>46178</v>
      </c>
      <c r="AN18" s="2">
        <v>4.0425000000000004</v>
      </c>
      <c r="AO18" s="3">
        <v>46178</v>
      </c>
      <c r="AP18" s="2">
        <v>4.335</v>
      </c>
      <c r="AQ18" s="3">
        <v>46178</v>
      </c>
      <c r="AR18" s="2">
        <v>4.5599999999999996</v>
      </c>
      <c r="AS18" s="3">
        <v>46178</v>
      </c>
      <c r="AT18" s="2">
        <v>4.5824999999999996</v>
      </c>
      <c r="AU18" s="3">
        <v>46178</v>
      </c>
      <c r="AV18" s="2">
        <v>4.5599999999999996</v>
      </c>
      <c r="AW18" s="3">
        <v>46178</v>
      </c>
      <c r="AX18" s="2">
        <v>4.5350000000000001</v>
      </c>
      <c r="AY18" s="3">
        <v>46178</v>
      </c>
      <c r="AZ18" s="2">
        <v>4.5075000000000003</v>
      </c>
      <c r="BB18" s="3">
        <v>46178</v>
      </c>
      <c r="BC18" s="1">
        <v>3.5</v>
      </c>
      <c r="BD18" s="3">
        <v>46178</v>
      </c>
      <c r="BE18" s="1">
        <v>3.6</v>
      </c>
      <c r="BF18" s="3">
        <v>46178</v>
      </c>
      <c r="BG18" s="1">
        <v>3.7850000000000001</v>
      </c>
      <c r="BH18" s="3">
        <v>46178</v>
      </c>
      <c r="BI18" s="1">
        <v>3.8650000000000002</v>
      </c>
      <c r="BJ18" s="3">
        <v>46178</v>
      </c>
      <c r="BK18" s="1">
        <v>4.0199999999999996</v>
      </c>
      <c r="BL18" s="3">
        <v>46178</v>
      </c>
      <c r="BM18" s="1">
        <v>4.3449999999999998</v>
      </c>
      <c r="BN18" s="3">
        <v>46178</v>
      </c>
      <c r="BO18" s="1">
        <v>4.4829999999999997</v>
      </c>
      <c r="BP18" s="3">
        <v>46178</v>
      </c>
      <c r="BQ18" s="1">
        <v>4.51</v>
      </c>
      <c r="BR18" s="3">
        <v>46178</v>
      </c>
      <c r="BS18" s="1">
        <v>4.51</v>
      </c>
      <c r="BT18" s="3">
        <v>46178</v>
      </c>
      <c r="BU18" s="1">
        <v>4.5049999999999999</v>
      </c>
      <c r="BV18" s="3">
        <v>46178</v>
      </c>
      <c r="BW18" s="1">
        <v>4.49</v>
      </c>
      <c r="BY18" s="3">
        <v>46177</v>
      </c>
      <c r="BZ18" s="1">
        <v>6.25</v>
      </c>
      <c r="CA18" s="3">
        <v>46178</v>
      </c>
      <c r="CB18" s="1">
        <v>5.98</v>
      </c>
      <c r="CC18" s="3">
        <v>46178</v>
      </c>
      <c r="CD18" s="1">
        <v>5.8259999999999996</v>
      </c>
      <c r="CE18" s="3">
        <v>46178</v>
      </c>
      <c r="CF18" s="1">
        <v>5.7229999999999999</v>
      </c>
      <c r="CG18" s="3">
        <v>46178</v>
      </c>
      <c r="CH18" s="1">
        <v>5.65</v>
      </c>
      <c r="CI18" s="3">
        <v>46178</v>
      </c>
      <c r="CJ18" s="1">
        <v>5.49</v>
      </c>
      <c r="CK18" s="3">
        <v>46178</v>
      </c>
      <c r="CL18" s="1">
        <v>5.37</v>
      </c>
      <c r="CM18" s="3">
        <v>46178</v>
      </c>
      <c r="CN18" s="1">
        <v>5.27</v>
      </c>
      <c r="CO18" s="3">
        <v>46178</v>
      </c>
      <c r="CP18" s="1">
        <v>5.24</v>
      </c>
      <c r="CQ18" s="3">
        <v>46178</v>
      </c>
      <c r="CR18" s="1">
        <v>5.21</v>
      </c>
      <c r="CS18" s="3">
        <v>46178</v>
      </c>
      <c r="CT18" s="1">
        <v>5.1749999999999998</v>
      </c>
    </row>
    <row r="19" spans="21:98" x14ac:dyDescent="0.2">
      <c r="U19" s="1" t="s">
        <v>22</v>
      </c>
      <c r="V19" s="1">
        <f>BU3</f>
        <v>3.9929999999999999</v>
      </c>
      <c r="W19" s="1">
        <f>AVERAGE(BU3:BU9)</f>
        <v>4.0834285714285707</v>
      </c>
      <c r="X19" s="1">
        <f>AVERAGE(BU3:BU25)</f>
        <v>4.25995652173913</v>
      </c>
      <c r="AA19" s="1">
        <f>MAX(BU3:BU17)</f>
        <v>4.5229999999999997</v>
      </c>
      <c r="AB19" s="1">
        <f>MIN(BU3:BU17)</f>
        <v>3.9929999999999999</v>
      </c>
      <c r="AE19" s="3">
        <v>46177</v>
      </c>
      <c r="AF19" s="1">
        <v>3.75</v>
      </c>
      <c r="AG19" s="3">
        <v>46175</v>
      </c>
      <c r="AH19" s="1">
        <v>3.86</v>
      </c>
      <c r="AI19" s="3">
        <v>46177</v>
      </c>
      <c r="AJ19" s="2">
        <v>3.875</v>
      </c>
      <c r="AK19" s="3">
        <v>46177</v>
      </c>
      <c r="AL19" s="2">
        <v>3.92</v>
      </c>
      <c r="AM19" s="3">
        <v>46177</v>
      </c>
      <c r="AN19" s="2">
        <v>4.0019999999999998</v>
      </c>
      <c r="AO19" s="3">
        <v>46177</v>
      </c>
      <c r="AP19" s="2">
        <v>4.2750000000000004</v>
      </c>
      <c r="AQ19" s="3">
        <v>46177</v>
      </c>
      <c r="AR19" s="2">
        <v>4.4749999999999996</v>
      </c>
      <c r="AS19" s="3">
        <v>46177</v>
      </c>
      <c r="AT19" s="2">
        <v>4.4649999999999999</v>
      </c>
      <c r="AU19" s="3">
        <v>46177</v>
      </c>
      <c r="AV19" s="2">
        <v>4.4375</v>
      </c>
      <c r="AW19" s="3">
        <v>46177</v>
      </c>
      <c r="AX19" s="2">
        <v>4.4024999999999999</v>
      </c>
      <c r="AY19" s="3">
        <v>46177</v>
      </c>
      <c r="AZ19" s="2">
        <v>4.3674999999999997</v>
      </c>
      <c r="BB19" s="3">
        <v>46177</v>
      </c>
      <c r="BC19" s="1">
        <v>3.5</v>
      </c>
      <c r="BD19" s="3">
        <v>46177</v>
      </c>
      <c r="BE19" s="1">
        <v>3.59</v>
      </c>
      <c r="BF19" s="3">
        <v>46177</v>
      </c>
      <c r="BG19" s="1">
        <v>3.75</v>
      </c>
      <c r="BH19" s="3">
        <v>46177</v>
      </c>
      <c r="BI19" s="1">
        <v>3.82</v>
      </c>
      <c r="BJ19" s="3">
        <v>46177</v>
      </c>
      <c r="BK19" s="1">
        <v>3.95</v>
      </c>
      <c r="BL19" s="3">
        <v>46177</v>
      </c>
      <c r="BM19" s="1">
        <v>4.25</v>
      </c>
      <c r="BN19" s="3">
        <v>46177</v>
      </c>
      <c r="BO19" s="1">
        <v>4.3680000000000003</v>
      </c>
      <c r="BP19" s="3">
        <v>46177</v>
      </c>
      <c r="BQ19" s="1">
        <v>4.3929999999999998</v>
      </c>
      <c r="BR19" s="3">
        <v>46177</v>
      </c>
      <c r="BS19" s="1">
        <v>4.3899999999999997</v>
      </c>
      <c r="BT19" s="3">
        <v>46177</v>
      </c>
      <c r="BU19" s="1">
        <v>4.3879999999999999</v>
      </c>
      <c r="BV19" s="3">
        <v>46177</v>
      </c>
      <c r="BW19" s="1">
        <v>4.375</v>
      </c>
      <c r="BY19" s="3">
        <v>46176</v>
      </c>
      <c r="BZ19" s="1">
        <v>6.25</v>
      </c>
      <c r="CA19" s="3">
        <v>46177</v>
      </c>
      <c r="CB19" s="1">
        <v>5.99</v>
      </c>
      <c r="CC19" s="3">
        <v>46177</v>
      </c>
      <c r="CD19" s="1">
        <v>5.82</v>
      </c>
      <c r="CE19" s="3">
        <v>46177</v>
      </c>
      <c r="CF19" s="1">
        <v>5.69</v>
      </c>
      <c r="CG19" s="3">
        <v>46177</v>
      </c>
      <c r="CH19" s="1">
        <v>5.59</v>
      </c>
      <c r="CI19" s="3">
        <v>46177</v>
      </c>
      <c r="CJ19" s="1">
        <v>5.37</v>
      </c>
      <c r="CK19" s="3">
        <v>46177</v>
      </c>
      <c r="CL19" s="1">
        <v>5.19</v>
      </c>
      <c r="CM19" s="3">
        <v>46177</v>
      </c>
      <c r="CN19" s="1">
        <v>5.0999999999999996</v>
      </c>
      <c r="CO19" s="3">
        <v>46177</v>
      </c>
      <c r="CP19" s="1">
        <v>5.07</v>
      </c>
      <c r="CQ19" s="3">
        <v>46177</v>
      </c>
      <c r="CR19" s="1">
        <v>5.04</v>
      </c>
      <c r="CS19" s="3">
        <v>46177</v>
      </c>
      <c r="CT19" s="1">
        <v>5.0049999999999999</v>
      </c>
    </row>
    <row r="20" spans="21:98" x14ac:dyDescent="0.2">
      <c r="U20" s="1" t="s">
        <v>21</v>
      </c>
      <c r="V20" s="1">
        <f>BW3</f>
        <v>3.99</v>
      </c>
      <c r="W20" s="1">
        <f>AVERAGE(BW3:BW9)</f>
        <v>4.0830000000000002</v>
      </c>
      <c r="X20" s="1">
        <f>AVERAGE(BW3:BW25)</f>
        <v>4.2600869565217394</v>
      </c>
      <c r="AA20" s="1">
        <f>MAX(BW3:BW17)</f>
        <v>4.5129999999999999</v>
      </c>
      <c r="AB20" s="1">
        <f>MIN(BW3:BW17)</f>
        <v>3.99</v>
      </c>
      <c r="AE20" s="3">
        <v>46176</v>
      </c>
      <c r="AF20" s="1">
        <v>3.75</v>
      </c>
      <c r="AG20" s="3">
        <v>46174</v>
      </c>
      <c r="AH20" s="1">
        <v>3.86</v>
      </c>
      <c r="AI20" s="3">
        <v>46176</v>
      </c>
      <c r="AJ20" s="2">
        <v>3.875</v>
      </c>
      <c r="AK20" s="3">
        <v>46176</v>
      </c>
      <c r="AL20" s="2">
        <v>3.9049999999999998</v>
      </c>
      <c r="AM20" s="3">
        <v>46176</v>
      </c>
      <c r="AN20" s="2">
        <v>3.9950000000000001</v>
      </c>
      <c r="AO20" s="3">
        <v>46176</v>
      </c>
      <c r="AP20" s="2">
        <v>4.2374999999999998</v>
      </c>
      <c r="AQ20" s="3">
        <v>46176</v>
      </c>
      <c r="AR20" s="2">
        <v>4.4675000000000002</v>
      </c>
      <c r="AS20" s="3">
        <v>46176</v>
      </c>
      <c r="AT20" s="2">
        <v>4.4649999999999999</v>
      </c>
      <c r="AU20" s="3">
        <v>46176</v>
      </c>
      <c r="AV20" s="2">
        <v>4.4375</v>
      </c>
      <c r="AW20" s="3">
        <v>46176</v>
      </c>
      <c r="AX20" s="2">
        <v>4.4024999999999999</v>
      </c>
      <c r="AY20" s="3">
        <v>46176</v>
      </c>
      <c r="AZ20" s="2">
        <v>4.3674999999999997</v>
      </c>
      <c r="BB20" s="3">
        <v>46176</v>
      </c>
      <c r="BC20" s="1">
        <v>3.5</v>
      </c>
      <c r="BD20" s="3">
        <v>46176</v>
      </c>
      <c r="BE20" s="1">
        <v>3.59</v>
      </c>
      <c r="BF20" s="3">
        <v>46176</v>
      </c>
      <c r="BG20" s="1">
        <v>3.77</v>
      </c>
      <c r="BH20" s="3">
        <v>46176</v>
      </c>
      <c r="BI20" s="1">
        <v>3.855</v>
      </c>
      <c r="BJ20" s="3">
        <v>46176</v>
      </c>
      <c r="BK20" s="1">
        <v>3.97</v>
      </c>
      <c r="BL20" s="3">
        <v>46176</v>
      </c>
      <c r="BM20" s="1">
        <v>4.2629999999999999</v>
      </c>
      <c r="BN20" s="3">
        <v>46176</v>
      </c>
      <c r="BO20" s="1">
        <v>4.4029999999999996</v>
      </c>
      <c r="BP20" s="3">
        <v>46176</v>
      </c>
      <c r="BQ20" s="1">
        <v>4.4379999999999997</v>
      </c>
      <c r="BR20" s="3">
        <v>46176</v>
      </c>
      <c r="BS20" s="1">
        <v>4.43</v>
      </c>
      <c r="BT20" s="3">
        <v>46176</v>
      </c>
      <c r="BU20" s="1">
        <v>4.42</v>
      </c>
      <c r="BV20" s="3">
        <v>46176</v>
      </c>
      <c r="BW20" s="1">
        <v>4.4029999999999996</v>
      </c>
      <c r="BY20" s="3">
        <v>46175</v>
      </c>
      <c r="BZ20" s="1">
        <v>6.25</v>
      </c>
      <c r="CA20" s="3">
        <v>46176</v>
      </c>
      <c r="CB20" s="1">
        <v>5.99</v>
      </c>
      <c r="CC20" s="3">
        <v>46176</v>
      </c>
      <c r="CD20" s="1">
        <v>5.83</v>
      </c>
      <c r="CE20" s="3">
        <v>46176</v>
      </c>
      <c r="CF20" s="1">
        <v>5.71</v>
      </c>
      <c r="CG20" s="3">
        <v>46176</v>
      </c>
      <c r="CH20" s="1">
        <v>5.6</v>
      </c>
      <c r="CI20" s="3">
        <v>46176</v>
      </c>
      <c r="CJ20" s="1">
        <v>5.39</v>
      </c>
      <c r="CK20" s="3">
        <v>46176</v>
      </c>
      <c r="CL20" s="1">
        <v>5.21</v>
      </c>
      <c r="CM20" s="3">
        <v>46176</v>
      </c>
      <c r="CN20" s="1">
        <v>5.09</v>
      </c>
      <c r="CO20" s="3">
        <v>46176</v>
      </c>
      <c r="CP20" s="1">
        <v>5.0599999999999996</v>
      </c>
      <c r="CQ20" s="3">
        <v>46176</v>
      </c>
      <c r="CR20" s="1">
        <v>5.0449999999999999</v>
      </c>
      <c r="CS20" s="3">
        <v>46176</v>
      </c>
      <c r="CT20" s="1">
        <v>5.0250000000000004</v>
      </c>
    </row>
    <row r="21" spans="21:98" x14ac:dyDescent="0.2">
      <c r="AE21" s="3">
        <v>46175</v>
      </c>
      <c r="AF21" s="1">
        <v>3.75</v>
      </c>
      <c r="AG21" s="3">
        <v>46171</v>
      </c>
      <c r="AH21" s="1">
        <v>3.86</v>
      </c>
      <c r="AI21" s="3">
        <v>46175</v>
      </c>
      <c r="AJ21" s="2">
        <v>3.88</v>
      </c>
      <c r="AK21" s="3">
        <v>46175</v>
      </c>
      <c r="AL21" s="2">
        <v>3.93</v>
      </c>
      <c r="AM21" s="3">
        <v>46175</v>
      </c>
      <c r="AN21" s="2">
        <v>3.9950000000000001</v>
      </c>
      <c r="AO21" s="3">
        <v>46175</v>
      </c>
      <c r="AP21" s="2">
        <v>4.2350000000000003</v>
      </c>
      <c r="AQ21" s="3">
        <v>46175</v>
      </c>
      <c r="AR21" s="2">
        <v>4.42</v>
      </c>
      <c r="AS21" s="3">
        <v>46175</v>
      </c>
      <c r="AT21" s="2">
        <v>4.42</v>
      </c>
      <c r="AU21" s="3">
        <v>46175</v>
      </c>
      <c r="AV21" s="2">
        <v>4.3925000000000001</v>
      </c>
      <c r="AW21" s="3">
        <v>46175</v>
      </c>
      <c r="AX21" s="2">
        <v>4.3600000000000003</v>
      </c>
      <c r="AY21" s="3">
        <v>46175</v>
      </c>
      <c r="AZ21" s="2">
        <v>4.3375000000000004</v>
      </c>
      <c r="BB21" s="3">
        <v>46175</v>
      </c>
      <c r="BC21" s="1">
        <v>3.5</v>
      </c>
      <c r="BD21" s="3">
        <v>46175</v>
      </c>
      <c r="BE21" s="1">
        <v>3.57</v>
      </c>
      <c r="BF21" s="3">
        <v>46175</v>
      </c>
      <c r="BG21" s="1">
        <v>3.78</v>
      </c>
      <c r="BH21" s="3">
        <v>46175</v>
      </c>
      <c r="BI21" s="1">
        <v>3.8250000000000002</v>
      </c>
      <c r="BJ21" s="3">
        <v>46175</v>
      </c>
      <c r="BK21" s="1">
        <v>3.92</v>
      </c>
      <c r="BL21" s="3">
        <v>46175</v>
      </c>
      <c r="BM21" s="1">
        <v>4.1749999999999998</v>
      </c>
      <c r="BN21" s="3">
        <v>46175</v>
      </c>
      <c r="BO21" s="1">
        <v>4.3250000000000002</v>
      </c>
      <c r="BP21" s="3">
        <v>46175</v>
      </c>
      <c r="BQ21" s="1">
        <v>4.3879999999999999</v>
      </c>
      <c r="BR21" s="3">
        <v>46175</v>
      </c>
      <c r="BS21" s="1">
        <v>4.383</v>
      </c>
      <c r="BT21" s="3">
        <v>46175</v>
      </c>
      <c r="BU21" s="1">
        <v>4.3780000000000001</v>
      </c>
      <c r="BV21" s="3">
        <v>46175</v>
      </c>
      <c r="BW21" s="1">
        <v>4.37</v>
      </c>
      <c r="BY21" s="3">
        <v>46174</v>
      </c>
      <c r="BZ21" s="1">
        <v>6.25</v>
      </c>
      <c r="CA21" s="3">
        <v>46175</v>
      </c>
      <c r="CB21" s="1">
        <v>5.99</v>
      </c>
      <c r="CC21" s="3">
        <v>46175</v>
      </c>
      <c r="CD21" s="1">
        <v>5.82</v>
      </c>
      <c r="CE21" s="3">
        <v>46175</v>
      </c>
      <c r="CF21" s="1">
        <v>5.71</v>
      </c>
      <c r="CG21" s="3">
        <v>46175</v>
      </c>
      <c r="CH21" s="1">
        <v>5.6</v>
      </c>
      <c r="CI21" s="3">
        <v>46175</v>
      </c>
      <c r="CJ21" s="1">
        <v>5.36</v>
      </c>
      <c r="CK21" s="3">
        <v>46175</v>
      </c>
      <c r="CL21" s="1">
        <v>5.16</v>
      </c>
      <c r="CM21" s="3">
        <v>46175</v>
      </c>
      <c r="CN21" s="1">
        <v>5.04</v>
      </c>
      <c r="CO21" s="3">
        <v>46175</v>
      </c>
      <c r="CP21" s="1">
        <v>5.01</v>
      </c>
      <c r="CQ21" s="3">
        <v>46175</v>
      </c>
      <c r="CR21" s="1">
        <v>4.9950000000000001</v>
      </c>
      <c r="CS21" s="3">
        <v>46175</v>
      </c>
      <c r="CT21" s="1">
        <v>4.9749999999999996</v>
      </c>
    </row>
    <row r="22" spans="21:98" x14ac:dyDescent="0.2">
      <c r="U22" s="1" t="s">
        <v>19</v>
      </c>
      <c r="V22" s="1" t="s">
        <v>32</v>
      </c>
      <c r="W22" s="1" t="s">
        <v>31</v>
      </c>
      <c r="X22" s="1" t="s">
        <v>30</v>
      </c>
      <c r="AA22" s="1" t="s">
        <v>29</v>
      </c>
      <c r="AB22" s="1" t="s">
        <v>28</v>
      </c>
      <c r="AE22" s="3">
        <v>46174</v>
      </c>
      <c r="AF22" s="1">
        <v>3.75</v>
      </c>
      <c r="AG22" s="3">
        <v>46170</v>
      </c>
      <c r="AH22" s="1">
        <v>3.86</v>
      </c>
      <c r="AI22" s="3">
        <v>46174</v>
      </c>
      <c r="AJ22" s="2">
        <v>3.88</v>
      </c>
      <c r="AK22" s="3">
        <v>46174</v>
      </c>
      <c r="AL22" s="2">
        <v>3.9289999999999998</v>
      </c>
      <c r="AM22" s="3">
        <v>46174</v>
      </c>
      <c r="AN22" s="2">
        <v>3.9864999999999999</v>
      </c>
      <c r="AO22" s="3">
        <v>46174</v>
      </c>
      <c r="AP22" s="2">
        <v>4.2525000000000004</v>
      </c>
      <c r="AQ22" s="3">
        <v>46174</v>
      </c>
      <c r="AR22" s="2">
        <v>4.46</v>
      </c>
      <c r="AS22" s="3">
        <v>46174</v>
      </c>
      <c r="AT22" s="2">
        <v>4.45</v>
      </c>
      <c r="AU22" s="3">
        <v>46174</v>
      </c>
      <c r="AV22" s="2">
        <v>4.4275000000000002</v>
      </c>
      <c r="AW22" s="3">
        <v>46174</v>
      </c>
      <c r="AX22" s="2">
        <v>4.4000000000000004</v>
      </c>
      <c r="AY22" s="3">
        <v>46174</v>
      </c>
      <c r="AZ22" s="2">
        <v>4.38</v>
      </c>
      <c r="BB22" s="3">
        <v>46174</v>
      </c>
      <c r="BC22" s="1">
        <v>3.5</v>
      </c>
      <c r="BD22" s="3">
        <v>46174</v>
      </c>
      <c r="BE22" s="1">
        <v>3.57</v>
      </c>
      <c r="BF22" s="3">
        <v>46174</v>
      </c>
      <c r="BG22" s="1">
        <v>3.6949999999999998</v>
      </c>
      <c r="BH22" s="3">
        <v>46174</v>
      </c>
      <c r="BI22" s="1">
        <v>3.7549999999999999</v>
      </c>
      <c r="BJ22" s="3">
        <v>46174</v>
      </c>
      <c r="BK22" s="1">
        <v>3.835</v>
      </c>
      <c r="BL22" s="3">
        <v>46174</v>
      </c>
      <c r="BM22" s="1">
        <v>4.0650000000000004</v>
      </c>
      <c r="BN22" s="3">
        <v>46174</v>
      </c>
      <c r="BO22" s="1">
        <v>4.25</v>
      </c>
      <c r="BP22" s="3">
        <v>46174</v>
      </c>
      <c r="BQ22" s="1">
        <v>4.3550000000000004</v>
      </c>
      <c r="BR22" s="3">
        <v>46174</v>
      </c>
      <c r="BS22" s="1">
        <v>4.38</v>
      </c>
      <c r="BT22" s="3">
        <v>46174</v>
      </c>
      <c r="BU22" s="1">
        <v>4.3899999999999997</v>
      </c>
      <c r="BV22" s="3">
        <v>46174</v>
      </c>
      <c r="BW22" s="1">
        <v>4.3929999999999998</v>
      </c>
      <c r="BY22" s="3">
        <v>46171</v>
      </c>
      <c r="BZ22" s="1">
        <v>6.25</v>
      </c>
      <c r="CA22" s="3">
        <v>46174</v>
      </c>
      <c r="CB22" s="1">
        <v>5.99</v>
      </c>
      <c r="CC22" s="3">
        <v>46174</v>
      </c>
      <c r="CD22" s="1">
        <v>5.8220000000000001</v>
      </c>
      <c r="CE22" s="3">
        <v>46174</v>
      </c>
      <c r="CF22" s="1">
        <v>5.7110000000000003</v>
      </c>
      <c r="CG22" s="3">
        <v>46174</v>
      </c>
      <c r="CH22" s="1">
        <v>5.6</v>
      </c>
      <c r="CI22" s="3">
        <v>46174</v>
      </c>
      <c r="CJ22" s="1">
        <v>5.35</v>
      </c>
      <c r="CK22" s="3">
        <v>46174</v>
      </c>
      <c r="CL22" s="1">
        <v>5.14</v>
      </c>
      <c r="CM22" s="3">
        <v>46174</v>
      </c>
      <c r="CN22" s="1">
        <v>5.03</v>
      </c>
      <c r="CO22" s="3">
        <v>46174</v>
      </c>
      <c r="CP22" s="1">
        <v>5</v>
      </c>
      <c r="CQ22" s="3">
        <v>46174</v>
      </c>
      <c r="CR22" s="1">
        <v>4.9850000000000003</v>
      </c>
      <c r="CS22" s="3">
        <v>46174</v>
      </c>
      <c r="CT22" s="1">
        <v>4.9649999999999999</v>
      </c>
    </row>
    <row r="23" spans="21:98" x14ac:dyDescent="0.2">
      <c r="U23" s="1" t="s">
        <v>17</v>
      </c>
      <c r="V23" s="1">
        <f>AVERAGE(BZ3,CB3)</f>
        <v>5.8599999999999994</v>
      </c>
      <c r="W23" s="1">
        <f>AVERAGE(BZ3:BZ9)</f>
        <v>6.1428571428571432</v>
      </c>
      <c r="X23" s="1">
        <f>AVERAGE(BZ3:BZ25)</f>
        <v>6.2173913043478262</v>
      </c>
      <c r="AA23" s="1">
        <f>AVERAGE(MAX(BZ3:BZ17),MAX(CB3:CB17))</f>
        <v>6.12</v>
      </c>
      <c r="AB23" s="1">
        <f>AVERAGE(MIN(BZ3:BZ17),MIN(BZ3:BZ17))</f>
        <v>6</v>
      </c>
      <c r="AE23" s="3">
        <v>46171</v>
      </c>
      <c r="AF23" s="1">
        <v>3.75</v>
      </c>
      <c r="AG23" s="3">
        <v>46169</v>
      </c>
      <c r="AH23" s="1">
        <v>3.86</v>
      </c>
      <c r="AI23" s="3">
        <v>46171</v>
      </c>
      <c r="AJ23" s="2">
        <v>3.86</v>
      </c>
      <c r="AK23" s="3">
        <v>46171</v>
      </c>
      <c r="AL23" s="2">
        <v>3.9024999999999999</v>
      </c>
      <c r="AM23" s="3">
        <v>46171</v>
      </c>
      <c r="AN23" s="2">
        <v>3.9325000000000001</v>
      </c>
      <c r="AO23" s="3">
        <v>46171</v>
      </c>
      <c r="AP23" s="2">
        <v>4.1550000000000002</v>
      </c>
      <c r="AQ23" s="3">
        <v>46171</v>
      </c>
      <c r="AR23" s="2">
        <v>4.3274999999999997</v>
      </c>
      <c r="AS23" s="3">
        <v>46171</v>
      </c>
      <c r="AT23" s="2">
        <v>4.3274999999999997</v>
      </c>
      <c r="AU23" s="3">
        <v>46171</v>
      </c>
      <c r="AV23" s="2">
        <v>4.3075000000000001</v>
      </c>
      <c r="AW23" s="3">
        <v>46171</v>
      </c>
      <c r="AX23" s="2">
        <v>4.2874999999999996</v>
      </c>
      <c r="AY23" s="3">
        <v>46171</v>
      </c>
      <c r="AZ23" s="2">
        <v>4.2675000000000001</v>
      </c>
      <c r="BB23" s="3">
        <v>46171</v>
      </c>
      <c r="BC23" s="1">
        <v>3.5</v>
      </c>
      <c r="BD23" s="3">
        <v>46171</v>
      </c>
      <c r="BE23" s="1">
        <v>3.57</v>
      </c>
      <c r="BF23" s="3">
        <v>46171</v>
      </c>
      <c r="BG23" s="1">
        <v>3.64</v>
      </c>
      <c r="BH23" s="3">
        <v>46171</v>
      </c>
      <c r="BI23" s="1">
        <v>3.6749999999999998</v>
      </c>
      <c r="BJ23" s="3">
        <v>46171</v>
      </c>
      <c r="BK23" s="1">
        <v>3.72</v>
      </c>
      <c r="BL23" s="3">
        <v>46171</v>
      </c>
      <c r="BM23" s="1">
        <v>3.91</v>
      </c>
      <c r="BN23" s="3">
        <v>46171</v>
      </c>
      <c r="BO23" s="1">
        <v>4.0750000000000002</v>
      </c>
      <c r="BP23" s="3">
        <v>46171</v>
      </c>
      <c r="BQ23" s="1">
        <v>4.1749999999999998</v>
      </c>
      <c r="BR23" s="3">
        <v>46171</v>
      </c>
      <c r="BS23" s="1">
        <v>4.1879999999999997</v>
      </c>
      <c r="BT23" s="3">
        <v>46171</v>
      </c>
      <c r="BU23" s="1">
        <v>4.2030000000000003</v>
      </c>
      <c r="BV23" s="3">
        <v>46171</v>
      </c>
      <c r="BW23" s="1">
        <v>4.22</v>
      </c>
      <c r="BY23" s="3">
        <v>46170</v>
      </c>
      <c r="BZ23" s="1">
        <v>6.25</v>
      </c>
      <c r="CA23" s="3">
        <v>46171</v>
      </c>
      <c r="CB23" s="1">
        <v>5.99</v>
      </c>
      <c r="CC23" s="3">
        <v>46171</v>
      </c>
      <c r="CD23" s="1">
        <v>5.8129999999999997</v>
      </c>
      <c r="CE23" s="3">
        <v>46171</v>
      </c>
      <c r="CF23" s="1">
        <v>5.681</v>
      </c>
      <c r="CG23" s="3">
        <v>46171</v>
      </c>
      <c r="CH23" s="1">
        <v>5.56</v>
      </c>
      <c r="CI23" s="3">
        <v>46171</v>
      </c>
      <c r="CJ23" s="1">
        <v>5.3</v>
      </c>
      <c r="CK23" s="3">
        <v>46171</v>
      </c>
      <c r="CL23" s="1">
        <v>5.08</v>
      </c>
      <c r="CM23" s="3">
        <v>46171</v>
      </c>
      <c r="CN23" s="1">
        <v>4.96</v>
      </c>
      <c r="CO23" s="3">
        <v>46171</v>
      </c>
      <c r="CP23" s="1">
        <v>4.93</v>
      </c>
      <c r="CQ23" s="3">
        <v>46171</v>
      </c>
      <c r="CR23" s="1">
        <v>4.915</v>
      </c>
      <c r="CS23" s="3">
        <v>46171</v>
      </c>
      <c r="CT23" s="1">
        <v>4.8949999999999996</v>
      </c>
    </row>
    <row r="24" spans="21:98" x14ac:dyDescent="0.2">
      <c r="U24" s="1" t="s">
        <v>27</v>
      </c>
      <c r="V24" s="1">
        <f>CH3</f>
        <v>5.24</v>
      </c>
      <c r="W24" s="1">
        <f>AVERAGE(CH3:CH9)</f>
        <v>5.3414285714285725</v>
      </c>
      <c r="X24" s="1">
        <f>AVERAGE(CH3:CH25)</f>
        <v>5.4891304347826084</v>
      </c>
      <c r="AA24" s="1">
        <f>MAX(CH3:CH17)</f>
        <v>5.66</v>
      </c>
      <c r="AB24" s="1">
        <f>MIN(CH3:CH17)</f>
        <v>5.24</v>
      </c>
      <c r="AE24" s="3">
        <v>46170</v>
      </c>
      <c r="AF24" s="1">
        <v>3.75</v>
      </c>
      <c r="AG24" s="3">
        <v>46168</v>
      </c>
      <c r="AH24" s="1">
        <v>3.86</v>
      </c>
      <c r="AI24" s="3">
        <v>46170</v>
      </c>
      <c r="AJ24" s="2">
        <v>3.9049999999999998</v>
      </c>
      <c r="AK24" s="3">
        <v>46170</v>
      </c>
      <c r="AL24" s="2">
        <v>3.96</v>
      </c>
      <c r="AM24" s="3">
        <v>46170</v>
      </c>
      <c r="AN24" s="2">
        <v>4.0199999999999996</v>
      </c>
      <c r="AO24" s="3">
        <v>46170</v>
      </c>
      <c r="AP24" s="2">
        <v>4.3274999999999997</v>
      </c>
      <c r="AQ24" s="3">
        <v>46170</v>
      </c>
      <c r="AR24" s="2">
        <v>4.55</v>
      </c>
      <c r="AS24" s="3">
        <v>46170</v>
      </c>
      <c r="AT24" s="2">
        <v>4.5575000000000001</v>
      </c>
      <c r="AU24" s="3">
        <v>46170</v>
      </c>
      <c r="AV24" s="2">
        <v>4.5350000000000001</v>
      </c>
      <c r="AW24" s="3">
        <v>46170</v>
      </c>
      <c r="AX24" s="2">
        <v>4.51</v>
      </c>
      <c r="AY24" s="3">
        <v>46170</v>
      </c>
      <c r="AZ24" s="2">
        <v>4.4800000000000004</v>
      </c>
      <c r="BB24" s="3">
        <v>46170</v>
      </c>
      <c r="BC24" s="1">
        <v>3.5</v>
      </c>
      <c r="BD24" s="3">
        <v>46170</v>
      </c>
      <c r="BE24" s="1">
        <v>3.57</v>
      </c>
      <c r="BF24" s="3">
        <v>46170</v>
      </c>
      <c r="BG24" s="1">
        <v>3.645</v>
      </c>
      <c r="BH24" s="3">
        <v>46170</v>
      </c>
      <c r="BI24" s="1">
        <v>3.6930000000000001</v>
      </c>
      <c r="BJ24" s="3">
        <v>46170</v>
      </c>
      <c r="BK24" s="1">
        <v>3.7429999999999999</v>
      </c>
      <c r="BL24" s="3">
        <v>46170</v>
      </c>
      <c r="BM24" s="1">
        <v>4.0199999999999996</v>
      </c>
      <c r="BN24" s="3">
        <v>46170</v>
      </c>
      <c r="BO24" s="1">
        <v>4.1900000000000004</v>
      </c>
      <c r="BP24" s="3">
        <v>46170</v>
      </c>
      <c r="BQ24" s="1">
        <v>4.2949999999999999</v>
      </c>
      <c r="BR24" s="3">
        <v>46170</v>
      </c>
      <c r="BS24" s="1">
        <v>4.3049999999999997</v>
      </c>
      <c r="BT24" s="3">
        <v>46170</v>
      </c>
      <c r="BU24" s="1">
        <v>4.3150000000000004</v>
      </c>
      <c r="BV24" s="3">
        <v>46170</v>
      </c>
      <c r="BW24" s="1">
        <v>4.3280000000000003</v>
      </c>
      <c r="BY24" s="3">
        <v>46169</v>
      </c>
      <c r="BZ24" s="1">
        <v>6.25</v>
      </c>
      <c r="CA24" s="3">
        <v>46170</v>
      </c>
      <c r="CB24" s="1">
        <v>6</v>
      </c>
      <c r="CC24" s="3">
        <v>46170</v>
      </c>
      <c r="CD24" s="1">
        <v>5.84</v>
      </c>
      <c r="CE24" s="3">
        <v>46170</v>
      </c>
      <c r="CF24" s="1">
        <v>5.72</v>
      </c>
      <c r="CG24" s="3">
        <v>46170</v>
      </c>
      <c r="CH24" s="1">
        <v>5.62</v>
      </c>
      <c r="CI24" s="3">
        <v>46170</v>
      </c>
      <c r="CJ24" s="1">
        <v>5.41</v>
      </c>
      <c r="CK24" s="3">
        <v>46170</v>
      </c>
      <c r="CL24" s="1">
        <v>5.23</v>
      </c>
      <c r="CM24" s="3">
        <v>46170</v>
      </c>
      <c r="CN24" s="1">
        <v>5.1100000000000003</v>
      </c>
      <c r="CO24" s="3">
        <v>46170</v>
      </c>
      <c r="CP24" s="1">
        <v>5.07</v>
      </c>
      <c r="CQ24" s="3">
        <v>46170</v>
      </c>
      <c r="CR24" s="1">
        <v>5.03</v>
      </c>
      <c r="CS24" s="3">
        <v>46170</v>
      </c>
      <c r="CT24" s="1">
        <v>4.9950000000000001</v>
      </c>
    </row>
    <row r="25" spans="21:98" x14ac:dyDescent="0.2">
      <c r="U25" s="1" t="s">
        <v>26</v>
      </c>
      <c r="V25" s="1">
        <f>CJ3</f>
        <v>4.99</v>
      </c>
      <c r="W25" s="1">
        <f>AVERAGE(CJ3:CJ9)</f>
        <v>5.088571428571429</v>
      </c>
      <c r="X25" s="1">
        <f>AVERAGE(CJ3:CJ25)</f>
        <v>5.2578260869565216</v>
      </c>
      <c r="AA25" s="1">
        <f>MAX(CJ3:CJ17)</f>
        <v>5.51</v>
      </c>
      <c r="AB25" s="1">
        <f>MIN(CJ3:CJ17)</f>
        <v>4.99</v>
      </c>
      <c r="AE25" s="3">
        <v>46169</v>
      </c>
      <c r="AF25" s="1">
        <v>3.75</v>
      </c>
      <c r="AG25" s="3">
        <v>46167</v>
      </c>
      <c r="AH25" s="1">
        <v>3.86</v>
      </c>
      <c r="AI25" s="3">
        <v>46169</v>
      </c>
      <c r="AJ25" s="2">
        <v>3.9</v>
      </c>
      <c r="AK25" s="3">
        <v>46169</v>
      </c>
      <c r="AL25" s="2">
        <v>3.97</v>
      </c>
      <c r="AM25" s="3">
        <v>46169</v>
      </c>
      <c r="AN25" s="2">
        <v>4.01</v>
      </c>
      <c r="AO25" s="3">
        <v>46169</v>
      </c>
      <c r="AP25" s="2">
        <v>4.3324999999999996</v>
      </c>
      <c r="AQ25" s="3">
        <v>46169</v>
      </c>
      <c r="AR25" s="2">
        <v>4.55</v>
      </c>
      <c r="AS25" s="3">
        <v>46169</v>
      </c>
      <c r="AT25" s="2">
        <v>4.5599999999999996</v>
      </c>
      <c r="AU25" s="3">
        <v>46169</v>
      </c>
      <c r="AV25" s="2">
        <v>4.5374999999999996</v>
      </c>
      <c r="AW25" s="3">
        <v>46169</v>
      </c>
      <c r="AX25" s="2">
        <v>4.5125000000000002</v>
      </c>
      <c r="AY25" s="3">
        <v>46169</v>
      </c>
      <c r="AZ25" s="2">
        <v>4.4824999999999999</v>
      </c>
      <c r="BB25" s="3">
        <v>46169</v>
      </c>
      <c r="BC25" s="1">
        <v>3.5</v>
      </c>
      <c r="BD25" s="3">
        <v>46169</v>
      </c>
      <c r="BE25" s="1">
        <v>3.57</v>
      </c>
      <c r="BF25" s="3">
        <v>46169</v>
      </c>
      <c r="BG25" s="1">
        <v>3.64</v>
      </c>
      <c r="BH25" s="3">
        <v>46169</v>
      </c>
      <c r="BI25" s="1">
        <v>3.6850000000000001</v>
      </c>
      <c r="BJ25" s="3">
        <v>46169</v>
      </c>
      <c r="BK25" s="1">
        <v>3.7650000000000001</v>
      </c>
      <c r="BL25" s="3">
        <v>46169</v>
      </c>
      <c r="BM25" s="1">
        <v>4.0650000000000004</v>
      </c>
      <c r="BN25" s="3">
        <v>46169</v>
      </c>
      <c r="BO25" s="1">
        <v>4.2149999999999999</v>
      </c>
      <c r="BP25" s="3">
        <v>46169</v>
      </c>
      <c r="BQ25" s="1">
        <v>4.3179999999999996</v>
      </c>
      <c r="BR25" s="3">
        <v>46169</v>
      </c>
      <c r="BS25" s="1">
        <v>4.335</v>
      </c>
      <c r="BT25" s="3">
        <v>46169</v>
      </c>
      <c r="BU25" s="1">
        <v>4.3529999999999998</v>
      </c>
      <c r="BV25" s="3">
        <v>46169</v>
      </c>
      <c r="BW25" s="1">
        <v>4.3680000000000003</v>
      </c>
      <c r="BY25" s="3">
        <v>46168</v>
      </c>
      <c r="BZ25" s="1">
        <v>6.25</v>
      </c>
      <c r="CA25" s="3">
        <v>46169</v>
      </c>
      <c r="CB25" s="1">
        <v>6.01</v>
      </c>
      <c r="CC25" s="3">
        <v>46169</v>
      </c>
      <c r="CD25" s="1">
        <v>5.8470000000000004</v>
      </c>
      <c r="CE25" s="3">
        <v>46169</v>
      </c>
      <c r="CF25" s="1">
        <v>5.7328999999999999</v>
      </c>
      <c r="CG25" s="3">
        <v>46169</v>
      </c>
      <c r="CH25" s="1">
        <v>5.61</v>
      </c>
      <c r="CI25" s="3">
        <v>46169</v>
      </c>
      <c r="CJ25" s="1">
        <v>5.4</v>
      </c>
      <c r="CK25" s="3">
        <v>46169</v>
      </c>
      <c r="CL25" s="1">
        <v>5.22</v>
      </c>
      <c r="CM25" s="3">
        <v>46169</v>
      </c>
      <c r="CN25" s="1">
        <v>5.12</v>
      </c>
      <c r="CO25" s="3">
        <v>46169</v>
      </c>
      <c r="CP25" s="1">
        <v>5.08</v>
      </c>
      <c r="CQ25" s="3">
        <v>46169</v>
      </c>
      <c r="CR25" s="1">
        <v>5.04</v>
      </c>
      <c r="CS25" s="3">
        <v>46169</v>
      </c>
      <c r="CT25" s="1">
        <v>5.0049999999999999</v>
      </c>
    </row>
    <row r="26" spans="21:98" x14ac:dyDescent="0.2">
      <c r="U26" s="1" t="s">
        <v>25</v>
      </c>
      <c r="V26" s="1">
        <f>CL3</f>
        <v>4.84</v>
      </c>
      <c r="W26" s="1">
        <f>AVERAGE(CL3:CL9)</f>
        <v>4.944285714285714</v>
      </c>
      <c r="X26" s="1">
        <f>AVERAGE(CL3:CL25)</f>
        <v>5.0999999999999996</v>
      </c>
      <c r="AA26" s="1">
        <f>MAX(CL3:CL17)</f>
        <v>5.4</v>
      </c>
      <c r="AB26" s="1">
        <f>MIN(CL3:CL17)</f>
        <v>4.83</v>
      </c>
      <c r="AE26" s="3">
        <v>46168</v>
      </c>
      <c r="AF26" s="1">
        <v>3.75</v>
      </c>
      <c r="AG26" s="3">
        <v>46164</v>
      </c>
      <c r="AH26" s="1">
        <v>3.86</v>
      </c>
      <c r="AI26" s="3">
        <v>46168</v>
      </c>
      <c r="AJ26" s="2">
        <v>3.9</v>
      </c>
      <c r="AK26" s="3">
        <v>46168</v>
      </c>
      <c r="AL26" s="2">
        <v>3.9565000000000001</v>
      </c>
      <c r="AM26" s="3">
        <v>46168</v>
      </c>
      <c r="AN26" s="2">
        <v>3.9950000000000001</v>
      </c>
      <c r="AO26" s="3">
        <v>46168</v>
      </c>
      <c r="AP26" s="2">
        <v>4.29</v>
      </c>
      <c r="AQ26" s="3">
        <v>46168</v>
      </c>
      <c r="AR26" s="2">
        <v>4.5149999999999997</v>
      </c>
      <c r="AS26" s="3">
        <v>46168</v>
      </c>
      <c r="AT26" s="2">
        <v>4.5125000000000002</v>
      </c>
      <c r="AU26" s="3">
        <v>46168</v>
      </c>
      <c r="AV26" s="2">
        <v>4.4874999999999998</v>
      </c>
      <c r="AW26" s="3">
        <v>46168</v>
      </c>
      <c r="AX26" s="2">
        <v>4.4625000000000004</v>
      </c>
      <c r="AY26" s="3">
        <v>46168</v>
      </c>
      <c r="AZ26" s="2">
        <v>4.4325000000000001</v>
      </c>
      <c r="BB26" s="3">
        <v>46168</v>
      </c>
      <c r="BC26" s="1">
        <v>3.5</v>
      </c>
      <c r="BD26" s="3">
        <v>46168</v>
      </c>
      <c r="BE26" s="1">
        <v>3.57</v>
      </c>
      <c r="BF26" s="3">
        <v>46168</v>
      </c>
      <c r="BG26" s="1">
        <v>3.645</v>
      </c>
      <c r="BH26" s="3">
        <v>46168</v>
      </c>
      <c r="BI26" s="1">
        <v>3.68</v>
      </c>
      <c r="BJ26" s="3">
        <v>46168</v>
      </c>
      <c r="BK26" s="1">
        <v>3.7629999999999999</v>
      </c>
      <c r="BL26" s="3">
        <v>46168</v>
      </c>
      <c r="BM26" s="1">
        <v>4.0730000000000004</v>
      </c>
      <c r="BN26" s="3">
        <v>46168</v>
      </c>
      <c r="BO26" s="1">
        <v>4.2229999999999999</v>
      </c>
      <c r="BP26" s="3">
        <v>46168</v>
      </c>
      <c r="BQ26" s="1">
        <v>4.3280000000000003</v>
      </c>
      <c r="BR26" s="3">
        <v>46168</v>
      </c>
      <c r="BS26" s="1">
        <v>4.335</v>
      </c>
      <c r="BT26" s="3">
        <v>46168</v>
      </c>
      <c r="BU26" s="1">
        <v>4.3499999999999996</v>
      </c>
      <c r="BV26" s="3">
        <v>46168</v>
      </c>
      <c r="BW26" s="1">
        <v>4.37</v>
      </c>
      <c r="BY26" s="3">
        <v>46167</v>
      </c>
      <c r="BZ26" s="1">
        <v>6.25</v>
      </c>
      <c r="CA26" s="3">
        <v>46168</v>
      </c>
      <c r="CB26" s="1">
        <v>6.04</v>
      </c>
      <c r="CC26" s="3">
        <v>46168</v>
      </c>
      <c r="CD26" s="1">
        <v>5.88</v>
      </c>
      <c r="CE26" s="3">
        <v>46168</v>
      </c>
      <c r="CF26" s="1">
        <v>5.78</v>
      </c>
      <c r="CG26" s="3">
        <v>46168</v>
      </c>
      <c r="CH26" s="1">
        <v>5.68</v>
      </c>
      <c r="CI26" s="3">
        <v>46168</v>
      </c>
      <c r="CJ26" s="1">
        <v>5.52</v>
      </c>
      <c r="CK26" s="3">
        <v>46168</v>
      </c>
      <c r="CL26" s="1">
        <v>5.39</v>
      </c>
      <c r="CM26" s="3">
        <v>46168</v>
      </c>
      <c r="CN26" s="1">
        <v>5.3</v>
      </c>
      <c r="CO26" s="3">
        <v>46168</v>
      </c>
      <c r="CP26" s="1">
        <v>5.26</v>
      </c>
      <c r="CQ26" s="3">
        <v>46168</v>
      </c>
      <c r="CR26" s="1">
        <v>5.22</v>
      </c>
      <c r="CS26" s="3">
        <v>46168</v>
      </c>
      <c r="CT26" s="1">
        <v>5.1550000000000002</v>
      </c>
    </row>
    <row r="27" spans="21:98" x14ac:dyDescent="0.2">
      <c r="U27" s="1" t="s">
        <v>24</v>
      </c>
      <c r="V27" s="1">
        <f>CN3</f>
        <v>4.75</v>
      </c>
      <c r="W27" s="1">
        <f>AVERAGE(CN3:CN9)</f>
        <v>4.8428571428571434</v>
      </c>
      <c r="X27" s="1">
        <f>AVERAGE(CN3:CN25)</f>
        <v>4.9965217391304346</v>
      </c>
      <c r="AA27" s="1">
        <f>MAX(CN3:CN17)</f>
        <v>5.31</v>
      </c>
      <c r="AB27" s="1">
        <f>MIN(CN3:CN17)</f>
        <v>4.74</v>
      </c>
      <c r="AE27" s="3">
        <v>46167</v>
      </c>
      <c r="AF27" s="1">
        <v>3.75</v>
      </c>
      <c r="AG27" s="3">
        <v>46163</v>
      </c>
      <c r="AH27" s="1">
        <v>3.85</v>
      </c>
      <c r="AI27" s="3">
        <v>46167</v>
      </c>
      <c r="AJ27" s="2">
        <v>3.895</v>
      </c>
      <c r="AK27" s="3">
        <v>46167</v>
      </c>
      <c r="AL27" s="2">
        <v>3.9470000000000001</v>
      </c>
      <c r="AM27" s="3">
        <v>46167</v>
      </c>
      <c r="AN27" s="2">
        <v>4.0250000000000004</v>
      </c>
      <c r="AO27" s="3">
        <v>46167</v>
      </c>
      <c r="AP27" s="2">
        <v>4.3650000000000002</v>
      </c>
      <c r="AQ27" s="3">
        <v>46167</v>
      </c>
      <c r="AR27" s="2">
        <v>4.6100000000000003</v>
      </c>
      <c r="AS27" s="3">
        <v>46167</v>
      </c>
      <c r="AT27" s="2">
        <v>4.625</v>
      </c>
      <c r="AU27" s="3">
        <v>46167</v>
      </c>
      <c r="AV27" s="2">
        <v>4.6025</v>
      </c>
      <c r="AW27" s="3">
        <v>46167</v>
      </c>
      <c r="AX27" s="2">
        <v>4.5774999999999997</v>
      </c>
      <c r="AY27" s="3">
        <v>46167</v>
      </c>
      <c r="AZ27" s="2">
        <v>4.5475000000000003</v>
      </c>
      <c r="BB27" s="3">
        <v>46167</v>
      </c>
      <c r="BC27" s="1">
        <v>3.5</v>
      </c>
      <c r="BD27" s="3">
        <v>46167</v>
      </c>
      <c r="BE27" s="1">
        <v>3.57</v>
      </c>
      <c r="BF27" s="3">
        <v>46167</v>
      </c>
      <c r="BG27" s="1">
        <v>3.6579999999999999</v>
      </c>
      <c r="BH27" s="3">
        <v>46167</v>
      </c>
      <c r="BI27" s="1">
        <v>3.71</v>
      </c>
      <c r="BJ27" s="3">
        <v>46167</v>
      </c>
      <c r="BK27" s="1">
        <v>3.8130000000000002</v>
      </c>
      <c r="BL27" s="3">
        <v>46167</v>
      </c>
      <c r="BM27" s="1">
        <v>4.17</v>
      </c>
      <c r="BN27" s="3">
        <v>46167</v>
      </c>
      <c r="BO27" s="1">
        <v>4.3550000000000004</v>
      </c>
      <c r="BP27" s="3">
        <v>46167</v>
      </c>
      <c r="BQ27" s="1">
        <v>4.4580000000000002</v>
      </c>
      <c r="BR27" s="3">
        <v>46167</v>
      </c>
      <c r="BS27" s="1">
        <v>4.4800000000000004</v>
      </c>
      <c r="BT27" s="3">
        <v>46167</v>
      </c>
      <c r="BU27" s="1">
        <v>4.5030000000000001</v>
      </c>
      <c r="BV27" s="3">
        <v>46167</v>
      </c>
      <c r="BW27" s="1">
        <v>4.5179999999999998</v>
      </c>
      <c r="BY27" s="3">
        <v>46164</v>
      </c>
      <c r="BZ27" s="1">
        <v>6.25</v>
      </c>
      <c r="CA27" s="3">
        <v>46164</v>
      </c>
      <c r="CB27" s="1">
        <v>6.04</v>
      </c>
      <c r="CC27" s="3">
        <v>46167</v>
      </c>
      <c r="CD27" s="1">
        <v>5.8920000000000003</v>
      </c>
      <c r="CE27" s="3">
        <v>46167</v>
      </c>
      <c r="CF27" s="1">
        <v>5.8390000000000004</v>
      </c>
      <c r="CG27" s="3">
        <v>46167</v>
      </c>
      <c r="CH27" s="1">
        <v>5.8</v>
      </c>
      <c r="CI27" s="3">
        <v>46167</v>
      </c>
      <c r="CJ27" s="1">
        <v>5.68</v>
      </c>
      <c r="CK27" s="3">
        <v>46167</v>
      </c>
      <c r="CL27" s="1">
        <v>5.6</v>
      </c>
      <c r="CM27" s="3">
        <v>46167</v>
      </c>
      <c r="CN27" s="1">
        <v>5.54</v>
      </c>
      <c r="CO27" s="3">
        <v>46167</v>
      </c>
      <c r="CP27" s="1">
        <v>5.49</v>
      </c>
      <c r="CQ27" s="3">
        <v>46167</v>
      </c>
      <c r="CR27" s="1">
        <v>5.44</v>
      </c>
      <c r="CS27" s="3">
        <v>46167</v>
      </c>
      <c r="CT27" s="1">
        <v>5.3650000000000002</v>
      </c>
    </row>
    <row r="28" spans="21:98" x14ac:dyDescent="0.2">
      <c r="U28" s="1" t="s">
        <v>23</v>
      </c>
      <c r="V28" s="1">
        <f>CP3</f>
        <v>4.72</v>
      </c>
      <c r="W28" s="1">
        <f>AVERAGE(CP3:CP9)</f>
        <v>4.8021428571428562</v>
      </c>
      <c r="X28" s="1">
        <f>AVERAGE(CP3:CP25)</f>
        <v>4.961086956521739</v>
      </c>
      <c r="AA28" s="1">
        <f>MAX(CP3:CP17)</f>
        <v>5.28</v>
      </c>
      <c r="AB28" s="1">
        <f>MIN(CP3:CP17)</f>
        <v>4.7</v>
      </c>
      <c r="AE28" s="3">
        <v>46164</v>
      </c>
      <c r="AF28" s="1">
        <v>3.75</v>
      </c>
      <c r="AG28" s="3">
        <v>46162</v>
      </c>
      <c r="AH28" s="1">
        <v>3.85</v>
      </c>
      <c r="AI28" s="3">
        <v>46164</v>
      </c>
      <c r="AJ28" s="2">
        <v>3.895</v>
      </c>
      <c r="AK28" s="3">
        <v>46164</v>
      </c>
      <c r="AL28" s="2">
        <v>3.96</v>
      </c>
      <c r="AM28" s="3">
        <v>46164</v>
      </c>
      <c r="AN28" s="2">
        <v>4.0225</v>
      </c>
      <c r="AO28" s="3">
        <v>46164</v>
      </c>
      <c r="AP28" s="2">
        <v>4.3635000000000002</v>
      </c>
      <c r="AQ28" s="3">
        <v>46164</v>
      </c>
      <c r="AR28" s="2">
        <v>4.6074999999999999</v>
      </c>
      <c r="AS28" s="3">
        <v>46164</v>
      </c>
      <c r="AT28" s="2">
        <v>4.625</v>
      </c>
      <c r="AU28" s="3">
        <v>46164</v>
      </c>
      <c r="AV28" s="2">
        <v>4.6025</v>
      </c>
      <c r="AW28" s="3">
        <v>46164</v>
      </c>
      <c r="AX28" s="2">
        <v>4.5774999999999997</v>
      </c>
      <c r="AY28" s="3">
        <v>46164</v>
      </c>
      <c r="AZ28" s="2">
        <v>4.5475000000000003</v>
      </c>
      <c r="BB28" s="3">
        <v>46164</v>
      </c>
      <c r="BC28" s="1">
        <v>3.5</v>
      </c>
      <c r="BD28" s="3">
        <v>46164</v>
      </c>
      <c r="BE28" s="1">
        <v>3.56</v>
      </c>
      <c r="BF28" s="3">
        <v>46164</v>
      </c>
      <c r="BG28" s="1">
        <v>3.65</v>
      </c>
      <c r="BH28" s="3">
        <v>46164</v>
      </c>
      <c r="BI28" s="1">
        <v>3.71</v>
      </c>
      <c r="BJ28" s="3">
        <v>46164</v>
      </c>
      <c r="BK28" s="1">
        <v>3.8130000000000002</v>
      </c>
      <c r="BL28" s="3">
        <v>46164</v>
      </c>
      <c r="BM28" s="1">
        <v>4.17</v>
      </c>
      <c r="BN28" s="3">
        <v>46164</v>
      </c>
      <c r="BO28" s="1">
        <v>4.3550000000000004</v>
      </c>
      <c r="BP28" s="3">
        <v>46164</v>
      </c>
      <c r="BQ28" s="1">
        <v>4.4580000000000002</v>
      </c>
      <c r="BR28" s="3">
        <v>46164</v>
      </c>
      <c r="BS28" s="1">
        <v>4.4800000000000004</v>
      </c>
      <c r="BT28" s="3">
        <v>46164</v>
      </c>
      <c r="BU28" s="1">
        <v>4.5030000000000001</v>
      </c>
      <c r="BV28" s="3">
        <v>46164</v>
      </c>
      <c r="BW28" s="1">
        <v>4.5179999999999998</v>
      </c>
      <c r="BY28" s="3">
        <v>46163</v>
      </c>
      <c r="BZ28" s="1">
        <v>6.25</v>
      </c>
      <c r="CA28" s="3">
        <v>46163</v>
      </c>
      <c r="CB28" s="1">
        <v>6.04</v>
      </c>
      <c r="CC28" s="3">
        <v>46164</v>
      </c>
      <c r="CD28" s="1">
        <v>5.8920000000000003</v>
      </c>
      <c r="CE28" s="3">
        <v>46164</v>
      </c>
      <c r="CF28" s="1">
        <v>5.8390000000000004</v>
      </c>
      <c r="CG28" s="3">
        <v>46164</v>
      </c>
      <c r="CH28" s="1">
        <v>5.8</v>
      </c>
      <c r="CI28" s="3">
        <v>46164</v>
      </c>
      <c r="CJ28" s="1">
        <v>5.68</v>
      </c>
      <c r="CK28" s="3">
        <v>46164</v>
      </c>
      <c r="CL28" s="1">
        <v>5.6</v>
      </c>
      <c r="CM28" s="3">
        <v>46164</v>
      </c>
      <c r="CN28" s="1">
        <v>5.53</v>
      </c>
      <c r="CO28" s="3">
        <v>46164</v>
      </c>
      <c r="CP28" s="1">
        <v>5.49</v>
      </c>
      <c r="CQ28" s="3">
        <v>46164</v>
      </c>
      <c r="CR28" s="1">
        <v>5.44</v>
      </c>
      <c r="CS28" s="3">
        <v>46164</v>
      </c>
      <c r="CT28" s="1">
        <v>5.3650000000000002</v>
      </c>
    </row>
    <row r="29" spans="21:98" x14ac:dyDescent="0.2">
      <c r="U29" s="1" t="s">
        <v>22</v>
      </c>
      <c r="V29" s="1">
        <f>CR3</f>
        <v>4.6900000000000004</v>
      </c>
      <c r="W29" s="1">
        <f>AVERAGE(CR3:CR9)</f>
        <v>4.7642857142857142</v>
      </c>
      <c r="X29" s="1">
        <f>AVERAGE(CR3:CR25)</f>
        <v>4.9295652173913052</v>
      </c>
      <c r="AA29" s="1">
        <f>MAX(CR3:CR17)</f>
        <v>5.25</v>
      </c>
      <c r="AB29" s="1">
        <f>MIN(CR3:CR17)</f>
        <v>4.66</v>
      </c>
      <c r="AE29" s="3">
        <v>46163</v>
      </c>
      <c r="AF29" s="1">
        <v>3.75</v>
      </c>
      <c r="AG29" s="3">
        <v>46161</v>
      </c>
      <c r="AH29" s="1">
        <v>3.85</v>
      </c>
      <c r="AI29" s="3">
        <v>46163</v>
      </c>
      <c r="AJ29" s="2">
        <v>3.88</v>
      </c>
      <c r="AK29" s="3">
        <v>46163</v>
      </c>
      <c r="AL29" s="2">
        <v>3.9525000000000001</v>
      </c>
      <c r="AM29" s="3">
        <v>46163</v>
      </c>
      <c r="AN29" s="2">
        <v>4.0250000000000004</v>
      </c>
      <c r="AO29" s="3">
        <v>46163</v>
      </c>
      <c r="AP29" s="2">
        <v>4.3775000000000004</v>
      </c>
      <c r="AQ29" s="3">
        <v>46163</v>
      </c>
      <c r="AR29" s="2">
        <v>4.6500000000000004</v>
      </c>
      <c r="AS29" s="3">
        <v>46163</v>
      </c>
      <c r="AT29" s="2">
        <v>4.67</v>
      </c>
      <c r="AU29" s="3">
        <v>46163</v>
      </c>
      <c r="AV29" s="2">
        <v>4.6500000000000004</v>
      </c>
      <c r="AW29" s="3">
        <v>46163</v>
      </c>
      <c r="AX29" s="2">
        <v>4.625</v>
      </c>
      <c r="AY29" s="3">
        <v>46163</v>
      </c>
      <c r="AZ29" s="2">
        <v>4.6025</v>
      </c>
      <c r="BB29" s="3">
        <v>46163</v>
      </c>
      <c r="BC29" s="1">
        <v>3.5</v>
      </c>
      <c r="BD29" s="3">
        <v>46163</v>
      </c>
      <c r="BE29" s="1">
        <v>3.56</v>
      </c>
      <c r="BF29" s="3">
        <v>46163</v>
      </c>
      <c r="BG29" s="1">
        <v>3.645</v>
      </c>
      <c r="BH29" s="3">
        <v>46163</v>
      </c>
      <c r="BI29" s="1">
        <v>3.6949999999999998</v>
      </c>
      <c r="BJ29" s="3">
        <v>46163</v>
      </c>
      <c r="BK29" s="1">
        <v>3.81</v>
      </c>
      <c r="BL29" s="3">
        <v>46163</v>
      </c>
      <c r="BM29" s="1">
        <v>4.1749999999999998</v>
      </c>
      <c r="BN29" s="3">
        <v>46163</v>
      </c>
      <c r="BO29" s="1">
        <v>4.3680000000000003</v>
      </c>
      <c r="BP29" s="3">
        <v>46163</v>
      </c>
      <c r="BQ29" s="1">
        <v>4.4729999999999999</v>
      </c>
      <c r="BR29" s="3">
        <v>46163</v>
      </c>
      <c r="BS29" s="1">
        <v>4.4930000000000003</v>
      </c>
      <c r="BT29" s="3">
        <v>46163</v>
      </c>
      <c r="BU29" s="1">
        <v>4.5129999999999999</v>
      </c>
      <c r="BV29" s="3">
        <v>46163</v>
      </c>
      <c r="BW29" s="1">
        <v>4.5380000000000003</v>
      </c>
      <c r="BY29" s="3">
        <v>46162</v>
      </c>
      <c r="BZ29" s="1">
        <v>6.25</v>
      </c>
      <c r="CA29" s="3">
        <v>46162</v>
      </c>
      <c r="CB29" s="1">
        <v>6.05</v>
      </c>
      <c r="CC29" s="3">
        <v>46163</v>
      </c>
      <c r="CD29" s="1">
        <v>5.9009999999999998</v>
      </c>
      <c r="CE29" s="3">
        <v>46163</v>
      </c>
      <c r="CF29" s="1">
        <v>5.85</v>
      </c>
      <c r="CG29" s="3">
        <v>46163</v>
      </c>
      <c r="CH29" s="1">
        <v>5.81</v>
      </c>
      <c r="CI29" s="3">
        <v>46163</v>
      </c>
      <c r="CJ29" s="1">
        <v>5.69</v>
      </c>
      <c r="CK29" s="3">
        <v>46163</v>
      </c>
      <c r="CL29" s="1">
        <v>5.64</v>
      </c>
      <c r="CM29" s="3">
        <v>46163</v>
      </c>
      <c r="CN29" s="1">
        <v>5.5650000000000004</v>
      </c>
      <c r="CO29" s="3">
        <v>46163</v>
      </c>
      <c r="CP29" s="1">
        <v>5.5250000000000004</v>
      </c>
      <c r="CQ29" s="3">
        <v>46163</v>
      </c>
      <c r="CR29" s="1">
        <v>5.4749999999999996</v>
      </c>
      <c r="CS29" s="3">
        <v>46163</v>
      </c>
      <c r="CT29" s="1">
        <v>5.4</v>
      </c>
    </row>
    <row r="30" spans="21:98" x14ac:dyDescent="0.2">
      <c r="U30" s="1" t="s">
        <v>21</v>
      </c>
      <c r="V30" s="1">
        <f>CT3</f>
        <v>4.66</v>
      </c>
      <c r="W30" s="1">
        <f>AVERAGE(CT3:CT9)</f>
        <v>4.7271428571428578</v>
      </c>
      <c r="X30" s="1">
        <f>AVERAGE(CT3:CT25)</f>
        <v>4.8954347826086959</v>
      </c>
      <c r="AA30" s="1">
        <f>MAX(CT3:CT17)</f>
        <v>5.2149999999999999</v>
      </c>
      <c r="AB30" s="1">
        <f>MIN(CT3:CT17)</f>
        <v>4.62</v>
      </c>
      <c r="AE30" s="3">
        <v>46162</v>
      </c>
      <c r="AF30" s="1">
        <v>3.75</v>
      </c>
      <c r="AG30" s="3">
        <v>46160</v>
      </c>
      <c r="AH30" s="1">
        <v>3.85</v>
      </c>
      <c r="AI30" s="3">
        <v>46162</v>
      </c>
      <c r="AJ30" s="2">
        <v>3.88</v>
      </c>
      <c r="AK30" s="3">
        <v>46162</v>
      </c>
      <c r="AL30" s="2">
        <v>3.931</v>
      </c>
      <c r="AM30" s="3">
        <v>46162</v>
      </c>
      <c r="AN30" s="2">
        <v>4.0309999999999997</v>
      </c>
      <c r="AO30" s="3">
        <v>46162</v>
      </c>
      <c r="AP30" s="2">
        <v>4.3925000000000001</v>
      </c>
      <c r="AQ30" s="3">
        <v>46162</v>
      </c>
      <c r="AR30" s="2">
        <v>4.7050000000000001</v>
      </c>
      <c r="AS30" s="3">
        <v>46162</v>
      </c>
      <c r="AT30" s="2">
        <v>4.7175000000000002</v>
      </c>
      <c r="AU30" s="3">
        <v>46162</v>
      </c>
      <c r="AV30" s="2">
        <v>4.7024999999999997</v>
      </c>
      <c r="AW30" s="3">
        <v>46162</v>
      </c>
      <c r="AX30" s="2">
        <v>4.68</v>
      </c>
      <c r="AY30" s="3">
        <v>46162</v>
      </c>
      <c r="AZ30" s="2">
        <v>4.6524999999999999</v>
      </c>
      <c r="BB30" s="3">
        <v>46162</v>
      </c>
      <c r="BC30" s="1">
        <v>3.5</v>
      </c>
      <c r="BD30" s="3">
        <v>46162</v>
      </c>
      <c r="BE30" s="1">
        <v>3.56</v>
      </c>
      <c r="BF30" s="3">
        <v>46162</v>
      </c>
      <c r="BG30" s="1">
        <v>3.59</v>
      </c>
      <c r="BH30" s="3">
        <v>46162</v>
      </c>
      <c r="BI30" s="1">
        <v>3.7</v>
      </c>
      <c r="BJ30" s="3">
        <v>46162</v>
      </c>
      <c r="BK30" s="1">
        <v>3.81</v>
      </c>
      <c r="BL30" s="3">
        <v>46162</v>
      </c>
      <c r="BM30" s="1">
        <v>4.1980000000000004</v>
      </c>
      <c r="BN30" s="3">
        <v>46162</v>
      </c>
      <c r="BO30" s="1">
        <v>4.3949999999999996</v>
      </c>
      <c r="BP30" s="3">
        <v>46162</v>
      </c>
      <c r="BQ30" s="1">
        <v>4.4950000000000001</v>
      </c>
      <c r="BR30" s="3">
        <v>46162</v>
      </c>
      <c r="BS30" s="1">
        <v>4.5199999999999996</v>
      </c>
      <c r="BT30" s="3">
        <v>46162</v>
      </c>
      <c r="BU30" s="1">
        <v>4.5350000000000001</v>
      </c>
      <c r="BV30" s="3">
        <v>46162</v>
      </c>
      <c r="BW30" s="1">
        <v>4.55</v>
      </c>
      <c r="BY30" s="3">
        <v>46161</v>
      </c>
      <c r="BZ30" s="1">
        <v>6.25</v>
      </c>
      <c r="CA30" s="3">
        <v>46161</v>
      </c>
      <c r="CB30" s="1">
        <v>6.06</v>
      </c>
      <c r="CC30" s="3">
        <v>46162</v>
      </c>
      <c r="CD30" s="1">
        <v>5.923</v>
      </c>
      <c r="CE30" s="3">
        <v>46162</v>
      </c>
      <c r="CF30" s="1">
        <v>5.8559999999999999</v>
      </c>
      <c r="CG30" s="3">
        <v>46162</v>
      </c>
      <c r="CH30" s="1">
        <v>5.81</v>
      </c>
      <c r="CI30" s="3">
        <v>46162</v>
      </c>
      <c r="CJ30" s="1">
        <v>5.68</v>
      </c>
      <c r="CK30" s="3">
        <v>46162</v>
      </c>
      <c r="CL30" s="1">
        <v>5.58</v>
      </c>
      <c r="CM30" s="3">
        <v>46162</v>
      </c>
      <c r="CN30" s="1">
        <v>5.5049999999999999</v>
      </c>
      <c r="CO30" s="3">
        <v>46162</v>
      </c>
      <c r="CP30" s="1">
        <v>5.46</v>
      </c>
      <c r="CQ30" s="3">
        <v>46162</v>
      </c>
      <c r="CR30" s="1">
        <v>5.4050000000000002</v>
      </c>
      <c r="CS30" s="3">
        <v>46162</v>
      </c>
      <c r="CT30" s="1">
        <v>5.34</v>
      </c>
    </row>
    <row r="31" spans="21:98" x14ac:dyDescent="0.2">
      <c r="AE31" s="3">
        <v>46161</v>
      </c>
      <c r="AF31" s="1">
        <v>3.75</v>
      </c>
      <c r="AG31" s="3">
        <v>46157</v>
      </c>
      <c r="AH31" s="1">
        <v>3.86</v>
      </c>
      <c r="AI31" s="3">
        <v>46161</v>
      </c>
      <c r="AJ31" s="2">
        <v>3.89</v>
      </c>
      <c r="AK31" s="3">
        <v>46161</v>
      </c>
      <c r="AL31" s="2">
        <v>3.99</v>
      </c>
      <c r="AM31" s="3">
        <v>46161</v>
      </c>
      <c r="AN31" s="2">
        <v>4.09</v>
      </c>
      <c r="AO31" s="3">
        <v>46161</v>
      </c>
      <c r="AP31" s="2">
        <v>4.5175000000000001</v>
      </c>
      <c r="AQ31" s="3">
        <v>46161</v>
      </c>
      <c r="AR31" s="2">
        <v>4.8550000000000004</v>
      </c>
      <c r="AS31" s="3">
        <v>46161</v>
      </c>
      <c r="AT31" s="2">
        <v>4.8724999999999996</v>
      </c>
      <c r="AU31" s="3">
        <v>46161</v>
      </c>
      <c r="AV31" s="2">
        <v>4.8550000000000004</v>
      </c>
      <c r="AW31" s="3">
        <v>46161</v>
      </c>
      <c r="AX31" s="2">
        <v>4.83</v>
      </c>
      <c r="AY31" s="3">
        <v>46161</v>
      </c>
      <c r="AZ31" s="2">
        <v>4.8</v>
      </c>
      <c r="BB31" s="3">
        <v>46161</v>
      </c>
      <c r="BC31" s="1">
        <v>3.5</v>
      </c>
      <c r="BD31" s="3">
        <v>46161</v>
      </c>
      <c r="BE31" s="1">
        <v>3.56</v>
      </c>
      <c r="BF31" s="3">
        <v>46161</v>
      </c>
      <c r="BG31" s="1">
        <v>3.6</v>
      </c>
      <c r="BH31" s="3">
        <v>46161</v>
      </c>
      <c r="BI31" s="1">
        <v>3.72</v>
      </c>
      <c r="BJ31" s="3">
        <v>46161</v>
      </c>
      <c r="BK31" s="1">
        <v>3.86</v>
      </c>
      <c r="BL31" s="3">
        <v>46161</v>
      </c>
      <c r="BM31" s="1">
        <v>4.3129999999999997</v>
      </c>
      <c r="BN31" s="3">
        <v>46161</v>
      </c>
      <c r="BO31" s="1">
        <v>4.5229999999999997</v>
      </c>
      <c r="BP31" s="3">
        <v>46161</v>
      </c>
      <c r="BQ31" s="1">
        <v>4.63</v>
      </c>
      <c r="BR31" s="3">
        <v>46161</v>
      </c>
      <c r="BS31" s="1">
        <v>4.6479999999999997</v>
      </c>
      <c r="BT31" s="3">
        <v>46161</v>
      </c>
      <c r="BU31" s="1">
        <v>4.6479999999999997</v>
      </c>
      <c r="BV31" s="3">
        <v>46161</v>
      </c>
      <c r="BW31" s="1">
        <v>4.6479999999999997</v>
      </c>
      <c r="BY31" s="3">
        <v>46160</v>
      </c>
      <c r="BZ31" s="1">
        <v>6.25</v>
      </c>
      <c r="CA31" s="3">
        <v>46160</v>
      </c>
      <c r="CB31" s="1">
        <v>6.07</v>
      </c>
      <c r="CC31" s="3">
        <v>46161</v>
      </c>
      <c r="CD31" s="1">
        <v>5.94</v>
      </c>
      <c r="CE31" s="3">
        <v>46161</v>
      </c>
      <c r="CF31" s="1">
        <v>5.91</v>
      </c>
      <c r="CG31" s="3">
        <v>46161</v>
      </c>
      <c r="CH31" s="1">
        <v>5.87</v>
      </c>
      <c r="CI31" s="3">
        <v>46161</v>
      </c>
      <c r="CJ31" s="1">
        <v>5.77</v>
      </c>
      <c r="CK31" s="3">
        <v>46161</v>
      </c>
      <c r="CL31" s="1">
        <v>5.67</v>
      </c>
      <c r="CM31" s="3">
        <v>46161</v>
      </c>
      <c r="CN31" s="1">
        <v>5.5549999999999997</v>
      </c>
      <c r="CO31" s="3">
        <v>46161</v>
      </c>
      <c r="CP31" s="1">
        <v>5.51</v>
      </c>
      <c r="CQ31" s="3">
        <v>46161</v>
      </c>
      <c r="CR31" s="1">
        <v>5.4550000000000001</v>
      </c>
      <c r="CS31" s="3">
        <v>46161</v>
      </c>
      <c r="CT31" s="1">
        <v>5.4</v>
      </c>
    </row>
    <row r="32" spans="21:98" x14ac:dyDescent="0.2">
      <c r="AE32" s="3">
        <v>46160</v>
      </c>
      <c r="AF32" s="1">
        <v>3.75</v>
      </c>
      <c r="AG32" s="3">
        <v>46156</v>
      </c>
      <c r="AH32" s="1">
        <v>3.85</v>
      </c>
      <c r="AI32" s="3">
        <v>46160</v>
      </c>
      <c r="AJ32" s="2">
        <v>3.9024999999999999</v>
      </c>
      <c r="AK32" s="3">
        <v>46160</v>
      </c>
      <c r="AL32" s="2">
        <v>4.0075000000000003</v>
      </c>
      <c r="AM32" s="3">
        <v>46160</v>
      </c>
      <c r="AN32" s="2">
        <v>4.1150000000000002</v>
      </c>
      <c r="AO32" s="3">
        <v>46160</v>
      </c>
      <c r="AP32" s="2">
        <v>4.5549999999999997</v>
      </c>
      <c r="AQ32" s="3">
        <v>46160</v>
      </c>
      <c r="AR32" s="2">
        <v>4.8724999999999996</v>
      </c>
      <c r="AS32" s="3">
        <v>46160</v>
      </c>
      <c r="AT32" s="2">
        <v>4.8825000000000003</v>
      </c>
      <c r="AU32" s="3">
        <v>46160</v>
      </c>
      <c r="AV32" s="2">
        <v>4.8624999999999998</v>
      </c>
      <c r="AW32" s="3">
        <v>46160</v>
      </c>
      <c r="AX32" s="2">
        <v>4.835</v>
      </c>
      <c r="AY32" s="3">
        <v>46160</v>
      </c>
      <c r="AZ32" s="2">
        <v>4.8025000000000002</v>
      </c>
      <c r="BB32" s="3">
        <v>46160</v>
      </c>
      <c r="BC32" s="1">
        <v>3.5</v>
      </c>
      <c r="BD32" s="3">
        <v>46160</v>
      </c>
      <c r="BE32" s="1">
        <v>3.56</v>
      </c>
      <c r="BF32" s="3">
        <v>46160</v>
      </c>
      <c r="BG32" s="1">
        <v>3.605</v>
      </c>
      <c r="BH32" s="3">
        <v>46160</v>
      </c>
      <c r="BI32" s="1">
        <v>3.718</v>
      </c>
      <c r="BJ32" s="3">
        <v>46160</v>
      </c>
      <c r="BK32" s="1">
        <v>3.8580000000000001</v>
      </c>
      <c r="BL32" s="3">
        <v>46160</v>
      </c>
      <c r="BM32" s="1">
        <v>4.3250000000000002</v>
      </c>
      <c r="BN32" s="3">
        <v>46160</v>
      </c>
      <c r="BO32" s="1">
        <v>4.5250000000000004</v>
      </c>
      <c r="BP32" s="3">
        <v>46160</v>
      </c>
      <c r="BQ32" s="1">
        <v>4.6230000000000002</v>
      </c>
      <c r="BR32" s="3">
        <v>46160</v>
      </c>
      <c r="BS32" s="1">
        <v>4.6429999999999998</v>
      </c>
      <c r="BT32" s="3">
        <v>46160</v>
      </c>
      <c r="BU32" s="1">
        <v>4.6479999999999997</v>
      </c>
      <c r="BV32" s="3">
        <v>46160</v>
      </c>
      <c r="BW32" s="1">
        <v>4.6379999999999999</v>
      </c>
      <c r="BY32" s="3">
        <v>46157</v>
      </c>
      <c r="BZ32" s="1">
        <v>6.25</v>
      </c>
      <c r="CA32" s="3">
        <v>46157</v>
      </c>
      <c r="CB32" s="1">
        <v>6.08</v>
      </c>
      <c r="CC32" s="3">
        <v>46160</v>
      </c>
      <c r="CD32" s="1">
        <v>5.98</v>
      </c>
      <c r="CE32" s="3">
        <v>46160</v>
      </c>
      <c r="CF32" s="1">
        <v>5.9455</v>
      </c>
      <c r="CG32" s="3">
        <v>46160</v>
      </c>
      <c r="CH32" s="1">
        <v>5.9050000000000002</v>
      </c>
      <c r="CI32" s="3">
        <v>46160</v>
      </c>
      <c r="CJ32" s="1">
        <v>5.7850000000000001</v>
      </c>
      <c r="CK32" s="3">
        <v>46160</v>
      </c>
      <c r="CL32" s="1">
        <v>5.67</v>
      </c>
      <c r="CM32" s="3">
        <v>46160</v>
      </c>
      <c r="CN32" s="1">
        <v>5.56</v>
      </c>
      <c r="CO32" s="3">
        <v>46160</v>
      </c>
      <c r="CP32" s="1">
        <v>5.51</v>
      </c>
      <c r="CQ32" s="3">
        <v>46160</v>
      </c>
      <c r="CR32" s="1">
        <v>5.45</v>
      </c>
      <c r="CS32" s="3">
        <v>46160</v>
      </c>
      <c r="CT32" s="1">
        <v>5.39</v>
      </c>
    </row>
    <row r="33" spans="24:98" x14ac:dyDescent="0.2">
      <c r="AE33" s="3">
        <v>46157</v>
      </c>
      <c r="AF33" s="1">
        <v>3.75</v>
      </c>
      <c r="AG33" s="3">
        <v>46155</v>
      </c>
      <c r="AH33" s="1">
        <v>3.85</v>
      </c>
      <c r="AI33" s="3">
        <v>46157</v>
      </c>
      <c r="AJ33" s="2">
        <v>3.91</v>
      </c>
      <c r="AK33" s="3">
        <v>46157</v>
      </c>
      <c r="AL33" s="2">
        <v>4.0175000000000001</v>
      </c>
      <c r="AM33" s="3">
        <v>46157</v>
      </c>
      <c r="AN33" s="2">
        <v>4.13</v>
      </c>
      <c r="AO33" s="3">
        <v>46157</v>
      </c>
      <c r="AP33" s="2">
        <v>4.5650000000000004</v>
      </c>
      <c r="AQ33" s="3">
        <v>46157</v>
      </c>
      <c r="AR33" s="2">
        <v>4.8712999999999997</v>
      </c>
      <c r="AS33" s="3">
        <v>46157</v>
      </c>
      <c r="AT33" s="2">
        <v>4.875</v>
      </c>
      <c r="AU33" s="3">
        <v>46157</v>
      </c>
      <c r="AV33" s="2">
        <v>4.8550000000000004</v>
      </c>
      <c r="AW33" s="3">
        <v>46157</v>
      </c>
      <c r="AX33" s="2">
        <v>4.8274999999999997</v>
      </c>
      <c r="AY33" s="3">
        <v>46157</v>
      </c>
      <c r="AZ33" s="2">
        <v>4.7949999999999999</v>
      </c>
      <c r="BB33" s="3">
        <v>46157</v>
      </c>
      <c r="BC33" s="1">
        <v>3.5</v>
      </c>
      <c r="BD33" s="3">
        <v>46157</v>
      </c>
      <c r="BE33" s="1">
        <v>3.56</v>
      </c>
      <c r="BF33" s="3">
        <v>46157</v>
      </c>
      <c r="BG33" s="1">
        <v>3.6</v>
      </c>
      <c r="BH33" s="3">
        <v>46157</v>
      </c>
      <c r="BI33" s="1">
        <v>3.72</v>
      </c>
      <c r="BJ33" s="3">
        <v>46157</v>
      </c>
      <c r="BK33" s="1">
        <v>3.8330000000000002</v>
      </c>
      <c r="BL33" s="3">
        <v>46157</v>
      </c>
      <c r="BM33" s="1">
        <v>4.2279999999999998</v>
      </c>
      <c r="BN33" s="3">
        <v>46157</v>
      </c>
      <c r="BO33" s="1">
        <v>4.4480000000000004</v>
      </c>
      <c r="BP33" s="3">
        <v>46157</v>
      </c>
      <c r="BQ33" s="1">
        <v>4.5430000000000001</v>
      </c>
      <c r="BR33" s="3">
        <v>46157</v>
      </c>
      <c r="BS33" s="1">
        <v>4.5650000000000004</v>
      </c>
      <c r="BT33" s="3">
        <v>46157</v>
      </c>
      <c r="BU33" s="1">
        <v>4.57</v>
      </c>
      <c r="BV33" s="3">
        <v>46157</v>
      </c>
      <c r="BW33" s="1">
        <v>4.5599999999999996</v>
      </c>
      <c r="BY33" s="3">
        <v>46156</v>
      </c>
      <c r="BZ33" s="1">
        <v>6.25</v>
      </c>
      <c r="CA33" s="3">
        <v>46156</v>
      </c>
      <c r="CB33" s="1">
        <v>6.12</v>
      </c>
      <c r="CC33" s="3">
        <v>46157</v>
      </c>
      <c r="CD33" s="1">
        <v>5.99</v>
      </c>
      <c r="CE33" s="3">
        <v>46157</v>
      </c>
      <c r="CF33" s="1">
        <v>5.96</v>
      </c>
      <c r="CG33" s="3">
        <v>46157</v>
      </c>
      <c r="CH33" s="1">
        <v>5.9450000000000003</v>
      </c>
      <c r="CI33" s="3">
        <v>46157</v>
      </c>
      <c r="CJ33" s="1">
        <v>5.8550000000000004</v>
      </c>
      <c r="CK33" s="3">
        <v>46157</v>
      </c>
      <c r="CL33" s="1">
        <v>5.76</v>
      </c>
      <c r="CM33" s="3">
        <v>46157</v>
      </c>
      <c r="CN33" s="1">
        <v>5.62</v>
      </c>
      <c r="CO33" s="3">
        <v>46157</v>
      </c>
      <c r="CP33" s="1">
        <v>5.55</v>
      </c>
      <c r="CQ33" s="3">
        <v>46157</v>
      </c>
      <c r="CR33" s="1">
        <v>5.48</v>
      </c>
      <c r="CS33" s="3">
        <v>46157</v>
      </c>
      <c r="CT33" s="1">
        <v>5.41</v>
      </c>
    </row>
    <row r="34" spans="24:98" x14ac:dyDescent="0.2">
      <c r="AE34" s="3">
        <v>46156</v>
      </c>
      <c r="AF34" s="1">
        <v>3.75</v>
      </c>
      <c r="AG34" s="3">
        <v>46154</v>
      </c>
      <c r="AH34" s="1">
        <v>3.85</v>
      </c>
      <c r="AI34" s="3">
        <v>46156</v>
      </c>
      <c r="AJ34" s="2">
        <v>3.8849999999999998</v>
      </c>
      <c r="AK34" s="3">
        <v>46156</v>
      </c>
      <c r="AL34" s="2">
        <v>3.9775</v>
      </c>
      <c r="AM34" s="3">
        <v>46156</v>
      </c>
      <c r="AN34" s="2">
        <v>4.0750000000000002</v>
      </c>
      <c r="AO34" s="3">
        <v>46156</v>
      </c>
      <c r="AP34" s="2">
        <v>4.3849999999999998</v>
      </c>
      <c r="AQ34" s="3">
        <v>46156</v>
      </c>
      <c r="AR34" s="2">
        <v>4.6399999999999997</v>
      </c>
      <c r="AS34" s="3">
        <v>46156</v>
      </c>
      <c r="AT34" s="2">
        <v>4.6449999999999996</v>
      </c>
      <c r="AU34" s="3">
        <v>46156</v>
      </c>
      <c r="AV34" s="2">
        <v>4.63</v>
      </c>
      <c r="AW34" s="3">
        <v>46156</v>
      </c>
      <c r="AX34" s="2">
        <v>4.6050000000000004</v>
      </c>
      <c r="AY34" s="3">
        <v>46156</v>
      </c>
      <c r="AZ34" s="2">
        <v>4.5750000000000002</v>
      </c>
      <c r="BB34" s="3">
        <v>46156</v>
      </c>
      <c r="BC34" s="1">
        <v>3.5</v>
      </c>
      <c r="BD34" s="3">
        <v>46156</v>
      </c>
      <c r="BE34" s="1">
        <v>3.56</v>
      </c>
      <c r="BF34" s="3">
        <v>46156</v>
      </c>
      <c r="BG34" s="1">
        <v>3.585</v>
      </c>
      <c r="BH34" s="3">
        <v>46156</v>
      </c>
      <c r="BI34" s="1">
        <v>3.6850000000000001</v>
      </c>
      <c r="BJ34" s="3">
        <v>46156</v>
      </c>
      <c r="BK34" s="1">
        <v>3.7679999999999998</v>
      </c>
      <c r="BL34" s="3">
        <v>46156</v>
      </c>
      <c r="BM34" s="1">
        <v>4.125</v>
      </c>
      <c r="BN34" s="3">
        <v>46156</v>
      </c>
      <c r="BO34" s="1">
        <v>4.2930000000000001</v>
      </c>
      <c r="BP34" s="3">
        <v>46156</v>
      </c>
      <c r="BQ34" s="1">
        <v>4.3529999999999998</v>
      </c>
      <c r="BR34" s="3">
        <v>46156</v>
      </c>
      <c r="BS34" s="1">
        <v>4.3730000000000002</v>
      </c>
      <c r="BT34" s="3">
        <v>46156</v>
      </c>
      <c r="BU34" s="1">
        <v>4.3780000000000001</v>
      </c>
      <c r="BV34" s="3">
        <v>46156</v>
      </c>
      <c r="BW34" s="1">
        <v>4.37</v>
      </c>
      <c r="BY34" s="3">
        <v>46155</v>
      </c>
      <c r="BZ34" s="1">
        <v>6.25</v>
      </c>
      <c r="CA34" s="3">
        <v>46155</v>
      </c>
      <c r="CB34" s="1">
        <v>6.19</v>
      </c>
      <c r="CC34" s="3">
        <v>46156</v>
      </c>
      <c r="CD34" s="1">
        <v>5.9560000000000004</v>
      </c>
      <c r="CE34" s="3">
        <v>46156</v>
      </c>
      <c r="CF34" s="1">
        <v>5.8929999999999998</v>
      </c>
      <c r="CG34" s="3">
        <v>46156</v>
      </c>
      <c r="CH34" s="1">
        <v>5.82</v>
      </c>
      <c r="CI34" s="3">
        <v>46156</v>
      </c>
      <c r="CJ34" s="1">
        <v>5.65</v>
      </c>
      <c r="CK34" s="3">
        <v>46156</v>
      </c>
      <c r="CL34" s="1">
        <v>5.48</v>
      </c>
      <c r="CM34" s="3">
        <v>46156</v>
      </c>
      <c r="CN34" s="1">
        <v>5.35</v>
      </c>
      <c r="CO34" s="3">
        <v>46156</v>
      </c>
      <c r="CP34" s="1">
        <v>5.29</v>
      </c>
      <c r="CQ34" s="3">
        <v>46156</v>
      </c>
      <c r="CR34" s="1">
        <v>5.22</v>
      </c>
      <c r="CS34" s="3">
        <v>46156</v>
      </c>
      <c r="CT34" s="1">
        <v>5.16</v>
      </c>
    </row>
    <row r="35" spans="24:98" x14ac:dyDescent="0.2">
      <c r="AE35" s="3">
        <v>46155</v>
      </c>
      <c r="AF35" s="1">
        <v>3.75</v>
      </c>
      <c r="AG35" s="3">
        <v>46153</v>
      </c>
      <c r="AH35" s="1">
        <v>3.85</v>
      </c>
      <c r="AI35" s="3">
        <v>46155</v>
      </c>
      <c r="AJ35" s="2">
        <v>3.895</v>
      </c>
      <c r="AK35" s="3">
        <v>46155</v>
      </c>
      <c r="AL35" s="2">
        <v>3.9925000000000002</v>
      </c>
      <c r="AM35" s="3">
        <v>46155</v>
      </c>
      <c r="AN35" s="2">
        <v>4.09</v>
      </c>
      <c r="AO35" s="3">
        <v>46155</v>
      </c>
      <c r="AP35" s="2">
        <v>4.43</v>
      </c>
      <c r="AQ35" s="3">
        <v>46155</v>
      </c>
      <c r="AR35" s="2">
        <v>4.7050000000000001</v>
      </c>
      <c r="AS35" s="3">
        <v>46155</v>
      </c>
      <c r="AT35" s="2">
        <v>4.7125000000000004</v>
      </c>
      <c r="AU35" s="3">
        <v>46155</v>
      </c>
      <c r="AV35" s="2">
        <v>4.6924999999999999</v>
      </c>
      <c r="AW35" s="3">
        <v>46155</v>
      </c>
      <c r="AX35" s="2">
        <v>4.67</v>
      </c>
      <c r="AY35" s="3">
        <v>46155</v>
      </c>
      <c r="AZ35" s="2">
        <v>4.6375000000000002</v>
      </c>
      <c r="BB35" s="3">
        <v>46155</v>
      </c>
      <c r="BC35" s="1">
        <v>3.5</v>
      </c>
      <c r="BD35" s="3">
        <v>46155</v>
      </c>
      <c r="BE35" s="1">
        <v>3.56</v>
      </c>
      <c r="BF35" s="3">
        <v>46155</v>
      </c>
      <c r="BG35" s="1">
        <v>3.5950000000000002</v>
      </c>
      <c r="BH35" s="3">
        <v>46155</v>
      </c>
      <c r="BI35" s="1">
        <v>3.7</v>
      </c>
      <c r="BJ35" s="3">
        <v>46155</v>
      </c>
      <c r="BK35" s="1">
        <v>3.7829999999999999</v>
      </c>
      <c r="BL35" s="3">
        <v>46155</v>
      </c>
      <c r="BM35" s="1">
        <v>4.165</v>
      </c>
      <c r="BN35" s="3">
        <v>46155</v>
      </c>
      <c r="BO35" s="1">
        <v>4.3529999999999998</v>
      </c>
      <c r="BP35" s="3">
        <v>46155</v>
      </c>
      <c r="BQ35" s="1">
        <v>4.4329999999999998</v>
      </c>
      <c r="BR35" s="3">
        <v>46155</v>
      </c>
      <c r="BS35" s="1">
        <v>4.4649999999999999</v>
      </c>
      <c r="BT35" s="3">
        <v>46155</v>
      </c>
      <c r="BU35" s="1">
        <v>4.4779999999999998</v>
      </c>
      <c r="BV35" s="3">
        <v>46155</v>
      </c>
      <c r="BW35" s="1">
        <v>4.468</v>
      </c>
      <c r="BY35" s="3">
        <v>46154</v>
      </c>
      <c r="BZ35" s="1">
        <v>6.25</v>
      </c>
      <c r="CA35" s="3">
        <v>46154</v>
      </c>
      <c r="CB35" s="1">
        <v>6.25</v>
      </c>
      <c r="CC35" s="3">
        <v>46155</v>
      </c>
      <c r="CD35" s="1">
        <v>6.09</v>
      </c>
      <c r="CE35" s="3">
        <v>46155</v>
      </c>
      <c r="CF35" s="1">
        <v>6.03</v>
      </c>
      <c r="CG35" s="3">
        <v>46155</v>
      </c>
      <c r="CH35" s="1">
        <v>5.98</v>
      </c>
      <c r="CI35" s="3">
        <v>46155</v>
      </c>
      <c r="CJ35" s="1">
        <v>5.82</v>
      </c>
      <c r="CK35" s="3">
        <v>46155</v>
      </c>
      <c r="CL35" s="1">
        <v>5.66</v>
      </c>
      <c r="CM35" s="3">
        <v>46155</v>
      </c>
      <c r="CN35" s="1">
        <v>5.5</v>
      </c>
      <c r="CO35" s="3">
        <v>46155</v>
      </c>
      <c r="CP35" s="1">
        <v>5.43</v>
      </c>
      <c r="CQ35" s="3">
        <v>46155</v>
      </c>
      <c r="CR35" s="1">
        <v>5.36</v>
      </c>
      <c r="CS35" s="3">
        <v>46155</v>
      </c>
      <c r="CT35" s="1">
        <v>5.3</v>
      </c>
    </row>
    <row r="36" spans="24:98" x14ac:dyDescent="0.2">
      <c r="AE36" s="3">
        <v>46154</v>
      </c>
      <c r="AF36" s="1">
        <v>3.75</v>
      </c>
      <c r="AG36" s="3">
        <v>46150</v>
      </c>
      <c r="AH36" s="1">
        <v>3.84</v>
      </c>
      <c r="AI36" s="3">
        <v>46154</v>
      </c>
      <c r="AJ36" s="2">
        <v>3.9049999999999998</v>
      </c>
      <c r="AK36" s="3">
        <v>46154</v>
      </c>
      <c r="AL36" s="2">
        <v>4.0049999999999999</v>
      </c>
      <c r="AM36" s="3">
        <v>46154</v>
      </c>
      <c r="AN36" s="2">
        <v>4.1025</v>
      </c>
      <c r="AO36" s="3">
        <v>46154</v>
      </c>
      <c r="AP36" s="2">
        <v>4.415</v>
      </c>
      <c r="AQ36" s="3">
        <v>46154</v>
      </c>
      <c r="AR36" s="2">
        <v>4.665</v>
      </c>
      <c r="AS36" s="3">
        <v>46154</v>
      </c>
      <c r="AT36" s="2">
        <v>4.67</v>
      </c>
      <c r="AU36" s="3">
        <v>46154</v>
      </c>
      <c r="AV36" s="2">
        <v>4.6524999999999999</v>
      </c>
      <c r="AW36" s="3">
        <v>46154</v>
      </c>
      <c r="AX36" s="2">
        <v>4.63</v>
      </c>
      <c r="AY36" s="3">
        <v>46154</v>
      </c>
      <c r="AZ36" s="2">
        <v>4.5975000000000001</v>
      </c>
      <c r="BB36" s="3">
        <v>46154</v>
      </c>
      <c r="BC36" s="1">
        <v>3.5</v>
      </c>
      <c r="BD36" s="3">
        <v>46154</v>
      </c>
      <c r="BE36" s="1">
        <v>3.56</v>
      </c>
      <c r="BF36" s="3">
        <v>46154</v>
      </c>
      <c r="BG36" s="1">
        <v>3.58</v>
      </c>
      <c r="BH36" s="3">
        <v>46154</v>
      </c>
      <c r="BI36" s="1">
        <v>3.71</v>
      </c>
      <c r="BJ36" s="3">
        <v>46154</v>
      </c>
      <c r="BK36" s="1">
        <v>3.7829999999999999</v>
      </c>
      <c r="BL36" s="3">
        <v>46154</v>
      </c>
      <c r="BM36" s="1">
        <v>4.1529999999999996</v>
      </c>
      <c r="BN36" s="3">
        <v>46154</v>
      </c>
      <c r="BO36" s="1">
        <v>4.3250000000000002</v>
      </c>
      <c r="BP36" s="3">
        <v>46154</v>
      </c>
      <c r="BQ36" s="1">
        <v>4.4029999999999996</v>
      </c>
      <c r="BR36" s="3">
        <v>46154</v>
      </c>
      <c r="BS36" s="1">
        <v>4.4349999999999996</v>
      </c>
      <c r="BT36" s="3">
        <v>46154</v>
      </c>
      <c r="BU36" s="1">
        <v>4.4550000000000001</v>
      </c>
      <c r="BV36" s="3">
        <v>46154</v>
      </c>
      <c r="BW36" s="1">
        <v>4.45</v>
      </c>
      <c r="BY36" s="3">
        <v>46153</v>
      </c>
      <c r="BZ36" s="1">
        <v>6.25</v>
      </c>
      <c r="CA36" s="3">
        <v>46153</v>
      </c>
      <c r="CB36" s="1">
        <v>6.25</v>
      </c>
      <c r="CC36" s="3">
        <v>46154</v>
      </c>
      <c r="CD36" s="1">
        <v>6.2309999999999999</v>
      </c>
      <c r="CE36" s="3">
        <v>46154</v>
      </c>
      <c r="CF36" s="1">
        <v>6.1989999999999998</v>
      </c>
      <c r="CG36" s="3">
        <v>46154</v>
      </c>
      <c r="CH36" s="1">
        <v>6.17</v>
      </c>
      <c r="CI36" s="3">
        <v>46154</v>
      </c>
      <c r="CJ36" s="1">
        <v>6.04</v>
      </c>
      <c r="CK36" s="3">
        <v>46154</v>
      </c>
      <c r="CL36" s="1">
        <v>5.89</v>
      </c>
      <c r="CM36" s="3">
        <v>46154</v>
      </c>
      <c r="CN36" s="1">
        <v>5.75</v>
      </c>
      <c r="CO36" s="3">
        <v>46154</v>
      </c>
      <c r="CP36" s="1">
        <v>5.62</v>
      </c>
      <c r="CQ36" s="3">
        <v>46154</v>
      </c>
      <c r="CR36" s="1">
        <v>5.52</v>
      </c>
      <c r="CS36" s="3">
        <v>46154</v>
      </c>
      <c r="CT36" s="1">
        <v>5.44</v>
      </c>
    </row>
    <row r="37" spans="24:98" x14ac:dyDescent="0.2">
      <c r="AE37" s="3">
        <v>46153</v>
      </c>
      <c r="AF37" s="1">
        <v>3.75</v>
      </c>
      <c r="AG37" s="3">
        <v>46149</v>
      </c>
      <c r="AH37" s="1">
        <v>3.84</v>
      </c>
      <c r="AI37" s="3">
        <v>46153</v>
      </c>
      <c r="AJ37" s="2">
        <v>3.9</v>
      </c>
      <c r="AK37" s="3">
        <v>46153</v>
      </c>
      <c r="AL37" s="2">
        <v>3.9849999999999999</v>
      </c>
      <c r="AM37" s="3">
        <v>46153</v>
      </c>
      <c r="AN37" s="2">
        <v>4.0774999999999997</v>
      </c>
      <c r="AO37" s="3">
        <v>46153</v>
      </c>
      <c r="AP37" s="2">
        <v>4.3650000000000002</v>
      </c>
      <c r="AQ37" s="3">
        <v>46153</v>
      </c>
      <c r="AR37" s="2">
        <v>4.5774999999999997</v>
      </c>
      <c r="AS37" s="3">
        <v>46153</v>
      </c>
      <c r="AT37" s="2">
        <v>4.5774999999999997</v>
      </c>
      <c r="AU37" s="3">
        <v>46153</v>
      </c>
      <c r="AV37" s="2">
        <v>4.5525000000000002</v>
      </c>
      <c r="AW37" s="3">
        <v>46153</v>
      </c>
      <c r="AX37" s="2">
        <v>4.5250000000000004</v>
      </c>
      <c r="AY37" s="3">
        <v>46153</v>
      </c>
      <c r="AZ37" s="2">
        <v>4.4950000000000001</v>
      </c>
      <c r="BB37" s="3">
        <v>46153</v>
      </c>
      <c r="BC37" s="1">
        <v>3.5</v>
      </c>
      <c r="BD37" s="3">
        <v>46153</v>
      </c>
      <c r="BE37" s="1">
        <v>3.56</v>
      </c>
      <c r="BF37" s="3">
        <v>46153</v>
      </c>
      <c r="BG37" s="1">
        <v>3.59</v>
      </c>
      <c r="BH37" s="3">
        <v>46153</v>
      </c>
      <c r="BI37" s="1">
        <v>3.71</v>
      </c>
      <c r="BJ37" s="3">
        <v>46153</v>
      </c>
      <c r="BK37" s="1">
        <v>3.8</v>
      </c>
      <c r="BL37" s="3">
        <v>46153</v>
      </c>
      <c r="BM37" s="1">
        <v>4.1029999999999998</v>
      </c>
      <c r="BN37" s="3">
        <v>46153</v>
      </c>
      <c r="BO37" s="1">
        <v>4.24</v>
      </c>
      <c r="BP37" s="3">
        <v>46153</v>
      </c>
      <c r="BQ37" s="1">
        <v>4.3049999999999997</v>
      </c>
      <c r="BR37" s="3">
        <v>46153</v>
      </c>
      <c r="BS37" s="1">
        <v>4.33</v>
      </c>
      <c r="BT37" s="3">
        <v>46153</v>
      </c>
      <c r="BU37" s="1">
        <v>4.3529999999999998</v>
      </c>
      <c r="BV37" s="3">
        <v>46153</v>
      </c>
      <c r="BW37" s="1">
        <v>4.3479999999999999</v>
      </c>
      <c r="BY37" s="3">
        <v>46150</v>
      </c>
      <c r="BZ37" s="1">
        <v>6.25</v>
      </c>
      <c r="CA37" s="3">
        <v>46150</v>
      </c>
      <c r="CB37" s="1">
        <v>6.25</v>
      </c>
      <c r="CC37" s="3">
        <v>46153</v>
      </c>
      <c r="CD37" s="1">
        <v>6.2229999999999999</v>
      </c>
      <c r="CE37" s="3">
        <v>46153</v>
      </c>
      <c r="CF37" s="1">
        <v>6.1870000000000003</v>
      </c>
      <c r="CG37" s="3">
        <v>46153</v>
      </c>
      <c r="CH37" s="1">
        <v>6.15</v>
      </c>
      <c r="CI37" s="3">
        <v>46153</v>
      </c>
      <c r="CJ37" s="1">
        <v>5.99</v>
      </c>
      <c r="CK37" s="3">
        <v>46153</v>
      </c>
      <c r="CL37" s="1">
        <v>5.83</v>
      </c>
      <c r="CM37" s="3">
        <v>46153</v>
      </c>
      <c r="CN37" s="1">
        <v>5.65</v>
      </c>
      <c r="CO37" s="3">
        <v>46153</v>
      </c>
      <c r="CP37" s="1">
        <v>5.53</v>
      </c>
      <c r="CQ37" s="3">
        <v>46153</v>
      </c>
      <c r="CR37" s="1">
        <v>5.43</v>
      </c>
      <c r="CS37" s="3">
        <v>46153</v>
      </c>
      <c r="CT37" s="1">
        <v>5.36</v>
      </c>
    </row>
    <row r="38" spans="24:98" x14ac:dyDescent="0.2">
      <c r="AE38" s="3">
        <v>46150</v>
      </c>
      <c r="AF38" s="1">
        <v>3.75</v>
      </c>
      <c r="AG38" s="3">
        <v>46148</v>
      </c>
      <c r="AH38" s="1">
        <v>3.84</v>
      </c>
      <c r="AI38" s="3">
        <v>46150</v>
      </c>
      <c r="AJ38" s="2">
        <v>3.9024999999999999</v>
      </c>
      <c r="AK38" s="3">
        <v>46150</v>
      </c>
      <c r="AL38" s="2">
        <v>3.9725000000000001</v>
      </c>
      <c r="AM38" s="3">
        <v>46150</v>
      </c>
      <c r="AN38" s="2">
        <v>4.0449999999999999</v>
      </c>
      <c r="AO38" s="3">
        <v>46150</v>
      </c>
      <c r="AP38" s="2">
        <v>4.2699999999999996</v>
      </c>
      <c r="AQ38" s="3">
        <v>46150</v>
      </c>
      <c r="AR38" s="2">
        <v>4.45</v>
      </c>
      <c r="AS38" s="3">
        <v>46150</v>
      </c>
      <c r="AT38" s="2">
        <v>4.4524999999999997</v>
      </c>
      <c r="AU38" s="3">
        <v>46150</v>
      </c>
      <c r="AV38" s="2">
        <v>4.43</v>
      </c>
      <c r="AW38" s="3">
        <v>46150</v>
      </c>
      <c r="AX38" s="2">
        <v>4.4074999999999998</v>
      </c>
      <c r="AY38" s="3">
        <v>46150</v>
      </c>
      <c r="AZ38" s="2">
        <v>4.3825000000000003</v>
      </c>
      <c r="BB38" s="3">
        <v>46149</v>
      </c>
      <c r="BC38" s="1">
        <v>3.5</v>
      </c>
      <c r="BD38" s="3">
        <v>46149</v>
      </c>
      <c r="BE38" s="1">
        <v>3.56</v>
      </c>
      <c r="BF38" s="3">
        <v>46150</v>
      </c>
      <c r="BG38" s="1">
        <v>3.58</v>
      </c>
      <c r="BH38" s="3">
        <v>46150</v>
      </c>
      <c r="BI38" s="1">
        <v>3.6850000000000001</v>
      </c>
      <c r="BJ38" s="3">
        <v>46150</v>
      </c>
      <c r="BK38" s="1">
        <v>3.7650000000000001</v>
      </c>
      <c r="BL38" s="3">
        <v>46150</v>
      </c>
      <c r="BM38" s="1">
        <v>4.0350000000000001</v>
      </c>
      <c r="BN38" s="3">
        <v>46150</v>
      </c>
      <c r="BO38" s="1">
        <v>4.1399999999999997</v>
      </c>
      <c r="BP38" s="3">
        <v>46150</v>
      </c>
      <c r="BQ38" s="1">
        <v>4.1849999999999996</v>
      </c>
      <c r="BR38" s="3">
        <v>46150</v>
      </c>
      <c r="BS38" s="1">
        <v>4.2</v>
      </c>
      <c r="BT38" s="3">
        <v>46150</v>
      </c>
      <c r="BU38" s="1">
        <v>4.2149999999999999</v>
      </c>
      <c r="BV38" s="3">
        <v>46150</v>
      </c>
      <c r="BW38" s="1">
        <v>4.2130000000000001</v>
      </c>
      <c r="BY38" s="3">
        <v>46149</v>
      </c>
      <c r="BZ38" s="1">
        <v>6.25</v>
      </c>
      <c r="CA38" s="3">
        <v>46149</v>
      </c>
      <c r="CB38" s="1">
        <v>6.25</v>
      </c>
      <c r="CC38" s="3">
        <v>46150</v>
      </c>
      <c r="CD38" s="1">
        <v>6.2169999999999996</v>
      </c>
      <c r="CE38" s="3">
        <v>46150</v>
      </c>
      <c r="CF38" s="1">
        <v>6.1609999999999996</v>
      </c>
      <c r="CG38" s="3">
        <v>46150</v>
      </c>
      <c r="CH38" s="1">
        <v>6.11</v>
      </c>
      <c r="CI38" s="3">
        <v>46150</v>
      </c>
      <c r="CJ38" s="1">
        <v>5.89</v>
      </c>
      <c r="CK38" s="3">
        <v>46150</v>
      </c>
      <c r="CL38" s="1">
        <v>5.69</v>
      </c>
      <c r="CM38" s="3">
        <v>46150</v>
      </c>
      <c r="CN38" s="1">
        <v>5.53</v>
      </c>
      <c r="CO38" s="3">
        <v>46150</v>
      </c>
      <c r="CP38" s="1">
        <v>5.41</v>
      </c>
      <c r="CQ38" s="3">
        <v>46150</v>
      </c>
      <c r="CR38" s="1">
        <v>5.31</v>
      </c>
      <c r="CS38" s="3">
        <v>46150</v>
      </c>
      <c r="CT38" s="1">
        <v>5.24</v>
      </c>
    </row>
    <row r="39" spans="24:98" x14ac:dyDescent="0.2">
      <c r="Y39" s="1" t="s">
        <v>20</v>
      </c>
      <c r="Z39" s="1" t="s">
        <v>19</v>
      </c>
      <c r="AA39" s="1" t="s">
        <v>18</v>
      </c>
      <c r="AB39" s="1" t="s">
        <v>1</v>
      </c>
      <c r="AC39" s="1" t="s">
        <v>0</v>
      </c>
      <c r="AE39" s="3">
        <v>46149</v>
      </c>
      <c r="AF39" s="1">
        <v>3.75</v>
      </c>
      <c r="AG39" s="3">
        <v>46147</v>
      </c>
      <c r="AH39" s="1">
        <v>3.85</v>
      </c>
      <c r="AI39" s="3">
        <v>46149</v>
      </c>
      <c r="AJ39" s="2">
        <v>3.88</v>
      </c>
      <c r="AK39" s="3">
        <v>46149</v>
      </c>
      <c r="AL39" s="2">
        <v>3.9550000000000001</v>
      </c>
      <c r="AM39" s="3">
        <v>46149</v>
      </c>
      <c r="AN39" s="2">
        <v>4.0199999999999996</v>
      </c>
      <c r="AO39" s="3">
        <v>46149</v>
      </c>
      <c r="AP39" s="2">
        <v>4.2300000000000004</v>
      </c>
      <c r="AQ39" s="3">
        <v>46149</v>
      </c>
      <c r="AR39" s="2">
        <v>4.41</v>
      </c>
      <c r="AS39" s="3">
        <v>46149</v>
      </c>
      <c r="AT39" s="2">
        <v>4.42</v>
      </c>
      <c r="AU39" s="3">
        <v>46149</v>
      </c>
      <c r="AV39" s="2">
        <v>4.4000000000000004</v>
      </c>
      <c r="AW39" s="3">
        <v>46149</v>
      </c>
      <c r="AX39" s="2">
        <v>4.38</v>
      </c>
      <c r="AY39" s="3">
        <v>46149</v>
      </c>
      <c r="AZ39" s="2">
        <v>4.3600000000000003</v>
      </c>
      <c r="BB39" s="3">
        <v>46148</v>
      </c>
      <c r="BC39" s="1">
        <v>3.5</v>
      </c>
      <c r="BD39" s="3">
        <v>46148</v>
      </c>
      <c r="BE39" s="1">
        <v>3.56</v>
      </c>
      <c r="BF39" s="3">
        <v>46149</v>
      </c>
      <c r="BG39" s="1">
        <v>3.58</v>
      </c>
      <c r="BH39" s="3">
        <v>46149</v>
      </c>
      <c r="BI39" s="1">
        <v>3.6880000000000002</v>
      </c>
      <c r="BJ39" s="3">
        <v>46149</v>
      </c>
      <c r="BK39" s="1">
        <v>3.7650000000000001</v>
      </c>
      <c r="BL39" s="3">
        <v>46149</v>
      </c>
      <c r="BM39" s="1">
        <v>4.0350000000000001</v>
      </c>
      <c r="BN39" s="3">
        <v>46149</v>
      </c>
      <c r="BO39" s="1">
        <v>4.1399999999999997</v>
      </c>
      <c r="BP39" s="3">
        <v>46149</v>
      </c>
      <c r="BQ39" s="1">
        <v>4.1849999999999996</v>
      </c>
      <c r="BR39" s="3">
        <v>46149</v>
      </c>
      <c r="BS39" s="1">
        <v>4.2</v>
      </c>
      <c r="BT39" s="3">
        <v>46149</v>
      </c>
      <c r="BU39" s="1">
        <v>4.2149999999999999</v>
      </c>
      <c r="BV39" s="3">
        <v>46149</v>
      </c>
      <c r="BW39" s="1">
        <v>4.2130000000000001</v>
      </c>
      <c r="BY39" s="3">
        <v>46148</v>
      </c>
      <c r="BZ39" s="1">
        <v>6.25</v>
      </c>
      <c r="CA39" s="3">
        <v>46148</v>
      </c>
      <c r="CB39" s="1">
        <v>6.25</v>
      </c>
      <c r="CC39" s="3">
        <v>46149</v>
      </c>
      <c r="CD39" s="1">
        <v>6.2649999999999997</v>
      </c>
      <c r="CE39" s="3">
        <v>46149</v>
      </c>
      <c r="CF39" s="1">
        <v>6.2549999999999999</v>
      </c>
      <c r="CG39" s="3">
        <v>46149</v>
      </c>
      <c r="CH39" s="1">
        <v>6.25</v>
      </c>
      <c r="CI39" s="3">
        <v>46149</v>
      </c>
      <c r="CJ39" s="1">
        <v>6.12</v>
      </c>
      <c r="CK39" s="3">
        <v>46149</v>
      </c>
      <c r="CL39" s="1">
        <v>5.98</v>
      </c>
      <c r="CM39" s="3">
        <v>46149</v>
      </c>
      <c r="CN39" s="1">
        <v>5.83</v>
      </c>
      <c r="CO39" s="3">
        <v>46149</v>
      </c>
      <c r="CP39" s="1">
        <v>5.7</v>
      </c>
      <c r="CQ39" s="3">
        <v>46149</v>
      </c>
      <c r="CR39" s="1">
        <v>5.58</v>
      </c>
      <c r="CS39" s="3">
        <v>46149</v>
      </c>
      <c r="CT39" s="1">
        <v>5.5</v>
      </c>
    </row>
    <row r="40" spans="24:98" x14ac:dyDescent="0.2">
      <c r="X40" s="1" t="s">
        <v>17</v>
      </c>
      <c r="Y40" s="1">
        <f>AVERAGE(AF3,AH3)</f>
        <v>3.8</v>
      </c>
      <c r="Z40" s="1">
        <f>AVERAGE(BZ3,CB3)</f>
        <v>5.8599999999999994</v>
      </c>
      <c r="AA40" s="1">
        <f>AVERAGE(BC3,BE3)</f>
        <v>3.7850000000000001</v>
      </c>
      <c r="AB40" s="1">
        <f>0.5*(4.5+4.33)</f>
        <v>4.415</v>
      </c>
      <c r="AC40" s="1">
        <f>0.5*(2.418+2.5)</f>
        <v>2.4590000000000001</v>
      </c>
      <c r="AE40" s="3">
        <v>46148</v>
      </c>
      <c r="AF40" s="1">
        <v>3.75</v>
      </c>
      <c r="AG40" s="3">
        <v>46146</v>
      </c>
      <c r="AH40" s="1">
        <v>3.85</v>
      </c>
      <c r="AI40" s="3">
        <v>46148</v>
      </c>
      <c r="AJ40" s="2">
        <v>3.855</v>
      </c>
      <c r="AK40" s="3">
        <v>46148</v>
      </c>
      <c r="AL40" s="2">
        <v>3.9224999999999999</v>
      </c>
      <c r="AM40" s="3">
        <v>46148</v>
      </c>
      <c r="AN40" s="2">
        <v>3.9925000000000002</v>
      </c>
      <c r="AO40" s="3">
        <v>46148</v>
      </c>
      <c r="AP40" s="2">
        <v>4.22</v>
      </c>
      <c r="AQ40" s="3">
        <v>46148</v>
      </c>
      <c r="AR40" s="2">
        <v>4.4000000000000004</v>
      </c>
      <c r="AS40" s="3">
        <v>46148</v>
      </c>
      <c r="AT40" s="2">
        <v>4.41</v>
      </c>
      <c r="AU40" s="3">
        <v>46148</v>
      </c>
      <c r="AV40" s="2">
        <v>4.3849999999999998</v>
      </c>
      <c r="AW40" s="3">
        <v>46148</v>
      </c>
      <c r="AX40" s="2">
        <v>4.3600000000000003</v>
      </c>
      <c r="AY40" s="3">
        <v>46148</v>
      </c>
      <c r="AZ40" s="2">
        <v>4.335</v>
      </c>
      <c r="BB40" s="3">
        <v>46147</v>
      </c>
      <c r="BC40" s="1">
        <v>3.5</v>
      </c>
      <c r="BD40" s="3">
        <v>46147</v>
      </c>
      <c r="BE40" s="1">
        <v>3.56</v>
      </c>
      <c r="BF40" s="3">
        <v>46148</v>
      </c>
      <c r="BG40" s="1">
        <v>3.59</v>
      </c>
      <c r="BH40" s="3">
        <v>46148</v>
      </c>
      <c r="BI40" s="1">
        <v>3.67</v>
      </c>
      <c r="BJ40" s="3">
        <v>46148</v>
      </c>
      <c r="BK40" s="1">
        <v>3.7480000000000002</v>
      </c>
      <c r="BL40" s="3">
        <v>46148</v>
      </c>
      <c r="BM40" s="1">
        <v>4.0250000000000004</v>
      </c>
      <c r="BN40" s="3">
        <v>46148</v>
      </c>
      <c r="BO40" s="1">
        <v>4.1349999999999998</v>
      </c>
      <c r="BP40" s="3">
        <v>46148</v>
      </c>
      <c r="BQ40" s="1">
        <v>4.1900000000000004</v>
      </c>
      <c r="BR40" s="3">
        <v>46148</v>
      </c>
      <c r="BS40" s="1">
        <v>4.22</v>
      </c>
      <c r="BT40" s="3">
        <v>46148</v>
      </c>
      <c r="BU40" s="1">
        <v>4.2350000000000003</v>
      </c>
      <c r="BV40" s="3">
        <v>46148</v>
      </c>
      <c r="BW40" s="1">
        <v>4.2350000000000003</v>
      </c>
      <c r="BY40" s="3">
        <v>46147</v>
      </c>
      <c r="BZ40" s="1">
        <v>6.25</v>
      </c>
      <c r="CA40" s="3">
        <v>46147</v>
      </c>
      <c r="CB40" s="1">
        <v>6.25</v>
      </c>
      <c r="CC40" s="3">
        <v>46148</v>
      </c>
      <c r="CD40" s="1">
        <v>6.2759999999999998</v>
      </c>
      <c r="CE40" s="3">
        <v>46148</v>
      </c>
      <c r="CF40" s="1">
        <v>6.2759999999999998</v>
      </c>
      <c r="CG40" s="3">
        <v>46148</v>
      </c>
      <c r="CH40" s="1">
        <v>6.28</v>
      </c>
      <c r="CI40" s="3">
        <v>46148</v>
      </c>
      <c r="CJ40" s="1">
        <v>6.21</v>
      </c>
      <c r="CK40" s="3">
        <v>46148</v>
      </c>
      <c r="CL40" s="1">
        <v>6.11</v>
      </c>
      <c r="CM40" s="3">
        <v>46148</v>
      </c>
      <c r="CN40" s="1">
        <v>5.97</v>
      </c>
      <c r="CO40" s="3">
        <v>46148</v>
      </c>
      <c r="CP40" s="1">
        <v>5.8650000000000002</v>
      </c>
      <c r="CQ40" s="3">
        <v>46148</v>
      </c>
      <c r="CR40" s="1">
        <v>5.76</v>
      </c>
      <c r="CS40" s="3">
        <v>46148</v>
      </c>
      <c r="CT40" s="1">
        <v>5.68</v>
      </c>
    </row>
    <row r="41" spans="24:98" x14ac:dyDescent="0.2">
      <c r="X41" s="1" t="s">
        <v>16</v>
      </c>
      <c r="Y41" s="1">
        <f>100*(Y40-_xll.BDP("PZFR0AD Curncy", "PX_LAST"))</f>
        <v>-2.0000000000000018</v>
      </c>
      <c r="Z41" s="1">
        <f>100*(Z40-_xll.BDP("HFFR0AD Curncy", "PX_LAST"))</f>
        <v>32.699999999999903</v>
      </c>
      <c r="AA41" s="1">
        <f>100*(AA40-_xll.BDP("CKFR0AD Curncy", "PX_LAST"))</f>
        <v>-5.4999999999999716</v>
      </c>
      <c r="AE41" s="3">
        <v>46147</v>
      </c>
      <c r="AF41" s="1">
        <v>3.75</v>
      </c>
      <c r="AG41" s="3">
        <v>46142</v>
      </c>
      <c r="AH41" s="1">
        <v>3.84</v>
      </c>
      <c r="AI41" s="3">
        <v>46147</v>
      </c>
      <c r="AJ41" s="2">
        <v>3.88</v>
      </c>
      <c r="AK41" s="3">
        <v>46147</v>
      </c>
      <c r="AL41" s="2">
        <v>3.97</v>
      </c>
      <c r="AM41" s="3">
        <v>46147</v>
      </c>
      <c r="AN41" s="2">
        <v>4.08</v>
      </c>
      <c r="AO41" s="3">
        <v>46147</v>
      </c>
      <c r="AP41" s="2">
        <v>4.43</v>
      </c>
      <c r="AQ41" s="3">
        <v>46147</v>
      </c>
      <c r="AR41" s="2">
        <v>4.625</v>
      </c>
      <c r="AS41" s="3">
        <v>46147</v>
      </c>
      <c r="AT41" s="2">
        <v>4.6399999999999997</v>
      </c>
      <c r="AU41" s="3">
        <v>46147</v>
      </c>
      <c r="AV41" s="2">
        <v>4.6100000000000003</v>
      </c>
      <c r="AW41" s="3">
        <v>46147</v>
      </c>
      <c r="AX41" s="2">
        <v>4.5774999999999997</v>
      </c>
      <c r="AY41" s="3">
        <v>46147</v>
      </c>
      <c r="AZ41" s="2">
        <v>4.5449999999999999</v>
      </c>
      <c r="BB41" s="3">
        <v>46146</v>
      </c>
      <c r="BC41" s="1">
        <v>3.5</v>
      </c>
      <c r="BD41" s="3">
        <v>46146</v>
      </c>
      <c r="BE41" s="1">
        <v>3.56</v>
      </c>
      <c r="BF41" s="3">
        <v>46147</v>
      </c>
      <c r="BG41" s="1">
        <v>3.605</v>
      </c>
      <c r="BH41" s="3">
        <v>46147</v>
      </c>
      <c r="BI41" s="1">
        <v>3.7250000000000001</v>
      </c>
      <c r="BJ41" s="3">
        <v>46147</v>
      </c>
      <c r="BK41" s="1">
        <v>3.79</v>
      </c>
      <c r="BL41" s="3">
        <v>46147</v>
      </c>
      <c r="BM41" s="1">
        <v>4.125</v>
      </c>
      <c r="BN41" s="3">
        <v>46147</v>
      </c>
      <c r="BO41" s="1">
        <v>4.3049999999999997</v>
      </c>
      <c r="BP41" s="3">
        <v>46147</v>
      </c>
      <c r="BQ41" s="1">
        <v>4.3780000000000001</v>
      </c>
      <c r="BR41" s="3">
        <v>46147</v>
      </c>
      <c r="BS41" s="1">
        <v>4.4130000000000003</v>
      </c>
      <c r="BT41" s="3">
        <v>46147</v>
      </c>
      <c r="BU41" s="1">
        <v>4.4329999999999998</v>
      </c>
      <c r="BV41" s="3">
        <v>46147</v>
      </c>
      <c r="BW41" s="1">
        <v>4.4279999999999999</v>
      </c>
      <c r="BY41" s="3">
        <v>46146</v>
      </c>
      <c r="BZ41" s="1">
        <v>6.25</v>
      </c>
      <c r="CA41" s="3">
        <v>46146</v>
      </c>
      <c r="CB41" s="1">
        <v>6.25</v>
      </c>
      <c r="CC41" s="3">
        <v>46147</v>
      </c>
      <c r="CD41" s="1">
        <v>6.2939999999999996</v>
      </c>
      <c r="CE41" s="3">
        <v>46147</v>
      </c>
      <c r="CF41" s="1">
        <v>6.3170000000000002</v>
      </c>
      <c r="CG41" s="3">
        <v>46147</v>
      </c>
      <c r="CH41" s="1">
        <v>6.34</v>
      </c>
      <c r="CI41" s="3">
        <v>46147</v>
      </c>
      <c r="CJ41" s="1">
        <v>6.33</v>
      </c>
      <c r="CK41" s="3">
        <v>46147</v>
      </c>
      <c r="CL41" s="1">
        <v>6.29</v>
      </c>
      <c r="CM41" s="3">
        <v>46147</v>
      </c>
      <c r="CN41" s="1">
        <v>6.17</v>
      </c>
      <c r="CO41" s="3">
        <v>46147</v>
      </c>
      <c r="CP41" s="1">
        <v>6.05</v>
      </c>
      <c r="CQ41" s="3">
        <v>46147</v>
      </c>
      <c r="CR41" s="1">
        <v>5.97</v>
      </c>
      <c r="CS41" s="3">
        <v>46147</v>
      </c>
      <c r="CT41" s="1">
        <v>5.89</v>
      </c>
    </row>
    <row r="42" spans="24:98" x14ac:dyDescent="0.2">
      <c r="X42" s="1" t="s">
        <v>15</v>
      </c>
      <c r="Y42" s="1">
        <f>100*(Y40-_xll.BDP("PZFR0BE Curncy", "PX_LAST"))</f>
        <v>-2.6000000000000245</v>
      </c>
      <c r="Z42" s="1">
        <f>100*(Z40-_xll.BDP("HFFR0BE Curncy", "PX_LAST"))</f>
        <v>48.699999999999918</v>
      </c>
      <c r="AA42" s="1">
        <f>100*(AA40-_xll.BDP("CKFR0BE Curncy", "PX_LAST"))</f>
        <v>-9.9999999999999645</v>
      </c>
      <c r="AE42" s="3">
        <v>46146</v>
      </c>
      <c r="AF42" s="1">
        <v>3.75</v>
      </c>
      <c r="AG42" s="3">
        <v>46141</v>
      </c>
      <c r="AH42" s="1">
        <v>3.85</v>
      </c>
      <c r="AI42" s="3">
        <v>46146</v>
      </c>
      <c r="AJ42" s="2">
        <v>3.86</v>
      </c>
      <c r="AK42" s="3">
        <v>46146</v>
      </c>
      <c r="AL42" s="2">
        <v>3.9529999999999998</v>
      </c>
      <c r="AM42" s="3">
        <v>46146</v>
      </c>
      <c r="AN42" s="2">
        <v>4.0599999999999996</v>
      </c>
      <c r="AO42" s="3">
        <v>46146</v>
      </c>
      <c r="AP42" s="2">
        <v>4.37</v>
      </c>
      <c r="AQ42" s="3">
        <v>46146</v>
      </c>
      <c r="AR42" s="2">
        <v>4.5750000000000002</v>
      </c>
      <c r="AS42" s="3">
        <v>46146</v>
      </c>
      <c r="AT42" s="2">
        <v>4.59</v>
      </c>
      <c r="AU42" s="3">
        <v>46146</v>
      </c>
      <c r="AV42" s="2">
        <v>4.5599999999999996</v>
      </c>
      <c r="AW42" s="3">
        <v>46146</v>
      </c>
      <c r="AX42" s="2">
        <v>4.5350000000000001</v>
      </c>
      <c r="AY42" s="3">
        <v>46146</v>
      </c>
      <c r="AZ42" s="2">
        <v>4.5149999999999997</v>
      </c>
      <c r="BB42" s="3">
        <v>46142</v>
      </c>
      <c r="BC42" s="1">
        <v>3.5</v>
      </c>
      <c r="BD42" s="3">
        <v>46142</v>
      </c>
      <c r="BE42" s="1">
        <v>3.57</v>
      </c>
      <c r="BF42" s="3">
        <v>46146</v>
      </c>
      <c r="BG42" s="1">
        <v>3.5950000000000002</v>
      </c>
      <c r="BH42" s="3">
        <v>46146</v>
      </c>
      <c r="BI42" s="1">
        <v>3.7130000000000001</v>
      </c>
      <c r="BJ42" s="3">
        <v>46146</v>
      </c>
      <c r="BK42" s="1">
        <v>3.7650000000000001</v>
      </c>
      <c r="BL42" s="3">
        <v>46146</v>
      </c>
      <c r="BM42" s="1">
        <v>4.0650000000000004</v>
      </c>
      <c r="BN42" s="3">
        <v>46146</v>
      </c>
      <c r="BO42" s="1">
        <v>4.2380000000000004</v>
      </c>
      <c r="BP42" s="3">
        <v>46146</v>
      </c>
      <c r="BQ42" s="1">
        <v>4.3</v>
      </c>
      <c r="BR42" s="3">
        <v>46146</v>
      </c>
      <c r="BS42" s="1">
        <v>4.335</v>
      </c>
      <c r="BT42" s="3">
        <v>46146</v>
      </c>
      <c r="BU42" s="1">
        <v>4.3550000000000004</v>
      </c>
      <c r="BV42" s="3">
        <v>46146</v>
      </c>
      <c r="BW42" s="1">
        <v>4.3449999999999998</v>
      </c>
      <c r="BY42" s="3">
        <v>46143</v>
      </c>
      <c r="BZ42" s="1">
        <v>6.25</v>
      </c>
      <c r="CA42" s="3">
        <v>46142</v>
      </c>
      <c r="CB42" s="1">
        <v>6.25</v>
      </c>
      <c r="CC42" s="3">
        <v>46146</v>
      </c>
      <c r="CD42" s="1">
        <v>6.2794999999999996</v>
      </c>
      <c r="CE42" s="3">
        <v>46146</v>
      </c>
      <c r="CF42" s="1">
        <v>6.2877999999999998</v>
      </c>
      <c r="CG42" s="3">
        <v>46146</v>
      </c>
      <c r="CH42" s="1">
        <v>6.2991999999999999</v>
      </c>
      <c r="CI42" s="3">
        <v>46146</v>
      </c>
      <c r="CJ42" s="1">
        <v>6.2809999999999997</v>
      </c>
      <c r="CK42" s="3">
        <v>46146</v>
      </c>
      <c r="CL42" s="1">
        <v>6.2408000000000001</v>
      </c>
      <c r="CM42" s="3">
        <v>46146</v>
      </c>
      <c r="CN42" s="1">
        <v>6.09</v>
      </c>
      <c r="CO42" s="3">
        <v>46146</v>
      </c>
      <c r="CP42" s="1">
        <v>5.97</v>
      </c>
      <c r="CQ42" s="3">
        <v>46146</v>
      </c>
      <c r="CR42" s="1">
        <v>5.89</v>
      </c>
      <c r="CS42" s="3">
        <v>46146</v>
      </c>
      <c r="CT42" s="1">
        <v>5.81</v>
      </c>
    </row>
    <row r="43" spans="24:98" x14ac:dyDescent="0.2">
      <c r="X43" s="1" t="s">
        <v>14</v>
      </c>
      <c r="Y43" s="1">
        <f>100*(Y40-_xll.BDP("PZFR0CF Curncy", "PX_LAST"))</f>
        <v>-1.0000000000000231</v>
      </c>
      <c r="Z43" s="1">
        <f>100*(Z40-_xll.BDP("HFFR0CF Curncy", "PX_LAST"))</f>
        <v>61.999999999999922</v>
      </c>
      <c r="AA43" s="1">
        <f>100*(AA40-_xll.BDP("CKFR0CF Curncy", "PX_LAST"))</f>
        <v>-16.299999999999983</v>
      </c>
      <c r="AE43" s="3">
        <v>46143</v>
      </c>
      <c r="AF43" s="1">
        <v>3.75</v>
      </c>
      <c r="AG43" s="3">
        <v>46140</v>
      </c>
      <c r="AH43" s="1">
        <v>3.85</v>
      </c>
      <c r="AI43" s="3">
        <v>46143</v>
      </c>
      <c r="AJ43" s="2">
        <v>3.86</v>
      </c>
      <c r="AK43" s="3">
        <v>46143</v>
      </c>
      <c r="AL43" s="2">
        <v>3.9550000000000001</v>
      </c>
      <c r="AM43" s="3">
        <v>46143</v>
      </c>
      <c r="AN43" s="2">
        <v>4.0599999999999996</v>
      </c>
      <c r="AO43" s="3">
        <v>46143</v>
      </c>
      <c r="AP43" s="2">
        <v>4.37</v>
      </c>
      <c r="AQ43" s="3">
        <v>46143</v>
      </c>
      <c r="AR43" s="2">
        <v>4.5750000000000002</v>
      </c>
      <c r="AS43" s="3">
        <v>46143</v>
      </c>
      <c r="AT43" s="2">
        <v>4.59</v>
      </c>
      <c r="AU43" s="3">
        <v>46143</v>
      </c>
      <c r="AV43" s="2">
        <v>4.5599999999999996</v>
      </c>
      <c r="AW43" s="3">
        <v>46143</v>
      </c>
      <c r="AX43" s="2">
        <v>4.5350000000000001</v>
      </c>
      <c r="AY43" s="3">
        <v>46143</v>
      </c>
      <c r="AZ43" s="2">
        <v>4.5149999999999997</v>
      </c>
      <c r="BB43" s="3">
        <v>46141</v>
      </c>
      <c r="BC43" s="1">
        <v>3.5</v>
      </c>
      <c r="BD43" s="3">
        <v>46141</v>
      </c>
      <c r="BE43" s="1">
        <v>3.57</v>
      </c>
      <c r="BF43" s="3">
        <v>46143</v>
      </c>
      <c r="BG43" s="1">
        <v>3.5950000000000002</v>
      </c>
      <c r="BH43" s="3">
        <v>46143</v>
      </c>
      <c r="BI43" s="1">
        <v>3.71</v>
      </c>
      <c r="BJ43" s="3">
        <v>46143</v>
      </c>
      <c r="BK43" s="1">
        <v>3.7650000000000001</v>
      </c>
      <c r="BL43" s="3">
        <v>46143</v>
      </c>
      <c r="BM43" s="1">
        <v>4.0650000000000004</v>
      </c>
      <c r="BN43" s="3">
        <v>46143</v>
      </c>
      <c r="BO43" s="1">
        <v>4.2380000000000004</v>
      </c>
      <c r="BP43" s="3">
        <v>46143</v>
      </c>
      <c r="BQ43" s="1">
        <v>4.3</v>
      </c>
      <c r="BR43" s="3">
        <v>46143</v>
      </c>
      <c r="BS43" s="1">
        <v>4.335</v>
      </c>
      <c r="BT43" s="3">
        <v>46143</v>
      </c>
      <c r="BU43" s="1">
        <v>4.3550000000000004</v>
      </c>
      <c r="BV43" s="3">
        <v>46143</v>
      </c>
      <c r="BW43" s="1">
        <v>4.3449999999999998</v>
      </c>
      <c r="BY43" s="3">
        <v>46142</v>
      </c>
      <c r="BZ43" s="1">
        <v>6.25</v>
      </c>
      <c r="CA43" s="3">
        <v>46141</v>
      </c>
      <c r="CB43" s="1">
        <v>6.25</v>
      </c>
      <c r="CC43" s="3">
        <v>46143</v>
      </c>
      <c r="CD43" s="1">
        <v>6.2794999999999996</v>
      </c>
      <c r="CE43" s="3">
        <v>46143</v>
      </c>
      <c r="CF43" s="1">
        <v>6.2887000000000004</v>
      </c>
      <c r="CG43" s="3">
        <v>46143</v>
      </c>
      <c r="CH43" s="1">
        <v>6.2996999999999996</v>
      </c>
      <c r="CI43" s="3">
        <v>46143</v>
      </c>
      <c r="CJ43" s="1">
        <v>6.2803000000000004</v>
      </c>
      <c r="CK43" s="3">
        <v>46143</v>
      </c>
      <c r="CL43" s="1">
        <v>6.2408000000000001</v>
      </c>
      <c r="CM43" s="3">
        <v>46143</v>
      </c>
      <c r="CN43" s="1">
        <v>6.09</v>
      </c>
      <c r="CO43" s="3">
        <v>46143</v>
      </c>
      <c r="CP43" s="1">
        <v>5.97</v>
      </c>
      <c r="CQ43" s="3">
        <v>46143</v>
      </c>
      <c r="CR43" s="1">
        <v>5.89</v>
      </c>
      <c r="CS43" s="3">
        <v>46143</v>
      </c>
      <c r="CT43" s="1">
        <v>5.81</v>
      </c>
    </row>
    <row r="44" spans="24:98" x14ac:dyDescent="0.2">
      <c r="X44" s="1" t="s">
        <v>13</v>
      </c>
      <c r="Y44" s="1">
        <f>100*(Y40-_xll.BDP("PZFR0DG Curncy", "PX_LAST"))</f>
        <v>-1.5000000000000124</v>
      </c>
      <c r="Z44" s="1">
        <f>100*(Z40-_xll.BDP("HFFR0DG Curncy", "PX_LAST"))</f>
        <v>72.169999999999931</v>
      </c>
      <c r="AA44" s="1">
        <f>100*(AA40-_xll.BDP("CKFR0DG Curncy", "PX_LAST"))</f>
        <v>-17.300000000000004</v>
      </c>
      <c r="AE44" s="3">
        <v>46142</v>
      </c>
      <c r="AF44" s="1">
        <v>3.75</v>
      </c>
      <c r="AG44" s="3">
        <v>46139</v>
      </c>
      <c r="AH44" s="1">
        <v>3.85</v>
      </c>
      <c r="AI44" s="3">
        <v>46142</v>
      </c>
      <c r="AJ44" s="2">
        <v>3.86</v>
      </c>
      <c r="AK44" s="3">
        <v>46142</v>
      </c>
      <c r="AL44" s="2">
        <v>3.9550000000000001</v>
      </c>
      <c r="AM44" s="3">
        <v>46142</v>
      </c>
      <c r="AN44" s="2">
        <v>4.0599999999999996</v>
      </c>
      <c r="AO44" s="3">
        <v>46142</v>
      </c>
      <c r="AP44" s="2">
        <v>4.37</v>
      </c>
      <c r="AQ44" s="3">
        <v>46142</v>
      </c>
      <c r="AR44" s="2">
        <v>4.5750000000000002</v>
      </c>
      <c r="AS44" s="3">
        <v>46142</v>
      </c>
      <c r="AT44" s="2">
        <v>4.585</v>
      </c>
      <c r="AU44" s="3">
        <v>46142</v>
      </c>
      <c r="AV44" s="2">
        <v>4.5549999999999997</v>
      </c>
      <c r="AW44" s="3">
        <v>46142</v>
      </c>
      <c r="AX44" s="2">
        <v>4.53</v>
      </c>
      <c r="AY44" s="3">
        <v>46142</v>
      </c>
      <c r="AZ44" s="2">
        <v>4.51</v>
      </c>
      <c r="BB44" s="3">
        <v>46140</v>
      </c>
      <c r="BC44" s="1">
        <v>3.5</v>
      </c>
      <c r="BD44" s="3">
        <v>46140</v>
      </c>
      <c r="BE44" s="1">
        <v>3.57</v>
      </c>
      <c r="BF44" s="3">
        <v>46142</v>
      </c>
      <c r="BG44" s="1">
        <v>3.5950000000000002</v>
      </c>
      <c r="BH44" s="3">
        <v>46142</v>
      </c>
      <c r="BI44" s="1">
        <v>3.7130000000000001</v>
      </c>
      <c r="BJ44" s="3">
        <v>46142</v>
      </c>
      <c r="BK44" s="1">
        <v>3.7650000000000001</v>
      </c>
      <c r="BL44" s="3">
        <v>46142</v>
      </c>
      <c r="BM44" s="1">
        <v>4.0650000000000004</v>
      </c>
      <c r="BN44" s="3">
        <v>46142</v>
      </c>
      <c r="BO44" s="1">
        <v>4.2380000000000004</v>
      </c>
      <c r="BP44" s="3">
        <v>46142</v>
      </c>
      <c r="BQ44" s="1">
        <v>4.3</v>
      </c>
      <c r="BR44" s="3">
        <v>46142</v>
      </c>
      <c r="BS44" s="1">
        <v>4.335</v>
      </c>
      <c r="BT44" s="3">
        <v>46142</v>
      </c>
      <c r="BU44" s="1">
        <v>4.3550000000000004</v>
      </c>
      <c r="BV44" s="3">
        <v>46142</v>
      </c>
      <c r="BW44" s="1">
        <v>4.3449999999999998</v>
      </c>
      <c r="BY44" s="3">
        <v>46141</v>
      </c>
      <c r="BZ44" s="1">
        <v>6.25</v>
      </c>
      <c r="CA44" s="3">
        <v>46140</v>
      </c>
      <c r="CB44" s="1">
        <v>6.25</v>
      </c>
      <c r="CC44" s="3">
        <v>46142</v>
      </c>
      <c r="CD44" s="1">
        <v>6.28</v>
      </c>
      <c r="CE44" s="3">
        <v>46142</v>
      </c>
      <c r="CF44" s="1">
        <v>6.2889999999999997</v>
      </c>
      <c r="CG44" s="3">
        <v>46142</v>
      </c>
      <c r="CH44" s="1">
        <v>6.3</v>
      </c>
      <c r="CI44" s="3">
        <v>46142</v>
      </c>
      <c r="CJ44" s="1">
        <v>6.28</v>
      </c>
      <c r="CK44" s="3">
        <v>46142</v>
      </c>
      <c r="CL44" s="1">
        <v>6.24</v>
      </c>
      <c r="CM44" s="3">
        <v>46142</v>
      </c>
      <c r="CN44" s="1">
        <v>6.09</v>
      </c>
      <c r="CO44" s="3">
        <v>46142</v>
      </c>
      <c r="CP44" s="1">
        <v>5.97</v>
      </c>
      <c r="CQ44" s="3">
        <v>46142</v>
      </c>
      <c r="CR44" s="1">
        <v>5.89</v>
      </c>
      <c r="CS44" s="3">
        <v>46142</v>
      </c>
      <c r="CT44" s="1">
        <v>5.81</v>
      </c>
    </row>
    <row r="45" spans="24:98" x14ac:dyDescent="0.2">
      <c r="X45" s="1" t="s">
        <v>12</v>
      </c>
      <c r="Y45" s="1">
        <f>100*(Y40-_xll.BDP("PZFR0EH Curncy", "PX_LAST"))</f>
        <v>-2.0000000000000018</v>
      </c>
      <c r="Z45" s="1">
        <f>100*(Z40-_xll.BDP("HFFR0EH Curncy", "PX_LAST"))</f>
        <v>80.339999999999904</v>
      </c>
      <c r="AA45" s="1">
        <f>100*(AA40-_xll.BDP("CKFR0EH Curncy", "PX_LAST"))</f>
        <v>-21.799999999999997</v>
      </c>
      <c r="AE45" s="3">
        <v>46141</v>
      </c>
      <c r="AF45" s="1">
        <v>3.75</v>
      </c>
      <c r="AG45" s="3">
        <v>46136</v>
      </c>
      <c r="AH45" s="1">
        <v>3.84</v>
      </c>
      <c r="AI45" s="3">
        <v>46141</v>
      </c>
      <c r="AJ45" s="2">
        <v>3.855</v>
      </c>
      <c r="AK45" s="3">
        <v>46141</v>
      </c>
      <c r="AL45" s="2">
        <v>3.92</v>
      </c>
      <c r="AM45" s="3">
        <v>46141</v>
      </c>
      <c r="AN45" s="2">
        <v>4.0149999999999997</v>
      </c>
      <c r="AO45" s="3">
        <v>46141</v>
      </c>
      <c r="AP45" s="2">
        <v>4.33</v>
      </c>
      <c r="AQ45" s="3">
        <v>46141</v>
      </c>
      <c r="AR45" s="2">
        <v>4.54</v>
      </c>
      <c r="AS45" s="3">
        <v>46141</v>
      </c>
      <c r="AT45" s="2">
        <v>4.57</v>
      </c>
      <c r="AU45" s="3">
        <v>46141</v>
      </c>
      <c r="AV45" s="2">
        <v>4.5625</v>
      </c>
      <c r="AW45" s="3">
        <v>46141</v>
      </c>
      <c r="AX45" s="2">
        <v>4.5525000000000002</v>
      </c>
      <c r="AY45" s="3">
        <v>46141</v>
      </c>
      <c r="AZ45" s="2">
        <v>4.5425000000000004</v>
      </c>
      <c r="BB45" s="3">
        <v>46139</v>
      </c>
      <c r="BC45" s="1">
        <v>3.5</v>
      </c>
      <c r="BD45" s="3">
        <v>46139</v>
      </c>
      <c r="BE45" s="1">
        <v>3.57</v>
      </c>
      <c r="BF45" s="3">
        <v>46141</v>
      </c>
      <c r="BG45" s="1">
        <v>3.605</v>
      </c>
      <c r="BH45" s="3">
        <v>46141</v>
      </c>
      <c r="BI45" s="1">
        <v>3.7229999999999999</v>
      </c>
      <c r="BJ45" s="3">
        <v>46141</v>
      </c>
      <c r="BK45" s="1">
        <v>3.7949999999999999</v>
      </c>
      <c r="BL45" s="3">
        <v>46141</v>
      </c>
      <c r="BM45" s="1">
        <v>4.1079999999999997</v>
      </c>
      <c r="BN45" s="3">
        <v>46141</v>
      </c>
      <c r="BO45" s="1">
        <v>4.298</v>
      </c>
      <c r="BP45" s="3">
        <v>46141</v>
      </c>
      <c r="BQ45" s="1">
        <v>4.3780000000000001</v>
      </c>
      <c r="BR45" s="3">
        <v>46141</v>
      </c>
      <c r="BS45" s="1">
        <v>4.423</v>
      </c>
      <c r="BT45" s="3">
        <v>46141</v>
      </c>
      <c r="BU45" s="1">
        <v>4.4630000000000001</v>
      </c>
      <c r="BV45" s="3">
        <v>46141</v>
      </c>
      <c r="BW45" s="1">
        <v>4.468</v>
      </c>
      <c r="BY45" s="3">
        <v>46140</v>
      </c>
      <c r="BZ45" s="1">
        <v>6.25</v>
      </c>
      <c r="CA45" s="3">
        <v>46139</v>
      </c>
      <c r="CB45" s="1">
        <v>6.25</v>
      </c>
      <c r="CC45" s="3">
        <v>46141</v>
      </c>
      <c r="CD45" s="1">
        <v>6.2709999999999999</v>
      </c>
      <c r="CE45" s="3">
        <v>46141</v>
      </c>
      <c r="CF45" s="1">
        <v>6.2759999999999998</v>
      </c>
      <c r="CG45" s="3">
        <v>46141</v>
      </c>
      <c r="CH45" s="1">
        <v>6.28</v>
      </c>
      <c r="CI45" s="3">
        <v>46141</v>
      </c>
      <c r="CJ45" s="1">
        <v>6.26</v>
      </c>
      <c r="CK45" s="3">
        <v>46141</v>
      </c>
      <c r="CL45" s="1">
        <v>6.21</v>
      </c>
      <c r="CM45" s="3">
        <v>46141</v>
      </c>
      <c r="CN45" s="1">
        <v>6.04</v>
      </c>
      <c r="CO45" s="3">
        <v>46141</v>
      </c>
      <c r="CP45" s="1">
        <v>5.92</v>
      </c>
      <c r="CQ45" s="3">
        <v>46141</v>
      </c>
      <c r="CR45" s="1">
        <v>5.84</v>
      </c>
      <c r="CS45" s="3">
        <v>46141</v>
      </c>
      <c r="CT45" s="1">
        <v>5.76</v>
      </c>
    </row>
    <row r="46" spans="24:98" x14ac:dyDescent="0.2">
      <c r="X46" s="1" t="s">
        <v>11</v>
      </c>
      <c r="Y46" s="1">
        <f>100*(Y40-_xll.BDP("PZFR0FI Curncy", "PX_LAST"))</f>
        <v>-2.5000000000000355</v>
      </c>
      <c r="Z46" s="1">
        <f>100*(Z40-_xll.BDP("HFFR0FI Curncy", "PX_LAST"))</f>
        <v>86.999999999999915</v>
      </c>
      <c r="AA46" s="2">
        <f>100*(AA40-_xll.BDP("CKFR0FI Curncy", "PX_LAST"))</f>
        <v>-23.499999999999943</v>
      </c>
      <c r="AE46" s="3">
        <v>46140</v>
      </c>
      <c r="AF46" s="1">
        <v>3.75</v>
      </c>
      <c r="AG46" s="3">
        <v>46135</v>
      </c>
      <c r="AH46" s="1">
        <v>3.85</v>
      </c>
      <c r="AI46" s="3">
        <v>46140</v>
      </c>
      <c r="AJ46" s="2">
        <v>3.85</v>
      </c>
      <c r="AK46" s="3">
        <v>46140</v>
      </c>
      <c r="AL46" s="2">
        <v>3.91</v>
      </c>
      <c r="AM46" s="3">
        <v>46140</v>
      </c>
      <c r="AN46" s="2">
        <v>4</v>
      </c>
      <c r="AO46" s="3">
        <v>46140</v>
      </c>
      <c r="AP46" s="2">
        <v>4.2750000000000004</v>
      </c>
      <c r="AQ46" s="3">
        <v>46140</v>
      </c>
      <c r="AR46" s="2">
        <v>4.4550000000000001</v>
      </c>
      <c r="AS46" s="3">
        <v>46140</v>
      </c>
      <c r="AT46" s="2">
        <v>4.4924999999999997</v>
      </c>
      <c r="AU46" s="3">
        <v>46140</v>
      </c>
      <c r="AV46" s="2">
        <v>4.4824999999999999</v>
      </c>
      <c r="AW46" s="3">
        <v>46140</v>
      </c>
      <c r="AX46" s="2">
        <v>4.4725000000000001</v>
      </c>
      <c r="AY46" s="3">
        <v>46140</v>
      </c>
      <c r="AZ46" s="2">
        <v>4.4625000000000004</v>
      </c>
      <c r="BB46" s="3">
        <v>46136</v>
      </c>
      <c r="BC46" s="1">
        <v>3.5</v>
      </c>
      <c r="BD46" s="3">
        <v>46136</v>
      </c>
      <c r="BE46" s="1">
        <v>3.57</v>
      </c>
      <c r="BF46" s="3">
        <v>46140</v>
      </c>
      <c r="BG46" s="1">
        <v>3.6150000000000002</v>
      </c>
      <c r="BH46" s="3">
        <v>46140</v>
      </c>
      <c r="BI46" s="1">
        <v>3.7229999999999999</v>
      </c>
      <c r="BJ46" s="3">
        <v>46140</v>
      </c>
      <c r="BK46" s="1">
        <v>3.8050000000000002</v>
      </c>
      <c r="BL46" s="3">
        <v>46140</v>
      </c>
      <c r="BM46" s="1">
        <v>4.0679999999999996</v>
      </c>
      <c r="BN46" s="3">
        <v>46140</v>
      </c>
      <c r="BO46" s="1">
        <v>4.2450000000000001</v>
      </c>
      <c r="BP46" s="3">
        <v>46140</v>
      </c>
      <c r="BQ46" s="1">
        <v>4.3099999999999996</v>
      </c>
      <c r="BR46" s="3">
        <v>46140</v>
      </c>
      <c r="BS46" s="1">
        <v>4.343</v>
      </c>
      <c r="BT46" s="3">
        <v>46140</v>
      </c>
      <c r="BU46" s="1">
        <v>4.3849999999999998</v>
      </c>
      <c r="BV46" s="3">
        <v>46140</v>
      </c>
      <c r="BW46" s="1">
        <v>4.3929999999999998</v>
      </c>
      <c r="BY46" s="3">
        <v>46139</v>
      </c>
      <c r="BZ46" s="1">
        <v>6.25</v>
      </c>
      <c r="CA46" s="3">
        <v>46136</v>
      </c>
      <c r="CB46" s="1">
        <v>6.25</v>
      </c>
      <c r="CC46" s="3">
        <v>46140</v>
      </c>
      <c r="CD46" s="1">
        <v>6.28</v>
      </c>
      <c r="CE46" s="3">
        <v>46140</v>
      </c>
      <c r="CF46" s="1">
        <v>6.29</v>
      </c>
      <c r="CG46" s="3">
        <v>46140</v>
      </c>
      <c r="CH46" s="1">
        <v>6.3</v>
      </c>
      <c r="CI46" s="3">
        <v>46140</v>
      </c>
      <c r="CJ46" s="1">
        <v>6.3</v>
      </c>
      <c r="CK46" s="3">
        <v>46140</v>
      </c>
      <c r="CL46" s="1">
        <v>6.25</v>
      </c>
      <c r="CM46" s="3">
        <v>46140</v>
      </c>
      <c r="CN46" s="1">
        <v>6.1</v>
      </c>
      <c r="CO46" s="3">
        <v>46140</v>
      </c>
      <c r="CP46" s="1">
        <v>5.98</v>
      </c>
      <c r="CQ46" s="3">
        <v>46140</v>
      </c>
      <c r="CR46" s="1">
        <v>5.9</v>
      </c>
      <c r="CS46" s="3">
        <v>46140</v>
      </c>
      <c r="CT46" s="1">
        <v>5.82</v>
      </c>
    </row>
    <row r="47" spans="24:98" x14ac:dyDescent="0.2">
      <c r="X47" s="1" t="s">
        <v>10</v>
      </c>
      <c r="Y47" s="1">
        <f>100*(Y40-_xll.BDP("PZFR0GJ Curncy", "PX_LAST"))</f>
        <v>-3.6300000000000221</v>
      </c>
      <c r="AA47" s="3"/>
      <c r="AE47" s="3">
        <v>46139</v>
      </c>
      <c r="AF47" s="1">
        <v>3.75</v>
      </c>
      <c r="AG47" s="3">
        <v>46134</v>
      </c>
      <c r="AH47" s="1">
        <v>3.86</v>
      </c>
      <c r="AI47" s="3">
        <v>46139</v>
      </c>
      <c r="AJ47" s="2">
        <v>3.8450000000000002</v>
      </c>
      <c r="AK47" s="3">
        <v>46139</v>
      </c>
      <c r="AL47" s="2">
        <v>3.8925000000000001</v>
      </c>
      <c r="AM47" s="3">
        <v>46139</v>
      </c>
      <c r="AN47" s="2">
        <v>3.9824999999999999</v>
      </c>
      <c r="AO47" s="3">
        <v>46139</v>
      </c>
      <c r="AP47" s="2">
        <v>4.2324999999999999</v>
      </c>
      <c r="AQ47" s="3">
        <v>46139</v>
      </c>
      <c r="AR47" s="2">
        <v>4.3825000000000003</v>
      </c>
      <c r="AS47" s="3">
        <v>46139</v>
      </c>
      <c r="AT47" s="2">
        <v>4.415</v>
      </c>
      <c r="AU47" s="3">
        <v>46139</v>
      </c>
      <c r="AV47" s="2">
        <v>4.4050000000000002</v>
      </c>
      <c r="AW47" s="3">
        <v>46139</v>
      </c>
      <c r="AX47" s="2">
        <v>4.3949999999999996</v>
      </c>
      <c r="AY47" s="3">
        <v>46139</v>
      </c>
      <c r="AZ47" s="2">
        <v>4.3849999999999998</v>
      </c>
      <c r="BB47" s="3">
        <v>46135</v>
      </c>
      <c r="BC47" s="1">
        <v>3.5</v>
      </c>
      <c r="BD47" s="3">
        <v>46135</v>
      </c>
      <c r="BE47" s="1">
        <v>3.57</v>
      </c>
      <c r="BF47" s="3">
        <v>46139</v>
      </c>
      <c r="BG47" s="1">
        <v>3.6150000000000002</v>
      </c>
      <c r="BH47" s="3">
        <v>46139</v>
      </c>
      <c r="BI47" s="1">
        <v>3.698</v>
      </c>
      <c r="BJ47" s="3">
        <v>46139</v>
      </c>
      <c r="BK47" s="1">
        <v>3.7650000000000001</v>
      </c>
      <c r="BL47" s="3">
        <v>46139</v>
      </c>
      <c r="BM47" s="1">
        <v>3.9980000000000002</v>
      </c>
      <c r="BN47" s="3">
        <v>46139</v>
      </c>
      <c r="BO47" s="1">
        <v>4.1479999999999997</v>
      </c>
      <c r="BP47" s="3">
        <v>46139</v>
      </c>
      <c r="BQ47" s="1">
        <v>4.2080000000000002</v>
      </c>
      <c r="BR47" s="3">
        <v>46139</v>
      </c>
      <c r="BS47" s="1">
        <v>4.2350000000000003</v>
      </c>
      <c r="BT47" s="3">
        <v>46139</v>
      </c>
      <c r="BU47" s="1">
        <v>4.2649999999999997</v>
      </c>
      <c r="BV47" s="3">
        <v>46139</v>
      </c>
      <c r="BW47" s="1">
        <v>4.2850000000000001</v>
      </c>
      <c r="BY47" s="3">
        <v>46136</v>
      </c>
      <c r="BZ47" s="1">
        <v>6.25</v>
      </c>
      <c r="CA47" s="3">
        <v>46135</v>
      </c>
      <c r="CB47" s="1">
        <v>6.25</v>
      </c>
      <c r="CC47" s="3">
        <v>46139</v>
      </c>
      <c r="CD47" s="1">
        <v>6.274</v>
      </c>
      <c r="CE47" s="3">
        <v>46139</v>
      </c>
      <c r="CF47" s="1">
        <v>6.2869999999999999</v>
      </c>
      <c r="CG47" s="3">
        <v>46139</v>
      </c>
      <c r="CH47" s="1">
        <v>6.31</v>
      </c>
      <c r="CI47" s="3">
        <v>46139</v>
      </c>
      <c r="CJ47" s="1">
        <v>6.32</v>
      </c>
      <c r="CK47" s="3">
        <v>46139</v>
      </c>
      <c r="CL47" s="1">
        <v>6.23</v>
      </c>
      <c r="CM47" s="3">
        <v>46139</v>
      </c>
      <c r="CN47" s="1">
        <v>6.0049999999999999</v>
      </c>
      <c r="CO47" s="3">
        <v>46139</v>
      </c>
      <c r="CP47" s="1">
        <v>5.875</v>
      </c>
      <c r="CQ47" s="3">
        <v>46139</v>
      </c>
      <c r="CR47" s="1">
        <v>5.7649999999999997</v>
      </c>
      <c r="CS47" s="3">
        <v>46139</v>
      </c>
      <c r="CT47" s="1">
        <v>5.7149999999999999</v>
      </c>
    </row>
    <row r="48" spans="24:98" x14ac:dyDescent="0.2">
      <c r="X48" s="1" t="s">
        <v>9</v>
      </c>
      <c r="Y48" s="1">
        <f>100*(Y40-_xll.BDP("PZFR0HK Curncy", "PX_LAST"))</f>
        <v>-4.6600000000000197</v>
      </c>
      <c r="AA48" s="3"/>
      <c r="AE48" s="3">
        <v>46136</v>
      </c>
      <c r="AF48" s="1">
        <v>3.75</v>
      </c>
      <c r="AG48" s="3">
        <v>46133</v>
      </c>
      <c r="AH48" s="1">
        <v>3.87</v>
      </c>
      <c r="AI48" s="3">
        <v>46136</v>
      </c>
      <c r="AJ48" s="2">
        <v>3.86</v>
      </c>
      <c r="AK48" s="3">
        <v>46136</v>
      </c>
      <c r="AL48" s="2">
        <v>3.915</v>
      </c>
      <c r="AM48" s="3">
        <v>46136</v>
      </c>
      <c r="AN48" s="2">
        <v>3.9950000000000001</v>
      </c>
      <c r="AO48" s="3">
        <v>46136</v>
      </c>
      <c r="AP48" s="2">
        <v>4.2275</v>
      </c>
      <c r="AQ48" s="3">
        <v>46136</v>
      </c>
      <c r="AR48" s="2">
        <v>4.3499999999999996</v>
      </c>
      <c r="AS48" s="3">
        <v>46136</v>
      </c>
      <c r="AT48" s="2">
        <v>4.3550000000000004</v>
      </c>
      <c r="AU48" s="3">
        <v>46136</v>
      </c>
      <c r="AV48" s="2">
        <v>4.3449999999999998</v>
      </c>
      <c r="AW48" s="3">
        <v>46136</v>
      </c>
      <c r="AX48" s="2">
        <v>4.3324999999999996</v>
      </c>
      <c r="AY48" s="3">
        <v>46136</v>
      </c>
      <c r="AZ48" s="2">
        <v>4.3174999999999999</v>
      </c>
      <c r="BB48" s="3">
        <v>46134</v>
      </c>
      <c r="BC48" s="1">
        <v>3.5</v>
      </c>
      <c r="BD48" s="3">
        <v>46134</v>
      </c>
      <c r="BE48" s="1">
        <v>3.56</v>
      </c>
      <c r="BF48" s="3">
        <v>46136</v>
      </c>
      <c r="BG48" s="1">
        <v>3.6150000000000002</v>
      </c>
      <c r="BH48" s="3">
        <v>46136</v>
      </c>
      <c r="BI48" s="1">
        <v>3.7</v>
      </c>
      <c r="BJ48" s="3">
        <v>46136</v>
      </c>
      <c r="BK48" s="1">
        <v>3.76</v>
      </c>
      <c r="BL48" s="3">
        <v>46136</v>
      </c>
      <c r="BM48" s="1">
        <v>3.9849999999999999</v>
      </c>
      <c r="BN48" s="3">
        <v>46136</v>
      </c>
      <c r="BO48" s="1">
        <v>4.1280000000000001</v>
      </c>
      <c r="BP48" s="3">
        <v>46136</v>
      </c>
      <c r="BQ48" s="1">
        <v>4.1399999999999997</v>
      </c>
      <c r="BR48" s="3">
        <v>46136</v>
      </c>
      <c r="BS48" s="1">
        <v>4.165</v>
      </c>
      <c r="BT48" s="3">
        <v>46136</v>
      </c>
      <c r="BU48" s="1">
        <v>4.1900000000000004</v>
      </c>
      <c r="BV48" s="3">
        <v>46136</v>
      </c>
      <c r="BW48" s="1">
        <v>4.21</v>
      </c>
      <c r="BY48" s="3">
        <v>46135</v>
      </c>
      <c r="BZ48" s="1">
        <v>6.25</v>
      </c>
      <c r="CA48" s="3">
        <v>46134</v>
      </c>
      <c r="CB48" s="1">
        <v>6.24</v>
      </c>
      <c r="CC48" s="3">
        <v>46136</v>
      </c>
      <c r="CD48" s="1">
        <v>6.26</v>
      </c>
      <c r="CE48" s="3">
        <v>46136</v>
      </c>
      <c r="CF48" s="1">
        <v>6.25</v>
      </c>
      <c r="CG48" s="3">
        <v>46136</v>
      </c>
      <c r="CH48" s="1">
        <v>6.26</v>
      </c>
      <c r="CI48" s="3">
        <v>46136</v>
      </c>
      <c r="CJ48" s="1">
        <v>6.25</v>
      </c>
      <c r="CK48" s="3">
        <v>46136</v>
      </c>
      <c r="CL48" s="1">
        <v>6.14</v>
      </c>
      <c r="CM48" s="3">
        <v>46136</v>
      </c>
      <c r="CN48" s="1">
        <v>5.93</v>
      </c>
      <c r="CO48" s="3">
        <v>46136</v>
      </c>
      <c r="CP48" s="1">
        <v>5.8</v>
      </c>
      <c r="CQ48" s="3">
        <v>46136</v>
      </c>
      <c r="CR48" s="1">
        <v>5.68</v>
      </c>
      <c r="CS48" s="3">
        <v>46136</v>
      </c>
      <c r="CT48" s="1">
        <v>5.63</v>
      </c>
    </row>
    <row r="49" spans="24:98" x14ac:dyDescent="0.2">
      <c r="X49" s="1" t="s">
        <v>8</v>
      </c>
      <c r="Y49" s="1">
        <f>100*(Y40-_xll.BDP("PZFR0I1 Curncy", "PX_LAST"))</f>
        <v>-4.750000000000032</v>
      </c>
      <c r="Z49" s="1">
        <f>100*(Z40-_xll.BDP("HFFR0I1 Curncy", "PX_LAST"))</f>
        <v>101.99999999999996</v>
      </c>
      <c r="AA49" s="2">
        <f>100*(AA40-_xll.BDP("CKFR0I1 Curncy", "PX_LAST"))</f>
        <v>-24.500000000000011</v>
      </c>
      <c r="AE49" s="3">
        <v>46135</v>
      </c>
      <c r="AF49" s="1">
        <v>3.75</v>
      </c>
      <c r="AG49" s="3">
        <v>46132</v>
      </c>
      <c r="AH49" s="1">
        <v>3.84</v>
      </c>
      <c r="AI49" s="3">
        <v>46135</v>
      </c>
      <c r="AJ49" s="2">
        <v>3.87</v>
      </c>
      <c r="AK49" s="3">
        <v>46135</v>
      </c>
      <c r="AL49" s="2">
        <v>3.9249999999999998</v>
      </c>
      <c r="AM49" s="3">
        <v>46135</v>
      </c>
      <c r="AN49" s="2">
        <v>4.0049999999999999</v>
      </c>
      <c r="AO49" s="3">
        <v>46135</v>
      </c>
      <c r="AP49" s="2">
        <v>4.2225000000000001</v>
      </c>
      <c r="AQ49" s="3">
        <v>46135</v>
      </c>
      <c r="AR49" s="2">
        <v>4.32</v>
      </c>
      <c r="AS49" s="3">
        <v>46135</v>
      </c>
      <c r="AT49" s="2">
        <v>4.3324999999999996</v>
      </c>
      <c r="AU49" s="3">
        <v>46135</v>
      </c>
      <c r="AV49" s="2">
        <v>4.3224999999999998</v>
      </c>
      <c r="AW49" s="3">
        <v>46135</v>
      </c>
      <c r="AX49" s="2">
        <v>4.3099999999999996</v>
      </c>
      <c r="AY49" s="3">
        <v>46135</v>
      </c>
      <c r="AZ49" s="2">
        <v>4.2925000000000004</v>
      </c>
      <c r="BB49" s="3">
        <v>46133</v>
      </c>
      <c r="BC49" s="1">
        <v>3.5</v>
      </c>
      <c r="BD49" s="3">
        <v>46133</v>
      </c>
      <c r="BE49" s="1">
        <v>3.56</v>
      </c>
      <c r="BF49" s="3">
        <v>46135</v>
      </c>
      <c r="BG49" s="1">
        <v>3.605</v>
      </c>
      <c r="BH49" s="3">
        <v>46135</v>
      </c>
      <c r="BI49" s="1">
        <v>3.69</v>
      </c>
      <c r="BJ49" s="3">
        <v>46135</v>
      </c>
      <c r="BK49" s="1">
        <v>3.73</v>
      </c>
      <c r="BL49" s="3">
        <v>46135</v>
      </c>
      <c r="BM49" s="1">
        <v>3.9180000000000001</v>
      </c>
      <c r="BN49" s="3">
        <v>46135</v>
      </c>
      <c r="BO49" s="1">
        <v>4.0380000000000003</v>
      </c>
      <c r="BP49" s="3">
        <v>46135</v>
      </c>
      <c r="BQ49" s="1">
        <v>4.0679999999999996</v>
      </c>
      <c r="BR49" s="3">
        <v>46135</v>
      </c>
      <c r="BS49" s="1">
        <v>4.09</v>
      </c>
      <c r="BT49" s="3">
        <v>46135</v>
      </c>
      <c r="BU49" s="1">
        <v>4.1150000000000002</v>
      </c>
      <c r="BV49" s="3">
        <v>46135</v>
      </c>
      <c r="BW49" s="1">
        <v>4.1349999999999998</v>
      </c>
      <c r="BY49" s="3">
        <v>46134</v>
      </c>
      <c r="BZ49" s="1">
        <v>6.25</v>
      </c>
      <c r="CA49" s="3">
        <v>46133</v>
      </c>
      <c r="CB49" s="1">
        <v>6.24</v>
      </c>
      <c r="CC49" s="3">
        <v>46135</v>
      </c>
      <c r="CD49" s="1">
        <v>6.2670000000000003</v>
      </c>
      <c r="CE49" s="3">
        <v>46135</v>
      </c>
      <c r="CF49" s="1">
        <v>6.2549999999999999</v>
      </c>
      <c r="CG49" s="3">
        <v>46135</v>
      </c>
      <c r="CH49" s="1">
        <v>6.23</v>
      </c>
      <c r="CI49" s="3">
        <v>46135</v>
      </c>
      <c r="CJ49" s="1">
        <v>6.19</v>
      </c>
      <c r="CK49" s="3">
        <v>46135</v>
      </c>
      <c r="CL49" s="1">
        <v>6.08</v>
      </c>
      <c r="CM49" s="3">
        <v>46135</v>
      </c>
      <c r="CN49" s="1">
        <v>5.85</v>
      </c>
      <c r="CO49" s="3">
        <v>46135</v>
      </c>
      <c r="CP49" s="1">
        <v>5.73</v>
      </c>
      <c r="CQ49" s="3">
        <v>46135</v>
      </c>
      <c r="CR49" s="1">
        <v>5.61</v>
      </c>
      <c r="CS49" s="3">
        <v>46135</v>
      </c>
      <c r="CT49" s="1">
        <v>5.57</v>
      </c>
    </row>
    <row r="50" spans="24:98" x14ac:dyDescent="0.2">
      <c r="X50" s="1" t="s">
        <v>7</v>
      </c>
      <c r="AA50" s="3"/>
      <c r="AE50" s="3">
        <v>46134</v>
      </c>
      <c r="AF50" s="1">
        <v>3.75</v>
      </c>
      <c r="AG50" s="3">
        <v>46129</v>
      </c>
      <c r="AH50" s="1">
        <v>3.87</v>
      </c>
      <c r="AI50" s="3">
        <v>46134</v>
      </c>
      <c r="AJ50" s="2">
        <v>3.8650000000000002</v>
      </c>
      <c r="AK50" s="3">
        <v>46134</v>
      </c>
      <c r="AL50" s="2">
        <v>3.915</v>
      </c>
      <c r="AM50" s="3">
        <v>46134</v>
      </c>
      <c r="AN50" s="2">
        <v>3.9750000000000001</v>
      </c>
      <c r="AO50" s="3">
        <v>46134</v>
      </c>
      <c r="AP50" s="2">
        <v>4.1399999999999997</v>
      </c>
      <c r="AQ50" s="3">
        <v>46134</v>
      </c>
      <c r="AR50" s="2">
        <v>4.2275</v>
      </c>
      <c r="AS50" s="3">
        <v>46134</v>
      </c>
      <c r="AT50" s="2">
        <v>4.26</v>
      </c>
      <c r="AU50" s="3">
        <v>46134</v>
      </c>
      <c r="AV50" s="2">
        <v>4.2474999999999996</v>
      </c>
      <c r="AW50" s="3">
        <v>46134</v>
      </c>
      <c r="AX50" s="2">
        <v>4.24</v>
      </c>
      <c r="AY50" s="3">
        <v>46134</v>
      </c>
      <c r="AZ50" s="2">
        <v>4.2300000000000004</v>
      </c>
      <c r="BB50" s="3">
        <v>46132</v>
      </c>
      <c r="BC50" s="1">
        <v>3.5</v>
      </c>
      <c r="BD50" s="3">
        <v>46132</v>
      </c>
      <c r="BE50" s="1">
        <v>3.56</v>
      </c>
      <c r="BF50" s="3">
        <v>46134</v>
      </c>
      <c r="BG50" s="1">
        <v>3.59</v>
      </c>
      <c r="BH50" s="3">
        <v>46134</v>
      </c>
      <c r="BI50" s="1">
        <v>3.6549999999999998</v>
      </c>
      <c r="BJ50" s="3">
        <v>46134</v>
      </c>
      <c r="BK50" s="1">
        <v>3.6949999999999998</v>
      </c>
      <c r="BL50" s="3">
        <v>46134</v>
      </c>
      <c r="BM50" s="1">
        <v>3.87</v>
      </c>
      <c r="BN50" s="3">
        <v>46134</v>
      </c>
      <c r="BO50" s="1">
        <v>3.97</v>
      </c>
      <c r="BP50" s="3">
        <v>46134</v>
      </c>
      <c r="BQ50" s="1">
        <v>4</v>
      </c>
      <c r="BR50" s="3">
        <v>46134</v>
      </c>
      <c r="BS50" s="1">
        <v>4.0330000000000004</v>
      </c>
      <c r="BT50" s="3">
        <v>46134</v>
      </c>
      <c r="BU50" s="1">
        <v>4.0629999999999997</v>
      </c>
      <c r="BV50" s="3">
        <v>46134</v>
      </c>
      <c r="BW50" s="1">
        <v>4.0949999999999998</v>
      </c>
      <c r="BY50" s="3">
        <v>46133</v>
      </c>
      <c r="BZ50" s="1">
        <v>6.25</v>
      </c>
      <c r="CA50" s="3">
        <v>46132</v>
      </c>
      <c r="CB50" s="1">
        <v>6.25</v>
      </c>
      <c r="CC50" s="3">
        <v>46134</v>
      </c>
      <c r="CD50" s="1">
        <v>6.2439999999999998</v>
      </c>
      <c r="CE50" s="3">
        <v>46134</v>
      </c>
      <c r="CF50" s="1">
        <v>6.21</v>
      </c>
      <c r="CG50" s="3">
        <v>46134</v>
      </c>
      <c r="CH50" s="1">
        <v>6.17</v>
      </c>
      <c r="CI50" s="3">
        <v>46134</v>
      </c>
      <c r="CJ50" s="1">
        <v>6.11</v>
      </c>
      <c r="CK50" s="3">
        <v>46134</v>
      </c>
      <c r="CL50" s="1">
        <v>5.95</v>
      </c>
      <c r="CM50" s="3">
        <v>46134</v>
      </c>
      <c r="CN50" s="1">
        <v>5.74</v>
      </c>
      <c r="CO50" s="3">
        <v>46134</v>
      </c>
      <c r="CP50" s="1">
        <v>5.6</v>
      </c>
      <c r="CQ50" s="3">
        <v>46134</v>
      </c>
      <c r="CR50" s="1">
        <v>5.5</v>
      </c>
      <c r="CS50" s="3">
        <v>46134</v>
      </c>
      <c r="CT50" s="1">
        <v>5.45</v>
      </c>
    </row>
    <row r="51" spans="24:98" x14ac:dyDescent="0.2">
      <c r="X51" s="1" t="s">
        <v>6</v>
      </c>
      <c r="AA51" s="3"/>
      <c r="AE51" s="3">
        <v>46133</v>
      </c>
      <c r="AF51" s="1">
        <v>3.75</v>
      </c>
      <c r="AG51" s="3">
        <v>46128</v>
      </c>
      <c r="AH51" s="1">
        <v>3.84</v>
      </c>
      <c r="AI51" s="3">
        <v>46133</v>
      </c>
      <c r="AJ51" s="2">
        <v>3.8574999999999999</v>
      </c>
      <c r="AK51" s="3">
        <v>46133</v>
      </c>
      <c r="AL51" s="2">
        <v>3.895</v>
      </c>
      <c r="AM51" s="3">
        <v>46133</v>
      </c>
      <c r="AN51" s="2">
        <v>3.94</v>
      </c>
      <c r="AO51" s="3">
        <v>46133</v>
      </c>
      <c r="AP51" s="2">
        <v>4.0599999999999996</v>
      </c>
      <c r="AQ51" s="3">
        <v>46133</v>
      </c>
      <c r="AR51" s="2">
        <v>4.1425000000000001</v>
      </c>
      <c r="AS51" s="3">
        <v>46133</v>
      </c>
      <c r="AT51" s="2">
        <v>4.1749999999999998</v>
      </c>
      <c r="AU51" s="3">
        <v>46133</v>
      </c>
      <c r="AV51" s="2">
        <v>4.1624999999999996</v>
      </c>
      <c r="AW51" s="3">
        <v>46133</v>
      </c>
      <c r="AX51" s="2">
        <v>4.1524999999999999</v>
      </c>
      <c r="AY51" s="3">
        <v>46133</v>
      </c>
      <c r="AZ51" s="2">
        <v>4.1425000000000001</v>
      </c>
      <c r="BB51" s="3">
        <v>46129</v>
      </c>
      <c r="BC51" s="1">
        <v>3.5</v>
      </c>
      <c r="BD51" s="3">
        <v>46129</v>
      </c>
      <c r="BE51" s="1">
        <v>3.56</v>
      </c>
      <c r="BF51" s="3">
        <v>46133</v>
      </c>
      <c r="BG51" s="1">
        <v>3.58</v>
      </c>
      <c r="BH51" s="3">
        <v>46133</v>
      </c>
      <c r="BI51" s="1">
        <v>3.6280000000000001</v>
      </c>
      <c r="BJ51" s="3">
        <v>46133</v>
      </c>
      <c r="BK51" s="1">
        <v>3.645</v>
      </c>
      <c r="BL51" s="3">
        <v>46133</v>
      </c>
      <c r="BM51" s="1">
        <v>3.8</v>
      </c>
      <c r="BN51" s="3">
        <v>46133</v>
      </c>
      <c r="BO51" s="1">
        <v>3.9079999999999999</v>
      </c>
      <c r="BP51" s="3">
        <v>46133</v>
      </c>
      <c r="BQ51" s="1">
        <v>3.9630000000000001</v>
      </c>
      <c r="BR51" s="3">
        <v>46133</v>
      </c>
      <c r="BS51" s="1">
        <v>4.0030000000000001</v>
      </c>
      <c r="BT51" s="3">
        <v>46133</v>
      </c>
      <c r="BU51" s="1">
        <v>4.0380000000000003</v>
      </c>
      <c r="BV51" s="3">
        <v>46133</v>
      </c>
      <c r="BW51" s="1">
        <v>4.0730000000000004</v>
      </c>
      <c r="BY51" s="3">
        <v>46132</v>
      </c>
      <c r="BZ51" s="1">
        <v>6.25</v>
      </c>
      <c r="CA51" s="3">
        <v>46129</v>
      </c>
      <c r="CB51" s="1">
        <v>6.25</v>
      </c>
      <c r="CC51" s="3">
        <v>46133</v>
      </c>
      <c r="CD51" s="1">
        <v>6.23</v>
      </c>
      <c r="CE51" s="3">
        <v>46133</v>
      </c>
      <c r="CF51" s="1">
        <v>6.18</v>
      </c>
      <c r="CG51" s="3">
        <v>46133</v>
      </c>
      <c r="CH51" s="1">
        <v>6.13</v>
      </c>
      <c r="CI51" s="3">
        <v>46133</v>
      </c>
      <c r="CJ51" s="1">
        <v>6.06</v>
      </c>
      <c r="CK51" s="3">
        <v>46133</v>
      </c>
      <c r="CL51" s="1">
        <v>5.89</v>
      </c>
      <c r="CM51" s="3">
        <v>46133</v>
      </c>
      <c r="CN51" s="1">
        <v>5.64</v>
      </c>
      <c r="CO51" s="3">
        <v>46133</v>
      </c>
      <c r="CP51" s="1">
        <v>5.51</v>
      </c>
      <c r="CQ51" s="3">
        <v>46133</v>
      </c>
      <c r="CR51" s="1">
        <v>5.4</v>
      </c>
      <c r="CS51" s="3">
        <v>46133</v>
      </c>
      <c r="CT51" s="1">
        <v>5.35</v>
      </c>
    </row>
    <row r="52" spans="24:98" x14ac:dyDescent="0.2">
      <c r="X52" s="1" t="s">
        <v>5</v>
      </c>
      <c r="Y52" s="1">
        <f>100*(Y40-_xll.BDP("PZFR011C Curncy", "PX_LAST"))</f>
        <v>-0.50000000000003375</v>
      </c>
      <c r="Z52" s="1">
        <f>100*(Z40-_xll.BDP("HFFR011C Curncy", "PX_LAST"))</f>
        <v>110.99999999999994</v>
      </c>
      <c r="AA52" s="2">
        <f>100*(AA40-_xll.BDP("CKFR011C Curncy", "PX_LAST"))</f>
        <v>-22.499999999999964</v>
      </c>
      <c r="AE52" s="3">
        <v>46132</v>
      </c>
      <c r="AF52" s="1">
        <v>3.75</v>
      </c>
      <c r="AG52" s="3">
        <v>46127</v>
      </c>
      <c r="AH52" s="1">
        <v>3.84</v>
      </c>
      <c r="AI52" s="3">
        <v>46132</v>
      </c>
      <c r="AJ52" s="2">
        <v>3.86</v>
      </c>
      <c r="AK52" s="3">
        <v>46132</v>
      </c>
      <c r="AL52" s="2">
        <v>3.8824999999999998</v>
      </c>
      <c r="AM52" s="3">
        <v>46132</v>
      </c>
      <c r="AN52" s="2">
        <v>3.9075000000000002</v>
      </c>
      <c r="AO52" s="3">
        <v>46132</v>
      </c>
      <c r="AP52" s="2">
        <v>3.98</v>
      </c>
      <c r="AQ52" s="3">
        <v>46132</v>
      </c>
      <c r="AR52" s="2">
        <v>4.0475000000000003</v>
      </c>
      <c r="AS52" s="3">
        <v>46132</v>
      </c>
      <c r="AT52" s="2">
        <v>4.07</v>
      </c>
      <c r="AU52" s="3">
        <v>46132</v>
      </c>
      <c r="AV52" s="2">
        <v>4.0599999999999996</v>
      </c>
      <c r="AW52" s="3">
        <v>46132</v>
      </c>
      <c r="AX52" s="2">
        <v>4.05</v>
      </c>
      <c r="AY52" s="3">
        <v>46132</v>
      </c>
      <c r="AZ52" s="2">
        <v>4.04</v>
      </c>
      <c r="BB52" s="3">
        <v>46128</v>
      </c>
      <c r="BC52" s="1">
        <v>3.5</v>
      </c>
      <c r="BD52" s="3">
        <v>46128</v>
      </c>
      <c r="BE52" s="1">
        <v>3.56</v>
      </c>
      <c r="BF52" s="3">
        <v>46132</v>
      </c>
      <c r="BG52" s="1">
        <v>3.58</v>
      </c>
      <c r="BH52" s="3">
        <v>46132</v>
      </c>
      <c r="BI52" s="1">
        <v>3.5950000000000002</v>
      </c>
      <c r="BJ52" s="3">
        <v>46132</v>
      </c>
      <c r="BK52" s="1">
        <v>3.625</v>
      </c>
      <c r="BL52" s="3">
        <v>46132</v>
      </c>
      <c r="BM52" s="1">
        <v>3.7679999999999998</v>
      </c>
      <c r="BN52" s="3">
        <v>46132</v>
      </c>
      <c r="BO52" s="1">
        <v>3.8650000000000002</v>
      </c>
      <c r="BP52" s="3">
        <v>46132</v>
      </c>
      <c r="BQ52" s="1">
        <v>3.91</v>
      </c>
      <c r="BR52" s="3">
        <v>46132</v>
      </c>
      <c r="BS52" s="1">
        <v>3.948</v>
      </c>
      <c r="BT52" s="3">
        <v>46132</v>
      </c>
      <c r="BU52" s="1">
        <v>3.98</v>
      </c>
      <c r="BV52" s="3">
        <v>46132</v>
      </c>
      <c r="BW52" s="1">
        <v>4.01</v>
      </c>
      <c r="BY52" s="3">
        <v>46129</v>
      </c>
      <c r="BZ52" s="1">
        <v>6.25</v>
      </c>
      <c r="CA52" s="3">
        <v>46128</v>
      </c>
      <c r="CB52" s="1">
        <v>6.25</v>
      </c>
      <c r="CC52" s="3">
        <v>46132</v>
      </c>
      <c r="CD52" s="1">
        <v>6.2190000000000003</v>
      </c>
      <c r="CE52" s="3">
        <v>46132</v>
      </c>
      <c r="CF52" s="1">
        <v>6.16</v>
      </c>
      <c r="CG52" s="3">
        <v>46132</v>
      </c>
      <c r="CH52" s="1">
        <v>6.09</v>
      </c>
      <c r="CI52" s="3">
        <v>46132</v>
      </c>
      <c r="CJ52" s="1">
        <v>6.04</v>
      </c>
      <c r="CK52" s="3">
        <v>46132</v>
      </c>
      <c r="CL52" s="1">
        <v>5.88</v>
      </c>
      <c r="CM52" s="3">
        <v>46132</v>
      </c>
      <c r="CN52" s="1">
        <v>5.67</v>
      </c>
      <c r="CO52" s="3">
        <v>46132</v>
      </c>
      <c r="CP52" s="1">
        <v>5.57</v>
      </c>
      <c r="CQ52" s="3">
        <v>46132</v>
      </c>
      <c r="CR52" s="1">
        <v>5.5</v>
      </c>
      <c r="CS52" s="3">
        <v>46132</v>
      </c>
      <c r="CT52" s="1">
        <v>5.45</v>
      </c>
    </row>
    <row r="53" spans="24:98" x14ac:dyDescent="0.2">
      <c r="X53" s="1" t="s">
        <v>4</v>
      </c>
      <c r="AA53" s="3"/>
      <c r="AE53" s="3">
        <v>46129</v>
      </c>
      <c r="AF53" s="1">
        <v>3.75</v>
      </c>
      <c r="AG53" s="3">
        <v>46126</v>
      </c>
      <c r="AH53" s="1">
        <v>3.85</v>
      </c>
      <c r="AI53" s="3">
        <v>46129</v>
      </c>
      <c r="AJ53" s="2">
        <v>3.85</v>
      </c>
      <c r="AK53" s="3">
        <v>46129</v>
      </c>
      <c r="AL53" s="2">
        <v>3.8624999999999998</v>
      </c>
      <c r="AM53" s="3">
        <v>46129</v>
      </c>
      <c r="AN53" s="2">
        <v>3.8774999999999999</v>
      </c>
      <c r="AO53" s="3">
        <v>46129</v>
      </c>
      <c r="AP53" s="2">
        <v>3.92</v>
      </c>
      <c r="AQ53" s="3">
        <v>46129</v>
      </c>
      <c r="AR53" s="2">
        <v>3.99</v>
      </c>
      <c r="AS53" s="3">
        <v>46129</v>
      </c>
      <c r="AT53" s="2">
        <v>4.0149999999999997</v>
      </c>
      <c r="AU53" s="3">
        <v>46129</v>
      </c>
      <c r="AV53" s="2">
        <v>4.0049999999999999</v>
      </c>
      <c r="AW53" s="3">
        <v>46129</v>
      </c>
      <c r="AX53" s="2">
        <v>3.9950000000000001</v>
      </c>
      <c r="AY53" s="3">
        <v>46129</v>
      </c>
      <c r="AZ53" s="2">
        <v>3.9849999999999999</v>
      </c>
      <c r="BB53" s="3">
        <v>46127</v>
      </c>
      <c r="BC53" s="1">
        <v>3.5</v>
      </c>
      <c r="BD53" s="3">
        <v>46127</v>
      </c>
      <c r="BE53" s="1">
        <v>3.56</v>
      </c>
      <c r="BF53" s="3">
        <v>46129</v>
      </c>
      <c r="BG53" s="1">
        <v>3.57</v>
      </c>
      <c r="BH53" s="3">
        <v>46129</v>
      </c>
      <c r="BI53" s="1">
        <v>3.5779999999999998</v>
      </c>
      <c r="BJ53" s="3">
        <v>46129</v>
      </c>
      <c r="BK53" s="1">
        <v>3.61</v>
      </c>
      <c r="BL53" s="3">
        <v>46129</v>
      </c>
      <c r="BM53" s="1">
        <v>3.7250000000000001</v>
      </c>
      <c r="BN53" s="3">
        <v>46129</v>
      </c>
      <c r="BO53" s="1">
        <v>3.7949999999999999</v>
      </c>
      <c r="BP53" s="3">
        <v>46129</v>
      </c>
      <c r="BQ53" s="1">
        <v>3.823</v>
      </c>
      <c r="BR53" s="3">
        <v>46129</v>
      </c>
      <c r="BS53" s="1">
        <v>3.843</v>
      </c>
      <c r="BT53" s="3">
        <v>46129</v>
      </c>
      <c r="BU53" s="1">
        <v>3.8650000000000002</v>
      </c>
      <c r="BV53" s="3">
        <v>46129</v>
      </c>
      <c r="BW53" s="1">
        <v>3.9</v>
      </c>
      <c r="BY53" s="3">
        <v>46128</v>
      </c>
      <c r="BZ53" s="1">
        <v>6.25</v>
      </c>
      <c r="CA53" s="3">
        <v>46127</v>
      </c>
      <c r="CB53" s="1">
        <v>6.26</v>
      </c>
      <c r="CC53" s="3">
        <v>46129</v>
      </c>
      <c r="CD53" s="1">
        <v>6.2329999999999997</v>
      </c>
      <c r="CE53" s="3">
        <v>46129</v>
      </c>
      <c r="CF53" s="1">
        <v>6.1760000000000002</v>
      </c>
      <c r="CG53" s="3">
        <v>46129</v>
      </c>
      <c r="CH53" s="1">
        <v>6.12</v>
      </c>
      <c r="CI53" s="3">
        <v>46129</v>
      </c>
      <c r="CJ53" s="1">
        <v>6.08</v>
      </c>
      <c r="CK53" s="3">
        <v>46129</v>
      </c>
      <c r="CL53" s="1">
        <v>5.94</v>
      </c>
      <c r="CM53" s="3">
        <v>46129</v>
      </c>
      <c r="CN53" s="1">
        <v>5.73</v>
      </c>
      <c r="CO53" s="3">
        <v>46129</v>
      </c>
      <c r="CP53" s="1">
        <v>5.64</v>
      </c>
      <c r="CQ53" s="3">
        <v>46129</v>
      </c>
      <c r="CR53" s="1">
        <v>5.57</v>
      </c>
      <c r="CS53" s="3">
        <v>46129</v>
      </c>
      <c r="CT53" s="1">
        <v>5.52</v>
      </c>
    </row>
    <row r="54" spans="24:98" x14ac:dyDescent="0.2">
      <c r="X54" s="1" t="s">
        <v>3</v>
      </c>
      <c r="AA54" s="3"/>
      <c r="AE54" s="3">
        <v>46128</v>
      </c>
      <c r="AF54" s="1">
        <v>3.75</v>
      </c>
      <c r="AG54" s="3">
        <v>46125</v>
      </c>
      <c r="AH54" s="1">
        <v>3.85</v>
      </c>
      <c r="AI54" s="3">
        <v>46128</v>
      </c>
      <c r="AJ54" s="2">
        <v>3.855</v>
      </c>
      <c r="AK54" s="3">
        <v>46128</v>
      </c>
      <c r="AL54" s="2">
        <v>3.8925000000000001</v>
      </c>
      <c r="AM54" s="3">
        <v>46128</v>
      </c>
      <c r="AN54" s="2">
        <v>3.93</v>
      </c>
      <c r="AO54" s="3">
        <v>46128</v>
      </c>
      <c r="AP54" s="2">
        <v>4.0274999999999999</v>
      </c>
      <c r="AQ54" s="3">
        <v>46128</v>
      </c>
      <c r="AR54" s="2">
        <v>4.125</v>
      </c>
      <c r="AS54" s="3">
        <v>46128</v>
      </c>
      <c r="AT54" s="2">
        <v>4.165</v>
      </c>
      <c r="AU54" s="3">
        <v>46128</v>
      </c>
      <c r="AV54" s="2">
        <v>4.1550000000000002</v>
      </c>
      <c r="AW54" s="3">
        <v>46128</v>
      </c>
      <c r="AX54" s="2">
        <v>4.1449999999999996</v>
      </c>
      <c r="AY54" s="3">
        <v>46128</v>
      </c>
      <c r="AZ54" s="2">
        <v>4.1349999999999998</v>
      </c>
      <c r="BB54" s="3">
        <v>46126</v>
      </c>
      <c r="BC54" s="1">
        <v>3.5</v>
      </c>
      <c r="BD54" s="3">
        <v>46126</v>
      </c>
      <c r="BE54" s="1">
        <v>3.56</v>
      </c>
      <c r="BF54" s="3">
        <v>46128</v>
      </c>
      <c r="BG54" s="1">
        <v>3.58</v>
      </c>
      <c r="BH54" s="3">
        <v>46128</v>
      </c>
      <c r="BI54" s="1">
        <v>3.5950000000000002</v>
      </c>
      <c r="BJ54" s="3">
        <v>46128</v>
      </c>
      <c r="BK54" s="1">
        <v>3.6549999999999998</v>
      </c>
      <c r="BL54" s="3">
        <v>46128</v>
      </c>
      <c r="BM54" s="1">
        <v>3.8180000000000001</v>
      </c>
      <c r="BN54" s="3">
        <v>46128</v>
      </c>
      <c r="BO54" s="1">
        <v>3.9129999999999998</v>
      </c>
      <c r="BP54" s="3">
        <v>46128</v>
      </c>
      <c r="BQ54" s="1">
        <v>3.9729999999999999</v>
      </c>
      <c r="BR54" s="3">
        <v>46128</v>
      </c>
      <c r="BS54" s="1">
        <v>4.008</v>
      </c>
      <c r="BT54" s="3">
        <v>46128</v>
      </c>
      <c r="BU54" s="1">
        <v>4.0529999999999999</v>
      </c>
      <c r="BV54" s="3">
        <v>46128</v>
      </c>
      <c r="BW54" s="1">
        <v>4.093</v>
      </c>
      <c r="BY54" s="3">
        <v>46127</v>
      </c>
      <c r="BZ54" s="1">
        <v>6.25</v>
      </c>
      <c r="CA54" s="3">
        <v>46126</v>
      </c>
      <c r="CB54" s="1">
        <v>6.27</v>
      </c>
      <c r="CC54" s="3">
        <v>46128</v>
      </c>
      <c r="CD54" s="1">
        <v>6.2750000000000004</v>
      </c>
      <c r="CE54" s="3">
        <v>46128</v>
      </c>
      <c r="CF54" s="1">
        <v>6.2554999999999996</v>
      </c>
      <c r="CG54" s="3">
        <v>46128</v>
      </c>
      <c r="CH54" s="1">
        <v>6.25</v>
      </c>
      <c r="CI54" s="3">
        <v>46128</v>
      </c>
      <c r="CJ54" s="1">
        <v>6.2575000000000003</v>
      </c>
      <c r="CK54" s="3">
        <v>46128</v>
      </c>
      <c r="CL54" s="1">
        <v>6.165</v>
      </c>
      <c r="CM54" s="3">
        <v>46128</v>
      </c>
      <c r="CN54" s="1">
        <v>6</v>
      </c>
      <c r="CO54" s="3">
        <v>46128</v>
      </c>
      <c r="CP54" s="1">
        <v>5.91</v>
      </c>
      <c r="CQ54" s="3">
        <v>46128</v>
      </c>
      <c r="CR54" s="1">
        <v>5.86</v>
      </c>
      <c r="CS54" s="3">
        <v>46128</v>
      </c>
      <c r="CT54" s="1">
        <v>5.82</v>
      </c>
    </row>
    <row r="55" spans="24:98" x14ac:dyDescent="0.2">
      <c r="X55" s="1" t="s">
        <v>2</v>
      </c>
      <c r="Y55" s="1">
        <f>100*(Y40-_xll.BDP("PZFR1C1F Curncy", "PX_LAST"))</f>
        <v>0.99999999999997868</v>
      </c>
      <c r="Z55" s="1">
        <f>100*(Z40-_xll.BDP("HFFR1C1F Curncy", "PX_LAST"))</f>
        <v>113.99999999999997</v>
      </c>
      <c r="AA55" s="2">
        <f>100*(AA40-_xll.BDP("CKFR1C1F Curncy", "PX_LAST"))</f>
        <v>-21.799999999999997</v>
      </c>
      <c r="AE55" s="3">
        <v>46127</v>
      </c>
      <c r="AF55" s="1">
        <v>3.75</v>
      </c>
      <c r="AG55" s="3">
        <v>46122</v>
      </c>
      <c r="AH55" s="1">
        <v>3.84</v>
      </c>
      <c r="AI55" s="3">
        <v>46127</v>
      </c>
      <c r="AJ55" s="2">
        <v>3.86</v>
      </c>
      <c r="AK55" s="3">
        <v>46127</v>
      </c>
      <c r="AL55" s="2">
        <v>3.895</v>
      </c>
      <c r="AM55" s="3">
        <v>46127</v>
      </c>
      <c r="AN55" s="2">
        <v>3.9325000000000001</v>
      </c>
      <c r="AO55" s="3">
        <v>46127</v>
      </c>
      <c r="AP55" s="2">
        <v>4.03</v>
      </c>
      <c r="AQ55" s="3">
        <v>46127</v>
      </c>
      <c r="AR55" s="2">
        <v>4.1275000000000004</v>
      </c>
      <c r="AS55" s="3">
        <v>46127</v>
      </c>
      <c r="AT55" s="2">
        <v>4.1675000000000004</v>
      </c>
      <c r="AU55" s="3">
        <v>46127</v>
      </c>
      <c r="AV55" s="2">
        <v>4.1574999999999998</v>
      </c>
      <c r="AW55" s="3">
        <v>46127</v>
      </c>
      <c r="AX55" s="2">
        <v>4.1475</v>
      </c>
      <c r="AY55" s="3">
        <v>46127</v>
      </c>
      <c r="AZ55" s="2">
        <v>4.1375000000000002</v>
      </c>
      <c r="BB55" s="3">
        <v>46125</v>
      </c>
      <c r="BC55" s="1">
        <v>3.5</v>
      </c>
      <c r="BD55" s="3">
        <v>46125</v>
      </c>
      <c r="BE55" s="1">
        <v>3.57</v>
      </c>
      <c r="BF55" s="3">
        <v>46127</v>
      </c>
      <c r="BG55" s="1">
        <v>3.59</v>
      </c>
      <c r="BH55" s="3">
        <v>46127</v>
      </c>
      <c r="BI55" s="1">
        <v>3.6</v>
      </c>
      <c r="BJ55" s="3">
        <v>46127</v>
      </c>
      <c r="BK55" s="1">
        <v>3.665</v>
      </c>
      <c r="BL55" s="3">
        <v>46127</v>
      </c>
      <c r="BM55" s="1">
        <v>3.7850000000000001</v>
      </c>
      <c r="BN55" s="3">
        <v>46127</v>
      </c>
      <c r="BO55" s="1">
        <v>3.89</v>
      </c>
      <c r="BP55" s="3">
        <v>46127</v>
      </c>
      <c r="BQ55" s="1">
        <v>3.94</v>
      </c>
      <c r="BR55" s="3">
        <v>46127</v>
      </c>
      <c r="BS55" s="1">
        <v>3.9780000000000002</v>
      </c>
      <c r="BT55" s="3">
        <v>46127</v>
      </c>
      <c r="BU55" s="1">
        <v>4.0149999999999997</v>
      </c>
      <c r="BV55" s="3">
        <v>46127</v>
      </c>
      <c r="BW55" s="1">
        <v>4.0449999999999999</v>
      </c>
      <c r="BY55" s="3">
        <v>46126</v>
      </c>
      <c r="BZ55" s="1">
        <v>6.25</v>
      </c>
      <c r="CA55" s="3">
        <v>46125</v>
      </c>
      <c r="CB55" s="1">
        <v>6.3</v>
      </c>
      <c r="CC55" s="3">
        <v>46127</v>
      </c>
      <c r="CD55" s="1">
        <v>6.2750000000000004</v>
      </c>
      <c r="CE55" s="3">
        <v>46127</v>
      </c>
      <c r="CF55" s="1">
        <v>6.24</v>
      </c>
      <c r="CG55" s="3">
        <v>46127</v>
      </c>
      <c r="CH55" s="1">
        <v>6.23</v>
      </c>
      <c r="CI55" s="3">
        <v>46127</v>
      </c>
      <c r="CJ55" s="1">
        <v>6.23</v>
      </c>
      <c r="CK55" s="3">
        <v>46127</v>
      </c>
      <c r="CL55" s="1">
        <v>6.13</v>
      </c>
      <c r="CM55" s="3">
        <v>46127</v>
      </c>
      <c r="CN55" s="1">
        <v>5.99</v>
      </c>
      <c r="CO55" s="3">
        <v>46127</v>
      </c>
      <c r="CP55" s="1">
        <v>5.91</v>
      </c>
      <c r="CQ55" s="3">
        <v>46127</v>
      </c>
      <c r="CR55" s="1">
        <v>5.86</v>
      </c>
      <c r="CS55" s="3">
        <v>46127</v>
      </c>
      <c r="CT55" s="1">
        <v>5.82</v>
      </c>
    </row>
    <row r="56" spans="24:98" x14ac:dyDescent="0.2">
      <c r="Z56" s="7"/>
      <c r="AA56" s="6"/>
      <c r="AE56" s="3">
        <v>46126</v>
      </c>
      <c r="AF56" s="1">
        <v>3.75</v>
      </c>
      <c r="AG56" s="3">
        <v>46121</v>
      </c>
      <c r="AH56" s="1">
        <v>3.85</v>
      </c>
      <c r="AI56" s="3">
        <v>46126</v>
      </c>
      <c r="AJ56" s="2">
        <v>3.855</v>
      </c>
      <c r="AK56" s="3">
        <v>46126</v>
      </c>
      <c r="AL56" s="2">
        <v>3.8875000000000002</v>
      </c>
      <c r="AM56" s="3">
        <v>46126</v>
      </c>
      <c r="AN56" s="2">
        <v>3.9175</v>
      </c>
      <c r="AO56" s="3">
        <v>46126</v>
      </c>
      <c r="AP56" s="2">
        <v>4.0025000000000004</v>
      </c>
      <c r="AQ56" s="3">
        <v>46126</v>
      </c>
      <c r="AR56" s="2">
        <v>4.1025</v>
      </c>
      <c r="AS56" s="3">
        <v>46126</v>
      </c>
      <c r="AT56" s="2">
        <v>4.1449999999999996</v>
      </c>
      <c r="AU56" s="3">
        <v>46126</v>
      </c>
      <c r="AV56" s="2">
        <v>4.1349999999999998</v>
      </c>
      <c r="AW56" s="3">
        <v>46126</v>
      </c>
      <c r="AX56" s="2">
        <v>4.125</v>
      </c>
      <c r="AY56" s="3">
        <v>46126</v>
      </c>
      <c r="AZ56" s="2">
        <v>4.1150000000000002</v>
      </c>
      <c r="BB56" s="3">
        <v>46122</v>
      </c>
      <c r="BC56" s="1">
        <v>3.5</v>
      </c>
      <c r="BD56" s="3">
        <v>46122</v>
      </c>
      <c r="BE56" s="1">
        <v>3.57</v>
      </c>
      <c r="BF56" s="3">
        <v>46126</v>
      </c>
      <c r="BG56" s="1">
        <v>3.5950000000000002</v>
      </c>
      <c r="BH56" s="3">
        <v>46126</v>
      </c>
      <c r="BI56" s="1">
        <v>3.62</v>
      </c>
      <c r="BJ56" s="3">
        <v>46126</v>
      </c>
      <c r="BK56" s="1">
        <v>3.6749999999999998</v>
      </c>
      <c r="BL56" s="3">
        <v>46126</v>
      </c>
      <c r="BM56" s="1">
        <v>3.7949999999999999</v>
      </c>
      <c r="BN56" s="3">
        <v>46126</v>
      </c>
      <c r="BO56" s="1">
        <v>3.895</v>
      </c>
      <c r="BP56" s="3">
        <v>46126</v>
      </c>
      <c r="BQ56" s="1">
        <v>3.94</v>
      </c>
      <c r="BR56" s="3">
        <v>46126</v>
      </c>
      <c r="BS56" s="1">
        <v>3.97</v>
      </c>
      <c r="BT56" s="3">
        <v>46126</v>
      </c>
      <c r="BU56" s="1">
        <v>4.0030000000000001</v>
      </c>
      <c r="BV56" s="3">
        <v>46126</v>
      </c>
      <c r="BW56" s="1">
        <v>4.0330000000000004</v>
      </c>
      <c r="BY56" s="3">
        <v>46125</v>
      </c>
      <c r="BZ56" s="1">
        <v>6.25</v>
      </c>
      <c r="CA56" s="3">
        <v>46122</v>
      </c>
      <c r="CB56" s="1">
        <v>6.38</v>
      </c>
      <c r="CC56" s="3">
        <v>46126</v>
      </c>
      <c r="CD56" s="1">
        <v>6.2735000000000003</v>
      </c>
      <c r="CE56" s="3">
        <v>46126</v>
      </c>
      <c r="CF56" s="1">
        <v>6.2565</v>
      </c>
      <c r="CG56" s="3">
        <v>46126</v>
      </c>
      <c r="CH56" s="1">
        <v>6.2450000000000001</v>
      </c>
      <c r="CI56" s="3">
        <v>46126</v>
      </c>
      <c r="CJ56" s="1">
        <v>6.2249999999999996</v>
      </c>
      <c r="CK56" s="3">
        <v>46126</v>
      </c>
      <c r="CL56" s="1">
        <v>6.1</v>
      </c>
      <c r="CM56" s="3">
        <v>46126</v>
      </c>
      <c r="CN56" s="1">
        <v>5.95</v>
      </c>
      <c r="CO56" s="3">
        <v>46126</v>
      </c>
      <c r="CP56" s="1">
        <v>5.86</v>
      </c>
      <c r="CQ56" s="3">
        <v>46126</v>
      </c>
      <c r="CR56" s="1">
        <v>5.78</v>
      </c>
      <c r="CS56" s="3">
        <v>46126</v>
      </c>
      <c r="CT56" s="1">
        <v>5.75</v>
      </c>
    </row>
    <row r="57" spans="24:98" x14ac:dyDescent="0.2">
      <c r="Z57" s="7"/>
      <c r="AA57" s="6"/>
      <c r="AE57" s="3">
        <v>46125</v>
      </c>
      <c r="AF57" s="1">
        <v>3.75</v>
      </c>
      <c r="AG57" s="3">
        <v>46120</v>
      </c>
      <c r="AH57" s="1">
        <v>3.84</v>
      </c>
      <c r="AI57" s="3">
        <v>46125</v>
      </c>
      <c r="AJ57" s="2">
        <v>3.8574999999999999</v>
      </c>
      <c r="AK57" s="3">
        <v>46125</v>
      </c>
      <c r="AL57" s="2">
        <v>3.8925000000000001</v>
      </c>
      <c r="AM57" s="3">
        <v>46125</v>
      </c>
      <c r="AN57" s="2">
        <v>3.9275000000000002</v>
      </c>
      <c r="AO57" s="3">
        <v>46125</v>
      </c>
      <c r="AP57" s="2">
        <v>4.0250000000000004</v>
      </c>
      <c r="AQ57" s="3">
        <v>46125</v>
      </c>
      <c r="AR57" s="2">
        <v>4.1375000000000002</v>
      </c>
      <c r="AS57" s="3">
        <v>46125</v>
      </c>
      <c r="AT57" s="2">
        <v>4.18</v>
      </c>
      <c r="AU57" s="3">
        <v>46125</v>
      </c>
      <c r="AV57" s="2">
        <v>4.17</v>
      </c>
      <c r="AW57" s="3">
        <v>46125</v>
      </c>
      <c r="AX57" s="2">
        <v>4.16</v>
      </c>
      <c r="AY57" s="3">
        <v>46125</v>
      </c>
      <c r="AZ57" s="2">
        <v>4.1500000000000004</v>
      </c>
      <c r="BB57" s="3">
        <v>46121</v>
      </c>
      <c r="BC57" s="1">
        <v>3.5</v>
      </c>
      <c r="BD57" s="3">
        <v>46121</v>
      </c>
      <c r="BE57" s="1">
        <v>3.57</v>
      </c>
      <c r="BF57" s="3">
        <v>46125</v>
      </c>
      <c r="BG57" s="1">
        <v>3.6</v>
      </c>
      <c r="BH57" s="3">
        <v>46125</v>
      </c>
      <c r="BI57" s="1">
        <v>3.633</v>
      </c>
      <c r="BJ57" s="3">
        <v>46125</v>
      </c>
      <c r="BK57" s="1">
        <v>3.7</v>
      </c>
      <c r="BL57" s="3">
        <v>46125</v>
      </c>
      <c r="BM57" s="1">
        <v>3.88</v>
      </c>
      <c r="BN57" s="3">
        <v>46125</v>
      </c>
      <c r="BO57" s="1">
        <v>4.01</v>
      </c>
      <c r="BP57" s="3">
        <v>46125</v>
      </c>
      <c r="BQ57" s="1">
        <v>4.05</v>
      </c>
      <c r="BR57" s="3">
        <v>46125</v>
      </c>
      <c r="BS57" s="1">
        <v>4.085</v>
      </c>
      <c r="BT57" s="3">
        <v>46125</v>
      </c>
      <c r="BU57" s="1">
        <v>4.1150000000000002</v>
      </c>
      <c r="BV57" s="3">
        <v>46125</v>
      </c>
      <c r="BW57" s="1">
        <v>4.1449999999999996</v>
      </c>
      <c r="BY57" s="3">
        <v>46122</v>
      </c>
      <c r="BZ57" s="1">
        <v>6.25</v>
      </c>
      <c r="CA57" s="3">
        <v>46121</v>
      </c>
      <c r="CB57" s="1">
        <v>6.39</v>
      </c>
      <c r="CC57" s="3">
        <v>46125</v>
      </c>
      <c r="CD57" s="1">
        <v>6.3</v>
      </c>
      <c r="CE57" s="3">
        <v>46125</v>
      </c>
      <c r="CF57" s="1">
        <v>6.27</v>
      </c>
      <c r="CG57" s="3">
        <v>46125</v>
      </c>
      <c r="CH57" s="1">
        <v>6.22</v>
      </c>
      <c r="CI57" s="3">
        <v>46125</v>
      </c>
      <c r="CJ57" s="1">
        <v>6.2</v>
      </c>
      <c r="CK57" s="3">
        <v>46125</v>
      </c>
      <c r="CL57" s="1">
        <v>6.085</v>
      </c>
      <c r="CM57" s="3">
        <v>46125</v>
      </c>
      <c r="CN57" s="1">
        <v>5.97</v>
      </c>
      <c r="CO57" s="3">
        <v>46125</v>
      </c>
      <c r="CP57" s="1">
        <v>5.93</v>
      </c>
      <c r="CQ57" s="3">
        <v>46125</v>
      </c>
      <c r="CR57" s="1">
        <v>5.88</v>
      </c>
      <c r="CS57" s="3">
        <v>46125</v>
      </c>
      <c r="CT57" s="1">
        <v>5.84</v>
      </c>
    </row>
    <row r="58" spans="24:98" x14ac:dyDescent="0.2">
      <c r="AA58" s="3"/>
      <c r="AE58" s="3">
        <v>46122</v>
      </c>
      <c r="AF58" s="1">
        <v>3.75</v>
      </c>
      <c r="AG58" s="3">
        <v>46119</v>
      </c>
      <c r="AH58" s="1">
        <v>3.85</v>
      </c>
      <c r="AI58" s="3">
        <v>46122</v>
      </c>
      <c r="AJ58" s="2">
        <v>3.84</v>
      </c>
      <c r="AK58" s="3">
        <v>46122</v>
      </c>
      <c r="AL58" s="2">
        <v>3.8650000000000002</v>
      </c>
      <c r="AM58" s="3">
        <v>46122</v>
      </c>
      <c r="AN58" s="2">
        <v>3.89</v>
      </c>
      <c r="AO58" s="3">
        <v>46122</v>
      </c>
      <c r="AP58" s="2">
        <v>3.9624999999999999</v>
      </c>
      <c r="AQ58" s="3">
        <v>46122</v>
      </c>
      <c r="AR58" s="2">
        <v>4.0724999999999998</v>
      </c>
      <c r="AS58" s="3">
        <v>46122</v>
      </c>
      <c r="AT58" s="2">
        <v>4.12</v>
      </c>
      <c r="AU58" s="3">
        <v>46122</v>
      </c>
      <c r="AV58" s="2">
        <v>4.1124999999999998</v>
      </c>
      <c r="AW58" s="3">
        <v>46122</v>
      </c>
      <c r="AX58" s="2">
        <v>4.1050000000000004</v>
      </c>
      <c r="AY58" s="3">
        <v>46122</v>
      </c>
      <c r="AZ58" s="2">
        <v>4.0975000000000001</v>
      </c>
      <c r="BB58" s="3">
        <v>46120</v>
      </c>
      <c r="BC58" s="1">
        <v>3.5</v>
      </c>
      <c r="BD58" s="3">
        <v>46120</v>
      </c>
      <c r="BE58" s="1">
        <v>3.57</v>
      </c>
      <c r="BF58" s="3">
        <v>46122</v>
      </c>
      <c r="BG58" s="1">
        <v>3.6</v>
      </c>
      <c r="BH58" s="3">
        <v>46122</v>
      </c>
      <c r="BI58" s="1">
        <v>3.62</v>
      </c>
      <c r="BJ58" s="3">
        <v>46122</v>
      </c>
      <c r="BK58" s="1">
        <v>3.6829999999999998</v>
      </c>
      <c r="BL58" s="3">
        <v>46122</v>
      </c>
      <c r="BM58" s="1">
        <v>3.86</v>
      </c>
      <c r="BN58" s="3">
        <v>46122</v>
      </c>
      <c r="BO58" s="1">
        <v>3.97</v>
      </c>
      <c r="BP58" s="3">
        <v>46122</v>
      </c>
      <c r="BQ58" s="1">
        <v>4.01</v>
      </c>
      <c r="BR58" s="3">
        <v>46122</v>
      </c>
      <c r="BS58" s="1">
        <v>4.0250000000000004</v>
      </c>
      <c r="BT58" s="3">
        <v>46122</v>
      </c>
      <c r="BU58" s="1">
        <v>4.0449999999999999</v>
      </c>
      <c r="BV58" s="3">
        <v>46122</v>
      </c>
      <c r="BW58" s="1">
        <v>4.0650000000000004</v>
      </c>
      <c r="BY58" s="3">
        <v>46121</v>
      </c>
      <c r="BZ58" s="1">
        <v>6.25</v>
      </c>
      <c r="CA58" s="3">
        <v>46120</v>
      </c>
      <c r="CB58" s="1">
        <v>6.4</v>
      </c>
      <c r="CC58" s="3">
        <v>46122</v>
      </c>
      <c r="CD58" s="1">
        <v>6.3715000000000002</v>
      </c>
      <c r="CE58" s="3">
        <v>46122</v>
      </c>
      <c r="CF58" s="1">
        <v>6.4035000000000002</v>
      </c>
      <c r="CG58" s="3">
        <v>46122</v>
      </c>
      <c r="CH58" s="1">
        <v>6.4450000000000003</v>
      </c>
      <c r="CI58" s="3">
        <v>46122</v>
      </c>
      <c r="CJ58" s="1">
        <v>6.48</v>
      </c>
      <c r="CK58" s="3">
        <v>46122</v>
      </c>
      <c r="CL58" s="1">
        <v>6.3975</v>
      </c>
      <c r="CM58" s="3">
        <v>46122</v>
      </c>
      <c r="CN58" s="1">
        <v>6.3449999999999998</v>
      </c>
      <c r="CO58" s="3">
        <v>46122</v>
      </c>
      <c r="CP58" s="1">
        <v>6.29</v>
      </c>
      <c r="CQ58" s="3">
        <v>46122</v>
      </c>
      <c r="CR58" s="1">
        <v>6.2249999999999996</v>
      </c>
      <c r="CS58" s="3">
        <v>46122</v>
      </c>
      <c r="CT58" s="1">
        <v>6.1950000000000003</v>
      </c>
    </row>
    <row r="59" spans="24:98" x14ac:dyDescent="0.2">
      <c r="AA59" s="3"/>
      <c r="AE59" s="3">
        <v>46121</v>
      </c>
      <c r="AF59" s="1">
        <v>3.75</v>
      </c>
      <c r="AG59" s="3">
        <v>46115</v>
      </c>
      <c r="AH59" s="1">
        <v>3.85</v>
      </c>
      <c r="AI59" s="3">
        <v>46121</v>
      </c>
      <c r="AJ59" s="2">
        <v>3.8450000000000002</v>
      </c>
      <c r="AK59" s="3">
        <v>46121</v>
      </c>
      <c r="AL59" s="2">
        <v>3.8725000000000001</v>
      </c>
      <c r="AM59" s="3">
        <v>46121</v>
      </c>
      <c r="AN59" s="2">
        <v>3.9024999999999999</v>
      </c>
      <c r="AO59" s="3">
        <v>46121</v>
      </c>
      <c r="AP59" s="2">
        <v>4</v>
      </c>
      <c r="AQ59" s="3">
        <v>46121</v>
      </c>
      <c r="AR59" s="2">
        <v>4.1275000000000004</v>
      </c>
      <c r="AS59" s="3">
        <v>46121</v>
      </c>
      <c r="AT59" s="2">
        <v>4.1749999999999998</v>
      </c>
      <c r="AU59" s="3">
        <v>46121</v>
      </c>
      <c r="AV59" s="2">
        <v>4.17</v>
      </c>
      <c r="AW59" s="3">
        <v>46121</v>
      </c>
      <c r="AX59" s="2">
        <v>4.1624999999999996</v>
      </c>
      <c r="AY59" s="3">
        <v>46121</v>
      </c>
      <c r="AZ59" s="2">
        <v>4.1550000000000002</v>
      </c>
      <c r="BB59" s="3">
        <v>46119</v>
      </c>
      <c r="BC59" s="1">
        <v>3.5</v>
      </c>
      <c r="BD59" s="3">
        <v>46119</v>
      </c>
      <c r="BE59" s="1">
        <v>3.57</v>
      </c>
      <c r="BF59" s="3">
        <v>46121</v>
      </c>
      <c r="BG59" s="1">
        <v>3.59</v>
      </c>
      <c r="BH59" s="3">
        <v>46121</v>
      </c>
      <c r="BI59" s="1">
        <v>3.64</v>
      </c>
      <c r="BJ59" s="3">
        <v>46121</v>
      </c>
      <c r="BK59" s="1">
        <v>3.71</v>
      </c>
      <c r="BL59" s="3">
        <v>46121</v>
      </c>
      <c r="BM59" s="1">
        <v>3.9</v>
      </c>
      <c r="BN59" s="3">
        <v>46121</v>
      </c>
      <c r="BO59" s="1">
        <v>4.0250000000000004</v>
      </c>
      <c r="BP59" s="3">
        <v>46121</v>
      </c>
      <c r="BQ59" s="1">
        <v>4.0679999999999996</v>
      </c>
      <c r="BR59" s="3">
        <v>46121</v>
      </c>
      <c r="BS59" s="1">
        <v>4.08</v>
      </c>
      <c r="BT59" s="3">
        <v>46121</v>
      </c>
      <c r="BU59" s="1">
        <v>4.0949999999999998</v>
      </c>
      <c r="BV59" s="3">
        <v>46121</v>
      </c>
      <c r="BW59" s="1">
        <v>4.1100000000000003</v>
      </c>
      <c r="BY59" s="3">
        <v>46120</v>
      </c>
      <c r="BZ59" s="1">
        <v>6.25</v>
      </c>
      <c r="CA59" s="3">
        <v>46119</v>
      </c>
      <c r="CB59" s="1">
        <v>6.44</v>
      </c>
      <c r="CC59" s="3">
        <v>46121</v>
      </c>
      <c r="CD59" s="1">
        <v>6.3685</v>
      </c>
      <c r="CE59" s="3">
        <v>46121</v>
      </c>
      <c r="CF59" s="1">
        <v>6.4325000000000001</v>
      </c>
      <c r="CG59" s="3">
        <v>46121</v>
      </c>
      <c r="CH59" s="1">
        <v>6.4625000000000004</v>
      </c>
      <c r="CI59" s="3">
        <v>46121</v>
      </c>
      <c r="CJ59" s="1">
        <v>6.5049999999999999</v>
      </c>
      <c r="CK59" s="3">
        <v>46121</v>
      </c>
      <c r="CL59" s="1">
        <v>6.47</v>
      </c>
      <c r="CM59" s="3">
        <v>46121</v>
      </c>
      <c r="CN59" s="1">
        <v>6.44</v>
      </c>
      <c r="CO59" s="3">
        <v>46121</v>
      </c>
      <c r="CP59" s="1">
        <v>6.4225000000000003</v>
      </c>
      <c r="CQ59" s="3">
        <v>46121</v>
      </c>
      <c r="CR59" s="1">
        <v>6.4024999999999999</v>
      </c>
      <c r="CS59" s="3">
        <v>46121</v>
      </c>
      <c r="CT59" s="1">
        <v>6.3875000000000002</v>
      </c>
    </row>
    <row r="60" spans="24:98" x14ac:dyDescent="0.2">
      <c r="Y60" s="2"/>
      <c r="Z60" s="2"/>
      <c r="AA60" s="2"/>
      <c r="AE60" s="3">
        <v>46120</v>
      </c>
      <c r="AF60" s="1">
        <v>3.75</v>
      </c>
      <c r="AG60" s="3">
        <v>46114</v>
      </c>
      <c r="AH60" s="1">
        <v>3.85</v>
      </c>
      <c r="AI60" s="3">
        <v>46120</v>
      </c>
      <c r="AJ60" s="2">
        <v>3.83</v>
      </c>
      <c r="AK60" s="3">
        <v>46120</v>
      </c>
      <c r="AL60" s="2">
        <v>3.84</v>
      </c>
      <c r="AM60" s="3">
        <v>46120</v>
      </c>
      <c r="AN60" s="2">
        <v>3.855</v>
      </c>
      <c r="AO60" s="3">
        <v>46120</v>
      </c>
      <c r="AP60" s="2">
        <v>3.915</v>
      </c>
      <c r="AQ60" s="3">
        <v>46120</v>
      </c>
      <c r="AR60" s="2">
        <v>4.0225</v>
      </c>
      <c r="AS60" s="3">
        <v>46120</v>
      </c>
      <c r="AT60" s="2">
        <v>4.07</v>
      </c>
      <c r="AU60" s="3">
        <v>46120</v>
      </c>
      <c r="AV60" s="2">
        <v>4.0650000000000004</v>
      </c>
      <c r="AW60" s="3">
        <v>46120</v>
      </c>
      <c r="AX60" s="2">
        <v>4.0599999999999996</v>
      </c>
      <c r="AY60" s="3">
        <v>46120</v>
      </c>
      <c r="AZ60" s="2">
        <v>4.0549999999999997</v>
      </c>
      <c r="BB60" s="3">
        <v>46114</v>
      </c>
      <c r="BC60" s="1">
        <v>3.5</v>
      </c>
      <c r="BD60" s="3">
        <v>46114</v>
      </c>
      <c r="BE60" s="1">
        <v>3.57</v>
      </c>
      <c r="BF60" s="3">
        <v>46120</v>
      </c>
      <c r="BG60" s="1">
        <v>3.5750000000000002</v>
      </c>
      <c r="BH60" s="3">
        <v>46120</v>
      </c>
      <c r="BI60" s="1">
        <v>3.653</v>
      </c>
      <c r="BJ60" s="3">
        <v>46120</v>
      </c>
      <c r="BK60" s="1">
        <v>3.7080000000000002</v>
      </c>
      <c r="BL60" s="3">
        <v>46120</v>
      </c>
      <c r="BM60" s="1">
        <v>3.903</v>
      </c>
      <c r="BN60" s="3">
        <v>46120</v>
      </c>
      <c r="BO60" s="1">
        <v>4.0030000000000001</v>
      </c>
      <c r="BP60" s="3">
        <v>46120</v>
      </c>
      <c r="BQ60" s="1">
        <v>4.048</v>
      </c>
      <c r="BR60" s="3">
        <v>46120</v>
      </c>
      <c r="BS60" s="1">
        <v>4.0529999999999999</v>
      </c>
      <c r="BT60" s="3">
        <v>46120</v>
      </c>
      <c r="BU60" s="1">
        <v>4.0599999999999996</v>
      </c>
      <c r="BV60" s="3">
        <v>46120</v>
      </c>
      <c r="BW60" s="1">
        <v>4.0629999999999997</v>
      </c>
      <c r="BY60" s="3">
        <v>46119</v>
      </c>
      <c r="BZ60" s="1">
        <v>6.25</v>
      </c>
      <c r="CA60" s="3">
        <v>46114</v>
      </c>
      <c r="CB60" s="1">
        <v>6.44</v>
      </c>
      <c r="CC60" s="3">
        <v>46120</v>
      </c>
      <c r="CD60" s="1">
        <v>6.3559999999999999</v>
      </c>
      <c r="CE60" s="3">
        <v>46120</v>
      </c>
      <c r="CF60" s="1">
        <v>6.4225000000000003</v>
      </c>
      <c r="CG60" s="3">
        <v>46120</v>
      </c>
      <c r="CH60" s="1">
        <v>6.46</v>
      </c>
      <c r="CI60" s="3">
        <v>46120</v>
      </c>
      <c r="CJ60" s="1">
        <v>6.49</v>
      </c>
      <c r="CK60" s="3">
        <v>46120</v>
      </c>
      <c r="CL60" s="1">
        <v>6.44</v>
      </c>
      <c r="CM60" s="3">
        <v>46120</v>
      </c>
      <c r="CN60" s="1">
        <v>6.4</v>
      </c>
      <c r="CO60" s="3">
        <v>46120</v>
      </c>
      <c r="CP60" s="1">
        <v>6.3825000000000003</v>
      </c>
      <c r="CQ60" s="3">
        <v>46120</v>
      </c>
      <c r="CR60" s="1">
        <v>6.37</v>
      </c>
      <c r="CS60" s="3">
        <v>46120</v>
      </c>
      <c r="CT60" s="1">
        <v>6.3574999999999999</v>
      </c>
    </row>
    <row r="61" spans="24:98" x14ac:dyDescent="0.2">
      <c r="Y61" s="2"/>
      <c r="AE61" s="3">
        <v>46119</v>
      </c>
      <c r="AF61" s="1">
        <v>3.75</v>
      </c>
      <c r="AG61" s="3">
        <v>46113</v>
      </c>
      <c r="AH61" s="1">
        <v>3.85</v>
      </c>
      <c r="AI61" s="3">
        <v>46119</v>
      </c>
      <c r="AJ61" s="2">
        <v>3.87</v>
      </c>
      <c r="AK61" s="3">
        <v>46119</v>
      </c>
      <c r="AL61" s="2">
        <v>3.9390000000000001</v>
      </c>
      <c r="AM61" s="3">
        <v>46119</v>
      </c>
      <c r="AN61" s="2">
        <v>4.0225</v>
      </c>
      <c r="AO61" s="3">
        <v>46119</v>
      </c>
      <c r="AP61" s="2">
        <v>4.24</v>
      </c>
      <c r="AQ61" s="3">
        <v>46119</v>
      </c>
      <c r="AR61" s="2">
        <v>4.415</v>
      </c>
      <c r="AS61" s="3">
        <v>46119</v>
      </c>
      <c r="AT61" s="2">
        <v>4.4375</v>
      </c>
      <c r="AU61" s="3">
        <v>46119</v>
      </c>
      <c r="AV61" s="2">
        <v>4.4325000000000001</v>
      </c>
      <c r="AW61" s="3">
        <v>46119</v>
      </c>
      <c r="AX61" s="2">
        <v>4.4225000000000003</v>
      </c>
      <c r="AY61" s="3">
        <v>46119</v>
      </c>
      <c r="AZ61" s="2">
        <v>4.4074999999999998</v>
      </c>
      <c r="BB61" s="3">
        <v>46113</v>
      </c>
      <c r="BC61" s="1">
        <v>3.5</v>
      </c>
      <c r="BD61" s="3">
        <v>46113</v>
      </c>
      <c r="BE61" s="1">
        <v>3.56</v>
      </c>
      <c r="BF61" s="3">
        <v>46119</v>
      </c>
      <c r="BG61" s="1">
        <v>3.61</v>
      </c>
      <c r="BH61" s="3">
        <v>46119</v>
      </c>
      <c r="BI61" s="1">
        <v>3.72</v>
      </c>
      <c r="BJ61" s="3">
        <v>46119</v>
      </c>
      <c r="BK61" s="1">
        <v>3.835</v>
      </c>
      <c r="BL61" s="3">
        <v>46119</v>
      </c>
      <c r="BM61" s="1">
        <v>4.22</v>
      </c>
      <c r="BN61" s="3">
        <v>46119</v>
      </c>
      <c r="BO61" s="1">
        <v>4.32</v>
      </c>
      <c r="BP61" s="3">
        <v>46119</v>
      </c>
      <c r="BQ61" s="1">
        <v>4.3650000000000002</v>
      </c>
      <c r="BR61" s="3">
        <v>46119</v>
      </c>
      <c r="BS61" s="1">
        <v>4.3630000000000004</v>
      </c>
      <c r="BT61" s="3">
        <v>46119</v>
      </c>
      <c r="BU61" s="1">
        <v>4.3650000000000002</v>
      </c>
      <c r="BV61" s="3">
        <v>46119</v>
      </c>
      <c r="BW61" s="1">
        <v>4.3600000000000003</v>
      </c>
      <c r="BY61" s="3">
        <v>46118</v>
      </c>
      <c r="BZ61" s="1">
        <v>6.25</v>
      </c>
      <c r="CA61" s="3">
        <v>46113</v>
      </c>
      <c r="CB61" s="1">
        <v>6.44</v>
      </c>
      <c r="CC61" s="3">
        <v>46119</v>
      </c>
      <c r="CD61" s="1">
        <v>6.5069999999999997</v>
      </c>
      <c r="CE61" s="3">
        <v>46119</v>
      </c>
      <c r="CF61" s="1">
        <v>6.7140000000000004</v>
      </c>
      <c r="CG61" s="3">
        <v>46119</v>
      </c>
      <c r="CH61" s="1">
        <v>6.82</v>
      </c>
      <c r="CI61" s="3">
        <v>46119</v>
      </c>
      <c r="CJ61" s="1">
        <v>6.94</v>
      </c>
      <c r="CK61" s="3">
        <v>46119</v>
      </c>
      <c r="CL61" s="1">
        <v>6.92</v>
      </c>
      <c r="CM61" s="3">
        <v>46119</v>
      </c>
      <c r="CN61" s="1">
        <v>6.875</v>
      </c>
      <c r="CO61" s="3">
        <v>46119</v>
      </c>
      <c r="CP61" s="1">
        <v>6.8525</v>
      </c>
      <c r="CQ61" s="3">
        <v>46119</v>
      </c>
      <c r="CR61" s="1">
        <v>6.83</v>
      </c>
      <c r="CS61" s="3">
        <v>46119</v>
      </c>
      <c r="CT61" s="1">
        <v>6.81</v>
      </c>
    </row>
    <row r="62" spans="24:98" x14ac:dyDescent="0.2">
      <c r="Y62" s="2"/>
      <c r="Z62" s="2"/>
      <c r="AA62" s="2"/>
      <c r="AE62" s="3">
        <v>46118</v>
      </c>
      <c r="AF62" s="1">
        <v>3.75</v>
      </c>
      <c r="AG62" s="3">
        <v>46112</v>
      </c>
      <c r="AH62" s="1">
        <v>3.85</v>
      </c>
      <c r="AI62" s="3">
        <v>46118</v>
      </c>
      <c r="AJ62" s="2">
        <v>3.8275000000000001</v>
      </c>
      <c r="AK62" s="3">
        <v>46118</v>
      </c>
      <c r="AL62" s="2">
        <v>3.89</v>
      </c>
      <c r="AM62" s="3">
        <v>46118</v>
      </c>
      <c r="AN62" s="2">
        <v>3.9550000000000001</v>
      </c>
      <c r="AO62" s="3">
        <v>46118</v>
      </c>
      <c r="AP62" s="2">
        <v>4.13</v>
      </c>
      <c r="AQ62" s="3">
        <v>46118</v>
      </c>
      <c r="AR62" s="2">
        <v>4.2649999999999997</v>
      </c>
      <c r="AS62" s="3">
        <v>46118</v>
      </c>
      <c r="AT62" s="2">
        <v>4.2874999999999996</v>
      </c>
      <c r="AU62" s="3">
        <v>46118</v>
      </c>
      <c r="AV62" s="2">
        <v>4.2774999999999999</v>
      </c>
      <c r="AW62" s="3">
        <v>46118</v>
      </c>
      <c r="AX62" s="2">
        <v>4.2625000000000002</v>
      </c>
      <c r="AY62" s="3">
        <v>46118</v>
      </c>
      <c r="AZ62" s="2">
        <v>4.25</v>
      </c>
      <c r="BB62" s="3">
        <v>46112</v>
      </c>
      <c r="BC62" s="1">
        <v>3.5</v>
      </c>
      <c r="BD62" s="3">
        <v>46112</v>
      </c>
      <c r="BE62" s="1">
        <v>3.57</v>
      </c>
      <c r="BF62" s="3">
        <v>46118</v>
      </c>
      <c r="BG62" s="1">
        <v>3.585</v>
      </c>
      <c r="BH62" s="3">
        <v>46118</v>
      </c>
      <c r="BI62" s="1">
        <v>3.6779999999999999</v>
      </c>
      <c r="BJ62" s="3">
        <v>46118</v>
      </c>
      <c r="BK62" s="1">
        <v>3.7629999999999999</v>
      </c>
      <c r="BL62" s="3">
        <v>46118</v>
      </c>
      <c r="BM62" s="1">
        <v>4.07</v>
      </c>
      <c r="BN62" s="3">
        <v>46118</v>
      </c>
      <c r="BO62" s="1">
        <v>4.1550000000000002</v>
      </c>
      <c r="BP62" s="3">
        <v>46118</v>
      </c>
      <c r="BQ62" s="1">
        <v>4.1900000000000004</v>
      </c>
      <c r="BR62" s="3">
        <v>46118</v>
      </c>
      <c r="BS62" s="1">
        <v>4.1950000000000003</v>
      </c>
      <c r="BT62" s="3">
        <v>46118</v>
      </c>
      <c r="BU62" s="1">
        <v>4.1950000000000003</v>
      </c>
      <c r="BV62" s="3">
        <v>46118</v>
      </c>
      <c r="BW62" s="1">
        <v>4.1980000000000004</v>
      </c>
      <c r="BY62" s="3">
        <v>46115</v>
      </c>
      <c r="BZ62" s="1">
        <v>6.25</v>
      </c>
      <c r="CA62" s="3">
        <v>46112</v>
      </c>
      <c r="CB62" s="1">
        <v>6.45</v>
      </c>
      <c r="CC62" s="3">
        <v>46118</v>
      </c>
      <c r="CD62" s="1">
        <v>6.4931000000000001</v>
      </c>
      <c r="CE62" s="3">
        <v>46118</v>
      </c>
      <c r="CF62" s="1">
        <v>6.6942000000000004</v>
      </c>
      <c r="CG62" s="3">
        <v>46118</v>
      </c>
      <c r="CH62" s="1">
        <v>6.8056999999999999</v>
      </c>
      <c r="CI62" s="3">
        <v>46118</v>
      </c>
      <c r="CJ62" s="1">
        <v>6.9279999999999999</v>
      </c>
      <c r="CK62" s="3">
        <v>46118</v>
      </c>
      <c r="CL62" s="1">
        <v>6.9119000000000002</v>
      </c>
      <c r="CM62" s="3">
        <v>46118</v>
      </c>
      <c r="CN62" s="1">
        <v>6.875</v>
      </c>
      <c r="CO62" s="3">
        <v>46118</v>
      </c>
      <c r="CP62" s="1">
        <v>6.8324999999999996</v>
      </c>
      <c r="CQ62" s="3">
        <v>46118</v>
      </c>
      <c r="CR62" s="1">
        <v>6.81</v>
      </c>
      <c r="CS62" s="3">
        <v>46118</v>
      </c>
      <c r="CT62" s="1">
        <v>6.79</v>
      </c>
    </row>
    <row r="63" spans="24:98" x14ac:dyDescent="0.2">
      <c r="AA63" s="3"/>
      <c r="AE63" s="3">
        <v>46115</v>
      </c>
      <c r="AF63" s="1">
        <v>3.75</v>
      </c>
      <c r="AG63" s="3">
        <v>46111</v>
      </c>
      <c r="AH63" s="1">
        <v>3.85</v>
      </c>
      <c r="AI63" s="3">
        <v>46115</v>
      </c>
      <c r="AJ63" s="2">
        <v>3.8275000000000001</v>
      </c>
      <c r="AK63" s="3">
        <v>46115</v>
      </c>
      <c r="AL63" s="2">
        <v>3.9039999999999999</v>
      </c>
      <c r="AM63" s="3">
        <v>46115</v>
      </c>
      <c r="AN63" s="2">
        <v>3.9550000000000001</v>
      </c>
      <c r="AO63" s="3">
        <v>46115</v>
      </c>
      <c r="AP63" s="2">
        <v>4.13</v>
      </c>
      <c r="AQ63" s="3">
        <v>46115</v>
      </c>
      <c r="AR63" s="2">
        <v>4.2649999999999997</v>
      </c>
      <c r="AS63" s="3">
        <v>46115</v>
      </c>
      <c r="AT63" s="2">
        <v>4.2874999999999996</v>
      </c>
      <c r="AU63" s="3">
        <v>46115</v>
      </c>
      <c r="AV63" s="2">
        <v>4.2774999999999999</v>
      </c>
      <c r="AW63" s="3">
        <v>46115</v>
      </c>
      <c r="AX63" s="2">
        <v>4.2625000000000002</v>
      </c>
      <c r="AY63" s="3">
        <v>46115</v>
      </c>
      <c r="AZ63" s="2">
        <v>4.25</v>
      </c>
      <c r="BB63" s="3">
        <v>46111</v>
      </c>
      <c r="BC63" s="1">
        <v>3.5</v>
      </c>
      <c r="BD63" s="3">
        <v>46111</v>
      </c>
      <c r="BE63" s="1">
        <v>3.57</v>
      </c>
      <c r="BF63" s="3">
        <v>46115</v>
      </c>
      <c r="BG63" s="1">
        <v>3.585</v>
      </c>
      <c r="BH63" s="3">
        <v>46115</v>
      </c>
      <c r="BI63" s="1">
        <v>3.6850000000000001</v>
      </c>
      <c r="BJ63" s="3">
        <v>46115</v>
      </c>
      <c r="BK63" s="1">
        <v>3.7629999999999999</v>
      </c>
      <c r="BL63" s="3">
        <v>46115</v>
      </c>
      <c r="BM63" s="1">
        <v>4.07</v>
      </c>
      <c r="BN63" s="3">
        <v>46115</v>
      </c>
      <c r="BO63" s="1">
        <v>4.1550000000000002</v>
      </c>
      <c r="BP63" s="3">
        <v>46115</v>
      </c>
      <c r="BQ63" s="1">
        <v>4.1900000000000004</v>
      </c>
      <c r="BR63" s="3">
        <v>46115</v>
      </c>
      <c r="BS63" s="1">
        <v>4.1950000000000003</v>
      </c>
      <c r="BT63" s="3">
        <v>46115</v>
      </c>
      <c r="BU63" s="1">
        <v>4.1950000000000003</v>
      </c>
      <c r="BV63" s="3">
        <v>46115</v>
      </c>
      <c r="BW63" s="1">
        <v>4.1980000000000004</v>
      </c>
      <c r="BY63" s="3">
        <v>46114</v>
      </c>
      <c r="BZ63" s="1">
        <v>6.25</v>
      </c>
      <c r="CA63" s="3">
        <v>46111</v>
      </c>
      <c r="CB63" s="1">
        <v>6.45</v>
      </c>
      <c r="CC63" s="3">
        <v>46115</v>
      </c>
      <c r="CD63" s="1">
        <v>6.5039999999999996</v>
      </c>
      <c r="CE63" s="3">
        <v>46115</v>
      </c>
      <c r="CF63" s="1">
        <v>6.7060000000000004</v>
      </c>
      <c r="CG63" s="3">
        <v>46115</v>
      </c>
      <c r="CH63" s="1">
        <v>6.81</v>
      </c>
      <c r="CI63" s="3">
        <v>46115</v>
      </c>
      <c r="CJ63" s="1">
        <v>6.93</v>
      </c>
      <c r="CK63" s="3">
        <v>46115</v>
      </c>
      <c r="CL63" s="1">
        <v>6.91</v>
      </c>
      <c r="CM63" s="3">
        <v>46115</v>
      </c>
      <c r="CN63" s="1">
        <v>6.875</v>
      </c>
      <c r="CO63" s="3">
        <v>46114</v>
      </c>
      <c r="CP63" s="1">
        <v>6.8324999999999996</v>
      </c>
      <c r="CQ63" s="3">
        <v>46114</v>
      </c>
      <c r="CR63" s="1">
        <v>6.81</v>
      </c>
      <c r="CS63" s="3">
        <v>46114</v>
      </c>
      <c r="CT63" s="1">
        <v>6.79</v>
      </c>
    </row>
    <row r="64" spans="24:98" x14ac:dyDescent="0.2">
      <c r="AA64" s="3"/>
      <c r="AE64" s="3">
        <v>46114</v>
      </c>
      <c r="AF64" s="1">
        <v>3.75</v>
      </c>
      <c r="AG64" s="3">
        <v>46108</v>
      </c>
      <c r="AH64" s="1">
        <v>3.86</v>
      </c>
      <c r="AI64" s="3">
        <v>46114</v>
      </c>
      <c r="AJ64" s="2">
        <v>3.8275000000000001</v>
      </c>
      <c r="AK64" s="3">
        <v>46114</v>
      </c>
      <c r="AL64" s="2">
        <v>3.89</v>
      </c>
      <c r="AM64" s="3">
        <v>46114</v>
      </c>
      <c r="AN64" s="2">
        <v>3.9550000000000001</v>
      </c>
      <c r="AO64" s="3">
        <v>46114</v>
      </c>
      <c r="AP64" s="2">
        <v>4.13</v>
      </c>
      <c r="AQ64" s="3">
        <v>46114</v>
      </c>
      <c r="AR64" s="2">
        <v>4.2649999999999997</v>
      </c>
      <c r="AS64" s="3">
        <v>46114</v>
      </c>
      <c r="AT64" s="2">
        <v>4.2874999999999996</v>
      </c>
      <c r="AU64" s="3">
        <v>46114</v>
      </c>
      <c r="AV64" s="2">
        <v>4.2774999999999999</v>
      </c>
      <c r="AW64" s="3">
        <v>46114</v>
      </c>
      <c r="AX64" s="2">
        <v>4.2625000000000002</v>
      </c>
      <c r="AY64" s="3">
        <v>46114</v>
      </c>
      <c r="AZ64" s="2">
        <v>4.25</v>
      </c>
      <c r="BB64" s="3">
        <v>46108</v>
      </c>
      <c r="BC64" s="1">
        <v>3.5</v>
      </c>
      <c r="BD64" s="3">
        <v>46108</v>
      </c>
      <c r="BE64" s="1">
        <v>3.57</v>
      </c>
      <c r="BF64" s="3">
        <v>46114</v>
      </c>
      <c r="BG64" s="1">
        <v>3.585</v>
      </c>
      <c r="BH64" s="3">
        <v>46114</v>
      </c>
      <c r="BI64" s="1">
        <v>3.6850000000000001</v>
      </c>
      <c r="BJ64" s="3">
        <v>46114</v>
      </c>
      <c r="BK64" s="1">
        <v>3.7629999999999999</v>
      </c>
      <c r="BL64" s="3">
        <v>46114</v>
      </c>
      <c r="BM64" s="1">
        <v>4.07</v>
      </c>
      <c r="BN64" s="3">
        <v>46114</v>
      </c>
      <c r="BO64" s="1">
        <v>4.1550000000000002</v>
      </c>
      <c r="BP64" s="3">
        <v>46114</v>
      </c>
      <c r="BQ64" s="1">
        <v>4.1900000000000004</v>
      </c>
      <c r="BR64" s="3">
        <v>46114</v>
      </c>
      <c r="BS64" s="1">
        <v>4.1950000000000003</v>
      </c>
      <c r="BT64" s="3">
        <v>46114</v>
      </c>
      <c r="BU64" s="1">
        <v>4.1950000000000003</v>
      </c>
      <c r="BV64" s="3">
        <v>46114</v>
      </c>
      <c r="BW64" s="1">
        <v>4.1980000000000004</v>
      </c>
      <c r="BY64" s="3">
        <v>46113</v>
      </c>
      <c r="BZ64" s="1">
        <v>6.25</v>
      </c>
      <c r="CA64" s="3">
        <v>46108</v>
      </c>
      <c r="CB64" s="1">
        <v>6.44</v>
      </c>
      <c r="CC64" s="3">
        <v>46114</v>
      </c>
      <c r="CD64" s="1">
        <v>6.5039999999999996</v>
      </c>
      <c r="CE64" s="3">
        <v>46114</v>
      </c>
      <c r="CF64" s="1">
        <v>6.7060000000000004</v>
      </c>
      <c r="CG64" s="3">
        <v>46114</v>
      </c>
      <c r="CH64" s="1">
        <v>6.81</v>
      </c>
      <c r="CI64" s="3">
        <v>46114</v>
      </c>
      <c r="CJ64" s="1">
        <v>6.93</v>
      </c>
      <c r="CK64" s="3">
        <v>46114</v>
      </c>
      <c r="CL64" s="1">
        <v>6.91</v>
      </c>
      <c r="CM64" s="3">
        <v>46114</v>
      </c>
      <c r="CN64" s="1">
        <v>6.8550000000000004</v>
      </c>
      <c r="CO64" s="3">
        <v>46113</v>
      </c>
      <c r="CP64" s="1">
        <v>6.8550000000000004</v>
      </c>
      <c r="CQ64" s="3">
        <v>46113</v>
      </c>
      <c r="CR64" s="1">
        <v>6.8250000000000002</v>
      </c>
      <c r="CS64" s="3">
        <v>46113</v>
      </c>
      <c r="CT64" s="1">
        <v>6.8049999999999997</v>
      </c>
    </row>
    <row r="65" spans="26:98" x14ac:dyDescent="0.2">
      <c r="Z65" s="5"/>
      <c r="AA65" s="2"/>
      <c r="AE65" s="3">
        <v>46113</v>
      </c>
      <c r="AF65" s="1">
        <v>3.75</v>
      </c>
      <c r="AG65" s="3">
        <v>46107</v>
      </c>
      <c r="AH65" s="1">
        <v>3.84</v>
      </c>
      <c r="AI65" s="3">
        <v>46113</v>
      </c>
      <c r="AJ65" s="2">
        <v>3.8250000000000002</v>
      </c>
      <c r="AK65" s="3">
        <v>46113</v>
      </c>
      <c r="AL65" s="2">
        <v>3.8849999999999998</v>
      </c>
      <c r="AM65" s="3">
        <v>46113</v>
      </c>
      <c r="AN65" s="2">
        <v>3.9474999999999998</v>
      </c>
      <c r="AO65" s="3">
        <v>46113</v>
      </c>
      <c r="AP65" s="2">
        <v>4.1500000000000004</v>
      </c>
      <c r="AQ65" s="3">
        <v>46113</v>
      </c>
      <c r="AR65" s="2">
        <v>4.3037999999999998</v>
      </c>
      <c r="AS65" s="3">
        <v>46113</v>
      </c>
      <c r="AT65" s="2">
        <v>4.3125</v>
      </c>
      <c r="AU65" s="3">
        <v>46113</v>
      </c>
      <c r="AV65" s="2">
        <v>4.3025000000000002</v>
      </c>
      <c r="AW65" s="3">
        <v>46113</v>
      </c>
      <c r="AX65" s="2">
        <v>4.29</v>
      </c>
      <c r="AY65" s="3">
        <v>46113</v>
      </c>
      <c r="AZ65" s="2">
        <v>4.2774999999999999</v>
      </c>
      <c r="BB65" s="3">
        <v>46107</v>
      </c>
      <c r="BC65" s="1">
        <v>3.5</v>
      </c>
      <c r="BD65" s="3">
        <v>46107</v>
      </c>
      <c r="BE65" s="1">
        <v>3.56</v>
      </c>
      <c r="BF65" s="3">
        <v>46113</v>
      </c>
      <c r="BG65" s="1">
        <v>3.585</v>
      </c>
      <c r="BH65" s="3">
        <v>46113</v>
      </c>
      <c r="BI65" s="1">
        <v>3.66</v>
      </c>
      <c r="BJ65" s="3">
        <v>46113</v>
      </c>
      <c r="BK65" s="1">
        <v>3.738</v>
      </c>
      <c r="BL65" s="3">
        <v>46113</v>
      </c>
      <c r="BM65" s="1">
        <v>4.0330000000000004</v>
      </c>
      <c r="BN65" s="3">
        <v>46113</v>
      </c>
      <c r="BO65" s="1">
        <v>4.125</v>
      </c>
      <c r="BP65" s="3">
        <v>46113</v>
      </c>
      <c r="BQ65" s="1">
        <v>4.16</v>
      </c>
      <c r="BR65" s="3">
        <v>46113</v>
      </c>
      <c r="BS65" s="1">
        <v>4.165</v>
      </c>
      <c r="BT65" s="3">
        <v>46113</v>
      </c>
      <c r="BU65" s="1">
        <v>4.165</v>
      </c>
      <c r="BV65" s="3">
        <v>46113</v>
      </c>
      <c r="BW65" s="1">
        <v>4.1680000000000001</v>
      </c>
      <c r="BY65" s="3">
        <v>46112</v>
      </c>
      <c r="BZ65" s="1">
        <v>6.25</v>
      </c>
      <c r="CA65" s="3">
        <v>46107</v>
      </c>
      <c r="CB65" s="1">
        <v>6.44</v>
      </c>
      <c r="CC65" s="3">
        <v>46113</v>
      </c>
      <c r="CD65" s="1">
        <v>6.4989999999999997</v>
      </c>
      <c r="CE65" s="3">
        <v>46113</v>
      </c>
      <c r="CF65" s="1">
        <v>6.7089999999999996</v>
      </c>
      <c r="CG65" s="3">
        <v>46113</v>
      </c>
      <c r="CH65" s="1">
        <v>6.81</v>
      </c>
      <c r="CI65" s="3">
        <v>46113</v>
      </c>
      <c r="CJ65" s="1">
        <v>6.93</v>
      </c>
      <c r="CK65" s="3">
        <v>46113</v>
      </c>
      <c r="CL65" s="1">
        <v>6.91</v>
      </c>
      <c r="CM65" s="3">
        <v>46113</v>
      </c>
      <c r="CN65" s="1">
        <v>6.88</v>
      </c>
      <c r="CO65" s="3">
        <v>46112</v>
      </c>
      <c r="CP65" s="1">
        <v>7.08</v>
      </c>
      <c r="CQ65" s="3">
        <v>46112</v>
      </c>
      <c r="CR65" s="1">
        <v>7.0575000000000001</v>
      </c>
      <c r="CS65" s="3">
        <v>46112</v>
      </c>
      <c r="CT65" s="1">
        <v>7.0324999999999998</v>
      </c>
    </row>
    <row r="66" spans="26:98" x14ac:dyDescent="0.2">
      <c r="AA66" s="3"/>
      <c r="AE66" s="3">
        <v>46112</v>
      </c>
      <c r="AF66" s="1">
        <v>3.75</v>
      </c>
      <c r="AG66" s="3">
        <v>46106</v>
      </c>
      <c r="AH66" s="1">
        <v>3.84</v>
      </c>
      <c r="AI66" s="3">
        <v>46112</v>
      </c>
      <c r="AJ66" s="2">
        <v>3.8450000000000002</v>
      </c>
      <c r="AK66" s="3">
        <v>46112</v>
      </c>
      <c r="AL66" s="2">
        <v>3.92</v>
      </c>
      <c r="AM66" s="3">
        <v>46112</v>
      </c>
      <c r="AN66" s="2">
        <v>4.0199999999999996</v>
      </c>
      <c r="AO66" s="3">
        <v>46112</v>
      </c>
      <c r="AP66" s="2">
        <v>4.3125</v>
      </c>
      <c r="AQ66" s="3">
        <v>46112</v>
      </c>
      <c r="AR66" s="2">
        <v>4.4974999999999996</v>
      </c>
      <c r="AS66" s="3">
        <v>46112</v>
      </c>
      <c r="AT66" s="2">
        <v>4.5125000000000002</v>
      </c>
      <c r="AU66" s="3">
        <v>46112</v>
      </c>
      <c r="AV66" s="2">
        <v>4.5075000000000003</v>
      </c>
      <c r="AW66" s="3">
        <v>46112</v>
      </c>
      <c r="AX66" s="2">
        <v>4.5</v>
      </c>
      <c r="AY66" s="3">
        <v>46112</v>
      </c>
      <c r="AZ66" s="2">
        <v>4.4924999999999997</v>
      </c>
      <c r="BB66" s="3">
        <v>46106</v>
      </c>
      <c r="BC66" s="1">
        <v>3.5</v>
      </c>
      <c r="BD66" s="3">
        <v>46106</v>
      </c>
      <c r="BE66" s="1">
        <v>3.56</v>
      </c>
      <c r="BF66" s="3">
        <v>46112</v>
      </c>
      <c r="BG66" s="1">
        <v>3.5950000000000002</v>
      </c>
      <c r="BH66" s="3">
        <v>46112</v>
      </c>
      <c r="BI66" s="1">
        <v>3.6850000000000001</v>
      </c>
      <c r="BJ66" s="3">
        <v>46112</v>
      </c>
      <c r="BK66" s="1">
        <v>3.81</v>
      </c>
      <c r="BL66" s="3">
        <v>46112</v>
      </c>
      <c r="BM66" s="1">
        <v>4.1529999999999996</v>
      </c>
      <c r="BN66" s="3">
        <v>46112</v>
      </c>
      <c r="BO66" s="1">
        <v>4.2880000000000003</v>
      </c>
      <c r="BP66" s="3">
        <v>46112</v>
      </c>
      <c r="BQ66" s="1">
        <v>4.3330000000000002</v>
      </c>
      <c r="BR66" s="3">
        <v>46112</v>
      </c>
      <c r="BS66" s="1">
        <v>4.3230000000000004</v>
      </c>
      <c r="BT66" s="3">
        <v>46112</v>
      </c>
      <c r="BU66" s="1">
        <v>4.3129999999999997</v>
      </c>
      <c r="BV66" s="3">
        <v>46112</v>
      </c>
      <c r="BW66" s="1">
        <v>4.3079999999999998</v>
      </c>
      <c r="BY66" s="3">
        <v>46111</v>
      </c>
      <c r="BZ66" s="1">
        <v>6.25</v>
      </c>
      <c r="CA66" s="3">
        <v>46106</v>
      </c>
      <c r="CB66" s="1">
        <v>6.44</v>
      </c>
      <c r="CC66" s="3">
        <v>46112</v>
      </c>
      <c r="CD66" s="1">
        <v>6.5</v>
      </c>
      <c r="CE66" s="3">
        <v>46112</v>
      </c>
      <c r="CF66" s="1">
        <v>6.7969999999999997</v>
      </c>
      <c r="CG66" s="3">
        <v>46112</v>
      </c>
      <c r="CH66" s="1">
        <v>6.94</v>
      </c>
      <c r="CI66" s="3">
        <v>46112</v>
      </c>
      <c r="CJ66" s="1">
        <v>7.1</v>
      </c>
      <c r="CK66" s="3">
        <v>46112</v>
      </c>
      <c r="CL66" s="1">
        <v>7.13</v>
      </c>
      <c r="CM66" s="3">
        <v>46112</v>
      </c>
      <c r="CN66" s="1">
        <v>7.1</v>
      </c>
      <c r="CO66" s="3">
        <v>46111</v>
      </c>
      <c r="CP66" s="1">
        <v>7.2350000000000003</v>
      </c>
      <c r="CQ66" s="3">
        <v>46111</v>
      </c>
      <c r="CR66" s="1">
        <v>7.21</v>
      </c>
      <c r="CS66" s="3">
        <v>46111</v>
      </c>
      <c r="CT66" s="1">
        <v>7.18</v>
      </c>
    </row>
    <row r="67" spans="26:98" x14ac:dyDescent="0.2">
      <c r="AA67" s="3"/>
      <c r="AE67" s="3">
        <v>46111</v>
      </c>
      <c r="AF67" s="1">
        <v>3.75</v>
      </c>
      <c r="AG67" s="3">
        <v>46105</v>
      </c>
      <c r="AH67" s="1">
        <v>3.85</v>
      </c>
      <c r="AI67" s="3">
        <v>46111</v>
      </c>
      <c r="AJ67" s="2">
        <v>3.855</v>
      </c>
      <c r="AK67" s="3">
        <v>46111</v>
      </c>
      <c r="AL67" s="2">
        <v>3.9649999999999999</v>
      </c>
      <c r="AM67" s="3">
        <v>46111</v>
      </c>
      <c r="AN67" s="2">
        <v>4.0999999999999996</v>
      </c>
      <c r="AO67" s="3">
        <v>46111</v>
      </c>
      <c r="AP67" s="2">
        <v>4.42</v>
      </c>
      <c r="AQ67" s="3">
        <v>46111</v>
      </c>
      <c r="AR67" s="2">
        <v>4.5925000000000002</v>
      </c>
      <c r="AS67" s="3">
        <v>46111</v>
      </c>
      <c r="AT67" s="2">
        <v>4.6025</v>
      </c>
      <c r="AU67" s="3">
        <v>46111</v>
      </c>
      <c r="AV67" s="2">
        <v>4.5925000000000002</v>
      </c>
      <c r="AW67" s="3">
        <v>46111</v>
      </c>
      <c r="AX67" s="2">
        <v>4.5750000000000002</v>
      </c>
      <c r="AY67" s="3">
        <v>46111</v>
      </c>
      <c r="AZ67" s="2">
        <v>4.5549999999999997</v>
      </c>
      <c r="BB67" s="3">
        <v>46105</v>
      </c>
      <c r="BC67" s="1">
        <v>3.5</v>
      </c>
      <c r="BD67" s="3">
        <v>46105</v>
      </c>
      <c r="BE67" s="1">
        <v>3.56</v>
      </c>
      <c r="BF67" s="3">
        <v>46111</v>
      </c>
      <c r="BG67" s="1">
        <v>3.605</v>
      </c>
      <c r="BH67" s="3">
        <v>46111</v>
      </c>
      <c r="BI67" s="1">
        <v>3.68</v>
      </c>
      <c r="BJ67" s="3">
        <v>46111</v>
      </c>
      <c r="BK67" s="1">
        <v>3.85</v>
      </c>
      <c r="BL67" s="3">
        <v>46111</v>
      </c>
      <c r="BM67" s="1">
        <v>4.2300000000000004</v>
      </c>
      <c r="BN67" s="3">
        <v>46111</v>
      </c>
      <c r="BO67" s="1">
        <v>4.38</v>
      </c>
      <c r="BP67" s="3">
        <v>46111</v>
      </c>
      <c r="BQ67" s="1">
        <v>4.4249999999999998</v>
      </c>
      <c r="BR67" s="3">
        <v>46111</v>
      </c>
      <c r="BS67" s="1">
        <v>4.4249999999999998</v>
      </c>
      <c r="BT67" s="3">
        <v>46111</v>
      </c>
      <c r="BU67" s="1">
        <v>4.42</v>
      </c>
      <c r="BV67" s="3">
        <v>46111</v>
      </c>
      <c r="BW67" s="1">
        <v>4.415</v>
      </c>
      <c r="BY67" s="3">
        <v>46108</v>
      </c>
      <c r="BZ67" s="1">
        <v>6.25</v>
      </c>
      <c r="CA67" s="3">
        <v>46105</v>
      </c>
      <c r="CB67" s="1">
        <v>6.43</v>
      </c>
      <c r="CC67" s="3">
        <v>46111</v>
      </c>
      <c r="CD67" s="1">
        <v>6.5439999999999996</v>
      </c>
      <c r="CE67" s="3">
        <v>46111</v>
      </c>
      <c r="CF67" s="1">
        <v>6.827</v>
      </c>
      <c r="CG67" s="3">
        <v>46111</v>
      </c>
      <c r="CH67" s="1">
        <v>6.99</v>
      </c>
      <c r="CI67" s="3">
        <v>46111</v>
      </c>
      <c r="CJ67" s="1">
        <v>7.22</v>
      </c>
      <c r="CK67" s="3">
        <v>46111</v>
      </c>
      <c r="CL67" s="1">
        <v>7.27</v>
      </c>
      <c r="CM67" s="3">
        <v>46111</v>
      </c>
      <c r="CN67" s="1">
        <v>7.26</v>
      </c>
      <c r="CO67" s="3">
        <v>46108</v>
      </c>
      <c r="CP67" s="1">
        <v>7.2450000000000001</v>
      </c>
      <c r="CQ67" s="3">
        <v>46108</v>
      </c>
      <c r="CR67" s="1">
        <v>7.22</v>
      </c>
      <c r="CS67" s="3">
        <v>46108</v>
      </c>
      <c r="CT67" s="1">
        <v>7.19</v>
      </c>
    </row>
    <row r="68" spans="26:98" x14ac:dyDescent="0.2">
      <c r="AA68" s="3"/>
      <c r="AE68" s="3">
        <v>46108</v>
      </c>
      <c r="AF68" s="1">
        <v>3.75</v>
      </c>
      <c r="AG68" s="3">
        <v>46104</v>
      </c>
      <c r="AH68" s="1">
        <v>3.85</v>
      </c>
      <c r="AI68" s="3">
        <v>46108</v>
      </c>
      <c r="AJ68" s="2">
        <v>3.855</v>
      </c>
      <c r="AK68" s="3">
        <v>46108</v>
      </c>
      <c r="AL68" s="2">
        <v>3.9775</v>
      </c>
      <c r="AM68" s="3">
        <v>46108</v>
      </c>
      <c r="AN68" s="2">
        <v>4.0949999999999998</v>
      </c>
      <c r="AO68" s="3">
        <v>46108</v>
      </c>
      <c r="AP68" s="2">
        <v>4.415</v>
      </c>
      <c r="AQ68" s="3">
        <v>46108</v>
      </c>
      <c r="AR68" s="2">
        <v>4.58</v>
      </c>
      <c r="AS68" s="3">
        <v>46108</v>
      </c>
      <c r="AT68" s="2">
        <v>4.58</v>
      </c>
      <c r="AU68" s="3">
        <v>46108</v>
      </c>
      <c r="AV68" s="2">
        <v>4.5625</v>
      </c>
      <c r="AW68" s="3">
        <v>46108</v>
      </c>
      <c r="AX68" s="2">
        <v>4.5425000000000004</v>
      </c>
      <c r="AY68" s="3">
        <v>46108</v>
      </c>
      <c r="AZ68" s="2">
        <v>4.5199999999999996</v>
      </c>
      <c r="BB68" s="3">
        <v>46104</v>
      </c>
      <c r="BC68" s="1">
        <v>3.5</v>
      </c>
      <c r="BD68" s="3">
        <v>46104</v>
      </c>
      <c r="BE68" s="1">
        <v>3.57</v>
      </c>
      <c r="BF68" s="3">
        <v>46108</v>
      </c>
      <c r="BG68" s="1">
        <v>3.61</v>
      </c>
      <c r="BH68" s="3">
        <v>46108</v>
      </c>
      <c r="BI68" s="1">
        <v>3.6949999999999998</v>
      </c>
      <c r="BJ68" s="3">
        <v>46108</v>
      </c>
      <c r="BK68" s="1">
        <v>3.875</v>
      </c>
      <c r="BL68" s="3">
        <v>46108</v>
      </c>
      <c r="BM68" s="1">
        <v>4.2729999999999997</v>
      </c>
      <c r="BN68" s="3">
        <v>46108</v>
      </c>
      <c r="BO68" s="1">
        <v>4.3849999999999998</v>
      </c>
      <c r="BP68" s="3">
        <v>46108</v>
      </c>
      <c r="BQ68" s="1">
        <v>4.41</v>
      </c>
      <c r="BR68" s="3">
        <v>46108</v>
      </c>
      <c r="BS68" s="1">
        <v>4.41</v>
      </c>
      <c r="BT68" s="3">
        <v>46108</v>
      </c>
      <c r="BU68" s="1">
        <v>4.4000000000000004</v>
      </c>
      <c r="BV68" s="3">
        <v>46108</v>
      </c>
      <c r="BW68" s="1">
        <v>4.3899999999999997</v>
      </c>
      <c r="BY68" s="3">
        <v>46106</v>
      </c>
      <c r="BZ68" s="1">
        <v>6.25</v>
      </c>
      <c r="CA68" s="3">
        <v>46104</v>
      </c>
      <c r="CB68" s="1">
        <v>6.41</v>
      </c>
      <c r="CC68" s="3">
        <v>46108</v>
      </c>
      <c r="CD68" s="1">
        <v>6.4909999999999997</v>
      </c>
      <c r="CE68" s="3">
        <v>46108</v>
      </c>
      <c r="CF68" s="1">
        <v>6.8410000000000002</v>
      </c>
      <c r="CG68" s="3">
        <v>46108</v>
      </c>
      <c r="CH68" s="1">
        <v>7.01</v>
      </c>
      <c r="CI68" s="3">
        <v>46108</v>
      </c>
      <c r="CJ68" s="1">
        <v>7.24</v>
      </c>
      <c r="CK68" s="3">
        <v>46108</v>
      </c>
      <c r="CL68" s="1">
        <v>7.3</v>
      </c>
      <c r="CM68" s="3">
        <v>46108</v>
      </c>
      <c r="CN68" s="1">
        <v>7.27</v>
      </c>
      <c r="CO68" s="3">
        <v>46107</v>
      </c>
      <c r="CP68" s="1">
        <v>7.15</v>
      </c>
      <c r="CQ68" s="3">
        <v>46107</v>
      </c>
      <c r="CR68" s="1">
        <v>7.13</v>
      </c>
      <c r="CS68" s="3">
        <v>46107</v>
      </c>
      <c r="CT68" s="1">
        <v>7.1050000000000004</v>
      </c>
    </row>
    <row r="69" spans="26:98" x14ac:dyDescent="0.2">
      <c r="AA69" s="3"/>
      <c r="AE69" s="3">
        <v>46107</v>
      </c>
      <c r="AF69" s="1">
        <v>3.75</v>
      </c>
      <c r="AG69" s="3">
        <v>46101</v>
      </c>
      <c r="AH69" s="1">
        <v>3.83</v>
      </c>
      <c r="AI69" s="3">
        <v>46107</v>
      </c>
      <c r="AJ69" s="2">
        <v>3.875</v>
      </c>
      <c r="AK69" s="3">
        <v>46107</v>
      </c>
      <c r="AL69" s="2">
        <v>4.0199999999999996</v>
      </c>
      <c r="AM69" s="3">
        <v>46107</v>
      </c>
      <c r="AN69" s="2">
        <v>4.1399999999999997</v>
      </c>
      <c r="AO69" s="3">
        <v>46107</v>
      </c>
      <c r="AP69" s="2">
        <v>4.41</v>
      </c>
      <c r="AQ69" s="3">
        <v>46107</v>
      </c>
      <c r="AR69" s="2">
        <v>4.5199999999999996</v>
      </c>
      <c r="AS69" s="3">
        <v>46107</v>
      </c>
      <c r="AT69" s="2">
        <v>4.5025000000000004</v>
      </c>
      <c r="AU69" s="3">
        <v>46107</v>
      </c>
      <c r="AV69" s="2">
        <v>4.4874999999999998</v>
      </c>
      <c r="AW69" s="3">
        <v>46107</v>
      </c>
      <c r="AX69" s="2">
        <v>4.47</v>
      </c>
      <c r="AY69" s="3">
        <v>46107</v>
      </c>
      <c r="AZ69" s="2">
        <v>4.45</v>
      </c>
      <c r="BB69" s="3">
        <v>46101</v>
      </c>
      <c r="BC69" s="1">
        <v>3.5</v>
      </c>
      <c r="BD69" s="3">
        <v>46101</v>
      </c>
      <c r="BE69" s="1">
        <v>3.56</v>
      </c>
      <c r="BF69" s="3">
        <v>46107</v>
      </c>
      <c r="BG69" s="1">
        <v>3.6</v>
      </c>
      <c r="BH69" s="3">
        <v>46107</v>
      </c>
      <c r="BI69" s="1">
        <v>3.68</v>
      </c>
      <c r="BJ69" s="3">
        <v>46107</v>
      </c>
      <c r="BK69" s="1">
        <v>3.855</v>
      </c>
      <c r="BL69" s="3">
        <v>46107</v>
      </c>
      <c r="BM69" s="1">
        <v>4.1900000000000004</v>
      </c>
      <c r="BN69" s="3">
        <v>46107</v>
      </c>
      <c r="BO69" s="1">
        <v>4.2549999999999999</v>
      </c>
      <c r="BP69" s="3">
        <v>46107</v>
      </c>
      <c r="BQ69" s="1">
        <v>4.2850000000000001</v>
      </c>
      <c r="BR69" s="3">
        <v>46107</v>
      </c>
      <c r="BS69" s="1">
        <v>4.2779999999999996</v>
      </c>
      <c r="BT69" s="3">
        <v>46107</v>
      </c>
      <c r="BU69" s="1">
        <v>4.2629999999999999</v>
      </c>
      <c r="BV69" s="3">
        <v>46107</v>
      </c>
      <c r="BW69" s="1">
        <v>4.2530000000000001</v>
      </c>
      <c r="BY69" s="3">
        <v>46105</v>
      </c>
      <c r="BZ69" s="1">
        <v>6.25</v>
      </c>
      <c r="CA69" s="3">
        <v>46101</v>
      </c>
      <c r="CB69" s="1">
        <v>6.35</v>
      </c>
      <c r="CC69" s="3">
        <v>46107</v>
      </c>
      <c r="CD69" s="1">
        <v>6.4960000000000004</v>
      </c>
      <c r="CE69" s="3">
        <v>46107</v>
      </c>
      <c r="CF69" s="1">
        <v>6.7409999999999997</v>
      </c>
      <c r="CG69" s="3">
        <v>46107</v>
      </c>
      <c r="CH69" s="1">
        <v>6.94</v>
      </c>
      <c r="CI69" s="3">
        <v>46107</v>
      </c>
      <c r="CJ69" s="1">
        <v>7.1</v>
      </c>
      <c r="CK69" s="3">
        <v>46107</v>
      </c>
      <c r="CL69" s="1">
        <v>7.17</v>
      </c>
      <c r="CM69" s="3">
        <v>46107</v>
      </c>
      <c r="CN69" s="1">
        <v>7.165</v>
      </c>
      <c r="CO69" s="3">
        <v>46106</v>
      </c>
      <c r="CP69" s="1">
        <v>7.01</v>
      </c>
      <c r="CQ69" s="3">
        <v>46106</v>
      </c>
      <c r="CR69" s="1">
        <v>7</v>
      </c>
      <c r="CS69" s="3">
        <v>46106</v>
      </c>
      <c r="CT69" s="1">
        <v>6.9850000000000003</v>
      </c>
    </row>
    <row r="70" spans="26:98" x14ac:dyDescent="0.2">
      <c r="Z70" s="4"/>
      <c r="AA70" s="3"/>
      <c r="AE70" s="3">
        <v>46106</v>
      </c>
      <c r="AF70" s="1">
        <v>3.75</v>
      </c>
      <c r="AG70" s="3">
        <v>46100</v>
      </c>
      <c r="AH70" s="1">
        <v>3.83</v>
      </c>
      <c r="AI70" s="3">
        <v>46106</v>
      </c>
      <c r="AJ70" s="2">
        <v>3.88</v>
      </c>
      <c r="AK70" s="3">
        <v>46106</v>
      </c>
      <c r="AL70" s="2">
        <v>4.01</v>
      </c>
      <c r="AM70" s="3">
        <v>46106</v>
      </c>
      <c r="AN70" s="2">
        <v>4.13</v>
      </c>
      <c r="AO70" s="3">
        <v>46106</v>
      </c>
      <c r="AP70" s="2">
        <v>4.4000000000000004</v>
      </c>
      <c r="AQ70" s="3">
        <v>46106</v>
      </c>
      <c r="AR70" s="2">
        <v>4.5175000000000001</v>
      </c>
      <c r="AS70" s="3">
        <v>46106</v>
      </c>
      <c r="AT70" s="2">
        <v>4.4974999999999996</v>
      </c>
      <c r="AU70" s="3">
        <v>46106</v>
      </c>
      <c r="AV70" s="2">
        <v>4.4775</v>
      </c>
      <c r="AW70" s="3">
        <v>46106</v>
      </c>
      <c r="AX70" s="2">
        <v>4.4574999999999996</v>
      </c>
      <c r="AY70" s="3">
        <v>46106</v>
      </c>
      <c r="AZ70" s="2">
        <v>4.4375</v>
      </c>
      <c r="BB70" s="3">
        <v>46100</v>
      </c>
      <c r="BC70" s="1">
        <v>3.5</v>
      </c>
      <c r="BD70" s="3">
        <v>46100</v>
      </c>
      <c r="BE70" s="1">
        <v>3.56</v>
      </c>
      <c r="BF70" s="3">
        <v>46106</v>
      </c>
      <c r="BG70" s="1">
        <v>3.5950000000000002</v>
      </c>
      <c r="BH70" s="3">
        <v>46106</v>
      </c>
      <c r="BI70" s="1">
        <v>3.6850000000000001</v>
      </c>
      <c r="BJ70" s="3">
        <v>46106</v>
      </c>
      <c r="BK70" s="1">
        <v>3.8450000000000002</v>
      </c>
      <c r="BL70" s="3">
        <v>46106</v>
      </c>
      <c r="BM70" s="1">
        <v>4.12</v>
      </c>
      <c r="BN70" s="3">
        <v>46106</v>
      </c>
      <c r="BO70" s="1">
        <v>4.18</v>
      </c>
      <c r="BP70" s="3">
        <v>46106</v>
      </c>
      <c r="BQ70" s="1">
        <v>4.21</v>
      </c>
      <c r="BR70" s="3">
        <v>46106</v>
      </c>
      <c r="BS70" s="1">
        <v>4.21</v>
      </c>
      <c r="BT70" s="3">
        <v>46106</v>
      </c>
      <c r="BU70" s="1">
        <v>4.21</v>
      </c>
      <c r="BV70" s="3">
        <v>46106</v>
      </c>
      <c r="BW70" s="1">
        <v>4.2149999999999999</v>
      </c>
      <c r="BY70" s="3">
        <v>46104</v>
      </c>
      <c r="BZ70" s="1">
        <v>6.25</v>
      </c>
      <c r="CA70" s="3">
        <v>46100</v>
      </c>
      <c r="CB70" s="1">
        <v>6.33</v>
      </c>
      <c r="CC70" s="3">
        <v>46106</v>
      </c>
      <c r="CD70" s="1">
        <v>6.4560000000000004</v>
      </c>
      <c r="CE70" s="3">
        <v>46106</v>
      </c>
      <c r="CF70" s="1">
        <v>6.6630000000000003</v>
      </c>
      <c r="CG70" s="3">
        <v>46106</v>
      </c>
      <c r="CH70" s="1">
        <v>6.84</v>
      </c>
      <c r="CI70" s="3">
        <v>46106</v>
      </c>
      <c r="CJ70" s="1">
        <v>6.99</v>
      </c>
      <c r="CK70" s="3">
        <v>46106</v>
      </c>
      <c r="CL70" s="1">
        <v>7.05</v>
      </c>
      <c r="CM70" s="3">
        <v>46106</v>
      </c>
      <c r="CN70" s="1">
        <v>7.0149999999999997</v>
      </c>
      <c r="CO70" s="3">
        <v>46105</v>
      </c>
      <c r="CP70" s="1">
        <v>7.44</v>
      </c>
      <c r="CQ70" s="3">
        <v>46105</v>
      </c>
      <c r="CR70" s="1">
        <v>7.4249999999999998</v>
      </c>
      <c r="CS70" s="3">
        <v>46105</v>
      </c>
      <c r="CT70" s="1">
        <v>7.4</v>
      </c>
    </row>
    <row r="71" spans="26:98" x14ac:dyDescent="0.2">
      <c r="AA71" s="2"/>
      <c r="AE71" s="3">
        <v>46105</v>
      </c>
      <c r="AF71" s="1">
        <v>3.75</v>
      </c>
      <c r="AG71" s="3">
        <v>46099</v>
      </c>
      <c r="AH71" s="1">
        <v>3.83</v>
      </c>
      <c r="AI71" s="3">
        <v>46105</v>
      </c>
      <c r="AJ71" s="2">
        <v>3.9049999999999998</v>
      </c>
      <c r="AK71" s="3">
        <v>46105</v>
      </c>
      <c r="AL71" s="2">
        <v>4.0549999999999997</v>
      </c>
      <c r="AM71" s="3">
        <v>46105</v>
      </c>
      <c r="AN71" s="2">
        <v>4.2</v>
      </c>
      <c r="AO71" s="3">
        <v>46105</v>
      </c>
      <c r="AP71" s="2">
        <v>4.5175000000000001</v>
      </c>
      <c r="AQ71" s="3">
        <v>46105</v>
      </c>
      <c r="AR71" s="2">
        <v>4.63</v>
      </c>
      <c r="AS71" s="3">
        <v>46105</v>
      </c>
      <c r="AT71" s="2">
        <v>4.6124999999999998</v>
      </c>
      <c r="AU71" s="3">
        <v>46105</v>
      </c>
      <c r="AV71" s="2">
        <v>4.5925000000000002</v>
      </c>
      <c r="AW71" s="3">
        <v>46105</v>
      </c>
      <c r="AX71" s="2">
        <v>4.57</v>
      </c>
      <c r="AY71" s="3">
        <v>46105</v>
      </c>
      <c r="AZ71" s="2">
        <v>4.5425000000000004</v>
      </c>
      <c r="BB71" s="3">
        <v>46099</v>
      </c>
      <c r="BC71" s="1">
        <v>3.5</v>
      </c>
      <c r="BD71" s="3">
        <v>46099</v>
      </c>
      <c r="BE71" s="1">
        <v>3.55</v>
      </c>
      <c r="BF71" s="3">
        <v>46105</v>
      </c>
      <c r="BG71" s="1">
        <v>3.64</v>
      </c>
      <c r="BH71" s="3">
        <v>46105</v>
      </c>
      <c r="BI71" s="1">
        <v>3.76</v>
      </c>
      <c r="BJ71" s="3">
        <v>46105</v>
      </c>
      <c r="BK71" s="1">
        <v>3.9449999999999998</v>
      </c>
      <c r="BL71" s="3">
        <v>46105</v>
      </c>
      <c r="BM71" s="1">
        <v>4.29</v>
      </c>
      <c r="BN71" s="3">
        <v>46105</v>
      </c>
      <c r="BO71" s="1">
        <v>4.38</v>
      </c>
      <c r="BP71" s="3">
        <v>46105</v>
      </c>
      <c r="BQ71" s="1">
        <v>4.415</v>
      </c>
      <c r="BR71" s="3">
        <v>46105</v>
      </c>
      <c r="BS71" s="1">
        <v>4.4050000000000002</v>
      </c>
      <c r="BT71" s="3">
        <v>46105</v>
      </c>
      <c r="BU71" s="1">
        <v>4.3849999999999998</v>
      </c>
      <c r="BV71" s="3">
        <v>46105</v>
      </c>
      <c r="BW71" s="1">
        <v>4.3650000000000002</v>
      </c>
      <c r="BY71" s="3">
        <v>46101</v>
      </c>
      <c r="BZ71" s="1">
        <v>6.25</v>
      </c>
      <c r="CA71" s="3">
        <v>46099</v>
      </c>
      <c r="CB71" s="1">
        <v>6.31</v>
      </c>
      <c r="CC71" s="3">
        <v>46105</v>
      </c>
      <c r="CD71" s="1">
        <v>6.5439999999999996</v>
      </c>
      <c r="CE71" s="3">
        <v>46105</v>
      </c>
      <c r="CF71" s="1">
        <v>6.8579999999999997</v>
      </c>
      <c r="CG71" s="3">
        <v>46105</v>
      </c>
      <c r="CH71" s="1">
        <v>7.11</v>
      </c>
      <c r="CI71" s="3">
        <v>46105</v>
      </c>
      <c r="CJ71" s="1">
        <v>7.28</v>
      </c>
      <c r="CK71" s="3">
        <v>46105</v>
      </c>
      <c r="CL71" s="1">
        <v>7.36</v>
      </c>
      <c r="CM71" s="3">
        <v>46105</v>
      </c>
      <c r="CN71" s="1">
        <v>7.45</v>
      </c>
      <c r="CO71" s="3">
        <v>46104</v>
      </c>
      <c r="CP71" s="1">
        <v>7.4</v>
      </c>
      <c r="CQ71" s="3">
        <v>46104</v>
      </c>
      <c r="CR71" s="1">
        <v>7.375</v>
      </c>
      <c r="CS71" s="3">
        <v>46104</v>
      </c>
      <c r="CT71" s="1">
        <v>7.32</v>
      </c>
    </row>
    <row r="72" spans="26:98" x14ac:dyDescent="0.2">
      <c r="AA72" s="2"/>
      <c r="AE72" s="3">
        <v>46104</v>
      </c>
      <c r="AF72" s="1">
        <v>3.75</v>
      </c>
      <c r="AG72" s="3">
        <v>46098</v>
      </c>
      <c r="AH72" s="1">
        <v>3.81</v>
      </c>
      <c r="AI72" s="3">
        <v>46104</v>
      </c>
      <c r="AJ72" s="2">
        <v>3.8849999999999998</v>
      </c>
      <c r="AK72" s="3">
        <v>46104</v>
      </c>
      <c r="AL72" s="2">
        <v>4.0330000000000004</v>
      </c>
      <c r="AM72" s="3">
        <v>46104</v>
      </c>
      <c r="AN72" s="2">
        <v>4.16</v>
      </c>
      <c r="AO72" s="3">
        <v>46104</v>
      </c>
      <c r="AP72" s="2">
        <v>4.4550000000000001</v>
      </c>
      <c r="AQ72" s="3">
        <v>46104</v>
      </c>
      <c r="AR72" s="2">
        <v>4.53</v>
      </c>
      <c r="AS72" s="3">
        <v>46104</v>
      </c>
      <c r="AT72" s="2">
        <v>4.53</v>
      </c>
      <c r="AU72" s="3">
        <v>46104</v>
      </c>
      <c r="AV72" s="2">
        <v>4.5199999999999996</v>
      </c>
      <c r="AW72" s="3">
        <v>46104</v>
      </c>
      <c r="AX72" s="2">
        <v>4.5075000000000003</v>
      </c>
      <c r="AY72" s="3">
        <v>46104</v>
      </c>
      <c r="AZ72" s="2">
        <v>4.4924999999999997</v>
      </c>
      <c r="BB72" s="3">
        <v>46098</v>
      </c>
      <c r="BC72" s="1">
        <v>3.5</v>
      </c>
      <c r="BD72" s="3">
        <v>46098</v>
      </c>
      <c r="BE72" s="1">
        <v>3.56</v>
      </c>
      <c r="BF72" s="3">
        <v>46104</v>
      </c>
      <c r="BG72" s="1">
        <v>3.64</v>
      </c>
      <c r="BH72" s="3">
        <v>46104</v>
      </c>
      <c r="BI72" s="1">
        <v>3.71</v>
      </c>
      <c r="BJ72" s="3">
        <v>46104</v>
      </c>
      <c r="BK72" s="1">
        <v>3.85</v>
      </c>
      <c r="BL72" s="3">
        <v>46104</v>
      </c>
      <c r="BM72" s="1">
        <v>4.1449999999999996</v>
      </c>
      <c r="BN72" s="3">
        <v>46104</v>
      </c>
      <c r="BO72" s="1">
        <v>4.2149999999999999</v>
      </c>
      <c r="BP72" s="3">
        <v>46104</v>
      </c>
      <c r="BQ72" s="1">
        <v>4.2549999999999999</v>
      </c>
      <c r="BR72" s="3">
        <v>46104</v>
      </c>
      <c r="BS72" s="1">
        <v>4.2629999999999999</v>
      </c>
      <c r="BT72" s="3">
        <v>46104</v>
      </c>
      <c r="BU72" s="1">
        <v>4.2530000000000001</v>
      </c>
      <c r="BV72" s="3">
        <v>46104</v>
      </c>
      <c r="BW72" s="1">
        <v>4.24</v>
      </c>
      <c r="BY72" s="3">
        <v>46100</v>
      </c>
      <c r="BZ72" s="1">
        <v>6.25</v>
      </c>
      <c r="CA72" s="3">
        <v>46098</v>
      </c>
      <c r="CB72" s="1">
        <v>6.31</v>
      </c>
      <c r="CC72" s="3">
        <v>46104</v>
      </c>
      <c r="CD72" s="1">
        <v>6.6</v>
      </c>
      <c r="CE72" s="3">
        <v>46104</v>
      </c>
      <c r="CF72" s="1">
        <v>6.96</v>
      </c>
      <c r="CG72" s="3">
        <v>46104</v>
      </c>
      <c r="CH72" s="1">
        <v>7.14</v>
      </c>
      <c r="CI72" s="3">
        <v>46104</v>
      </c>
      <c r="CJ72" s="1">
        <v>7.26</v>
      </c>
      <c r="CK72" s="3">
        <v>46104</v>
      </c>
      <c r="CL72" s="1">
        <v>7.35</v>
      </c>
      <c r="CM72" s="3">
        <v>46104</v>
      </c>
      <c r="CN72" s="1">
        <v>7.41</v>
      </c>
      <c r="CO72" s="3">
        <v>46101</v>
      </c>
      <c r="CP72" s="1">
        <v>7.42</v>
      </c>
      <c r="CQ72" s="3">
        <v>46101</v>
      </c>
      <c r="CR72" s="1">
        <v>7.3949999999999996</v>
      </c>
      <c r="CS72" s="3">
        <v>46101</v>
      </c>
      <c r="CT72" s="1">
        <v>7.37</v>
      </c>
    </row>
    <row r="73" spans="26:98" x14ac:dyDescent="0.2">
      <c r="AA73" s="2"/>
      <c r="AE73" s="3">
        <v>46101</v>
      </c>
      <c r="AF73" s="1">
        <v>3.75</v>
      </c>
      <c r="AG73" s="3">
        <v>46097</v>
      </c>
      <c r="AH73" s="1">
        <v>3.82</v>
      </c>
      <c r="AI73" s="3">
        <v>46101</v>
      </c>
      <c r="AJ73" s="2">
        <v>3.9275000000000002</v>
      </c>
      <c r="AK73" s="3">
        <v>46101</v>
      </c>
      <c r="AL73" s="2">
        <v>4.08</v>
      </c>
      <c r="AM73" s="3">
        <v>46101</v>
      </c>
      <c r="AN73" s="2">
        <v>4.2549999999999999</v>
      </c>
      <c r="AO73" s="3">
        <v>46101</v>
      </c>
      <c r="AP73" s="2">
        <v>4.5650000000000004</v>
      </c>
      <c r="AQ73" s="3">
        <v>46101</v>
      </c>
      <c r="AR73" s="2">
        <v>4.6725000000000003</v>
      </c>
      <c r="AS73" s="3">
        <v>46101</v>
      </c>
      <c r="AT73" s="2">
        <v>4.6900000000000004</v>
      </c>
      <c r="AU73" s="3">
        <v>46101</v>
      </c>
      <c r="AV73" s="2">
        <v>4.6900000000000004</v>
      </c>
      <c r="AW73" s="3">
        <v>46101</v>
      </c>
      <c r="AX73" s="2">
        <v>4.6725000000000003</v>
      </c>
      <c r="AY73" s="3">
        <v>46101</v>
      </c>
      <c r="AZ73" s="2">
        <v>4.6275000000000004</v>
      </c>
      <c r="BB73" s="3">
        <v>46097</v>
      </c>
      <c r="BC73" s="1">
        <v>3.5</v>
      </c>
      <c r="BD73" s="3">
        <v>46097</v>
      </c>
      <c r="BE73" s="1">
        <v>3.56</v>
      </c>
      <c r="BF73" s="3">
        <v>46101</v>
      </c>
      <c r="BG73" s="1">
        <v>3.6349999999999998</v>
      </c>
      <c r="BH73" s="3">
        <v>46101</v>
      </c>
      <c r="BI73" s="1">
        <v>3.7050000000000001</v>
      </c>
      <c r="BJ73" s="3">
        <v>46101</v>
      </c>
      <c r="BK73" s="1">
        <v>3.86</v>
      </c>
      <c r="BL73" s="3">
        <v>46101</v>
      </c>
      <c r="BM73" s="1">
        <v>4.17</v>
      </c>
      <c r="BN73" s="3">
        <v>46101</v>
      </c>
      <c r="BO73" s="1">
        <v>4.33</v>
      </c>
      <c r="BP73" s="3">
        <v>46101</v>
      </c>
      <c r="BQ73" s="1">
        <v>4.3650000000000002</v>
      </c>
      <c r="BR73" s="3">
        <v>46101</v>
      </c>
      <c r="BS73" s="1">
        <v>4.3899999999999997</v>
      </c>
      <c r="BT73" s="3">
        <v>46101</v>
      </c>
      <c r="BU73" s="1">
        <v>4.41</v>
      </c>
      <c r="BV73" s="3">
        <v>46101</v>
      </c>
      <c r="BW73" s="1">
        <v>4.42</v>
      </c>
      <c r="BY73" s="3">
        <v>46099</v>
      </c>
      <c r="BZ73" s="1">
        <v>6.25</v>
      </c>
      <c r="CA73" s="3">
        <v>46097</v>
      </c>
      <c r="CB73" s="1">
        <v>6.3</v>
      </c>
      <c r="CC73" s="3">
        <v>46101</v>
      </c>
      <c r="CD73" s="1">
        <v>6.6029999999999998</v>
      </c>
      <c r="CE73" s="3">
        <v>46101</v>
      </c>
      <c r="CF73" s="1">
        <v>6.9169999999999998</v>
      </c>
      <c r="CG73" s="3">
        <v>46101</v>
      </c>
      <c r="CH73" s="1">
        <v>7.11</v>
      </c>
      <c r="CI73" s="3">
        <v>46101</v>
      </c>
      <c r="CJ73" s="1">
        <v>7.26</v>
      </c>
      <c r="CK73" s="3">
        <v>46101</v>
      </c>
      <c r="CL73" s="1">
        <v>7.36</v>
      </c>
      <c r="CM73" s="3">
        <v>46101</v>
      </c>
      <c r="CN73" s="1">
        <v>7.41</v>
      </c>
      <c r="CO73" s="3">
        <v>46100</v>
      </c>
      <c r="CP73" s="1">
        <v>6.91</v>
      </c>
      <c r="CQ73" s="3">
        <v>46100</v>
      </c>
      <c r="CR73" s="1">
        <v>6.91</v>
      </c>
      <c r="CS73" s="3">
        <v>46100</v>
      </c>
      <c r="CT73" s="1">
        <v>6.9</v>
      </c>
    </row>
    <row r="74" spans="26:98" x14ac:dyDescent="0.2">
      <c r="AA74" s="3"/>
      <c r="AE74" s="3">
        <v>46100</v>
      </c>
      <c r="AF74" s="1">
        <v>3.75</v>
      </c>
      <c r="AG74" s="3">
        <v>46094</v>
      </c>
      <c r="AH74" s="1">
        <v>3.83</v>
      </c>
      <c r="AI74" s="3">
        <v>46100</v>
      </c>
      <c r="AJ74" s="2">
        <v>3.88</v>
      </c>
      <c r="AK74" s="3">
        <v>46100</v>
      </c>
      <c r="AL74" s="2">
        <v>3.9449999999999998</v>
      </c>
      <c r="AM74" s="3">
        <v>46100</v>
      </c>
      <c r="AN74" s="2">
        <v>4.04</v>
      </c>
      <c r="AO74" s="3">
        <v>46100</v>
      </c>
      <c r="AP74" s="2">
        <v>4.3</v>
      </c>
      <c r="AQ74" s="3">
        <v>46100</v>
      </c>
      <c r="AR74" s="2">
        <v>4.4375</v>
      </c>
      <c r="AS74" s="3">
        <v>46100</v>
      </c>
      <c r="AT74" s="2">
        <v>4.5075000000000003</v>
      </c>
      <c r="AU74" s="3">
        <v>46100</v>
      </c>
      <c r="AV74" s="2">
        <v>4.5324999999999998</v>
      </c>
      <c r="AW74" s="3">
        <v>46100</v>
      </c>
      <c r="AX74" s="2">
        <v>4.53</v>
      </c>
      <c r="AY74" s="3">
        <v>46100</v>
      </c>
      <c r="AZ74" s="2">
        <v>4.5075000000000003</v>
      </c>
      <c r="BB74" s="3">
        <v>46094</v>
      </c>
      <c r="BC74" s="1">
        <v>3.5</v>
      </c>
      <c r="BD74" s="3">
        <v>46094</v>
      </c>
      <c r="BE74" s="1">
        <v>3.56</v>
      </c>
      <c r="BF74" s="3">
        <v>46100</v>
      </c>
      <c r="BG74" s="1">
        <v>3.6150000000000002</v>
      </c>
      <c r="BH74" s="3">
        <v>46100</v>
      </c>
      <c r="BI74" s="1">
        <v>3.66</v>
      </c>
      <c r="BJ74" s="3">
        <v>46100</v>
      </c>
      <c r="BK74" s="1">
        <v>3.7549999999999999</v>
      </c>
      <c r="BL74" s="3">
        <v>46100</v>
      </c>
      <c r="BM74" s="1">
        <v>3.96</v>
      </c>
      <c r="BN74" s="3">
        <v>46100</v>
      </c>
      <c r="BO74" s="1">
        <v>4.12</v>
      </c>
      <c r="BP74" s="3">
        <v>46100</v>
      </c>
      <c r="BQ74" s="1">
        <v>4.1900000000000004</v>
      </c>
      <c r="BR74" s="3">
        <v>46100</v>
      </c>
      <c r="BS74" s="1">
        <v>4.25</v>
      </c>
      <c r="BT74" s="3">
        <v>46100</v>
      </c>
      <c r="BU74" s="1">
        <v>4.3</v>
      </c>
      <c r="BV74" s="3">
        <v>46100</v>
      </c>
      <c r="BW74" s="1">
        <v>4.33</v>
      </c>
      <c r="BY74" s="3">
        <v>46098</v>
      </c>
      <c r="BZ74" s="1">
        <v>6.25</v>
      </c>
      <c r="CA74" s="3">
        <v>46094</v>
      </c>
      <c r="CB74" s="1">
        <v>6.29</v>
      </c>
      <c r="CC74" s="3">
        <v>46100</v>
      </c>
      <c r="CD74" s="1">
        <v>6.4359999999999999</v>
      </c>
      <c r="CE74" s="3">
        <v>46100</v>
      </c>
      <c r="CF74" s="1">
        <v>6.5990000000000002</v>
      </c>
      <c r="CG74" s="3">
        <v>46100</v>
      </c>
      <c r="CH74" s="1">
        <v>6.76</v>
      </c>
      <c r="CI74" s="3">
        <v>46100</v>
      </c>
      <c r="CJ74" s="1">
        <v>6.87</v>
      </c>
      <c r="CK74" s="3">
        <v>46100</v>
      </c>
      <c r="CL74" s="1">
        <v>6.92</v>
      </c>
      <c r="CM74" s="3">
        <v>46100</v>
      </c>
      <c r="CN74" s="1">
        <v>6.91</v>
      </c>
      <c r="CO74" s="3">
        <v>46099</v>
      </c>
      <c r="CP74" s="1">
        <v>6.72</v>
      </c>
      <c r="CQ74" s="3">
        <v>46099</v>
      </c>
      <c r="CR74" s="1">
        <v>6.72</v>
      </c>
      <c r="CS74" s="3">
        <v>46099</v>
      </c>
      <c r="CT74" s="1">
        <v>6.72</v>
      </c>
    </row>
    <row r="75" spans="26:98" x14ac:dyDescent="0.2">
      <c r="AA75" s="3"/>
      <c r="AE75" s="3">
        <v>46099</v>
      </c>
      <c r="AF75" s="1">
        <v>3.75</v>
      </c>
      <c r="AG75" s="3">
        <v>46093</v>
      </c>
      <c r="AH75" s="1">
        <v>3.82</v>
      </c>
      <c r="AI75" s="3">
        <v>46099</v>
      </c>
      <c r="AJ75" s="2">
        <v>3.855</v>
      </c>
      <c r="AK75" s="3">
        <v>46099</v>
      </c>
      <c r="AL75" s="2">
        <v>3.9049999999999998</v>
      </c>
      <c r="AM75" s="3">
        <v>46099</v>
      </c>
      <c r="AN75" s="2">
        <v>3.96</v>
      </c>
      <c r="AO75" s="3">
        <v>46099</v>
      </c>
      <c r="AP75" s="2">
        <v>4.1275000000000004</v>
      </c>
      <c r="AQ75" s="3">
        <v>46099</v>
      </c>
      <c r="AR75" s="2">
        <v>4.2324999999999999</v>
      </c>
      <c r="AS75" s="3">
        <v>46099</v>
      </c>
      <c r="AT75" s="2">
        <v>4.3075000000000001</v>
      </c>
      <c r="AU75" s="3">
        <v>46099</v>
      </c>
      <c r="AV75" s="2">
        <v>4.3425000000000002</v>
      </c>
      <c r="AW75" s="3">
        <v>46099</v>
      </c>
      <c r="AX75" s="2">
        <v>4.3674999999999997</v>
      </c>
      <c r="AY75" s="3">
        <v>46099</v>
      </c>
      <c r="AZ75" s="2">
        <v>4.3775000000000004</v>
      </c>
      <c r="BB75" s="3">
        <v>46093</v>
      </c>
      <c r="BC75" s="1">
        <v>3.5</v>
      </c>
      <c r="BD75" s="3">
        <v>46093</v>
      </c>
      <c r="BE75" s="1">
        <v>3.55</v>
      </c>
      <c r="BF75" s="3">
        <v>46099</v>
      </c>
      <c r="BG75" s="1">
        <v>3.6</v>
      </c>
      <c r="BH75" s="3">
        <v>46099</v>
      </c>
      <c r="BI75" s="1">
        <v>3.6429999999999998</v>
      </c>
      <c r="BJ75" s="3">
        <v>46099</v>
      </c>
      <c r="BK75" s="1">
        <v>3.6779999999999999</v>
      </c>
      <c r="BL75" s="3">
        <v>46099</v>
      </c>
      <c r="BM75" s="1">
        <v>3.8450000000000002</v>
      </c>
      <c r="BN75" s="3">
        <v>46099</v>
      </c>
      <c r="BO75" s="1">
        <v>4</v>
      </c>
      <c r="BP75" s="3">
        <v>46099</v>
      </c>
      <c r="BQ75" s="1">
        <v>4.05</v>
      </c>
      <c r="BR75" s="3">
        <v>46099</v>
      </c>
      <c r="BS75" s="1">
        <v>4.0999999999999996</v>
      </c>
      <c r="BT75" s="3">
        <v>46099</v>
      </c>
      <c r="BU75" s="1">
        <v>4.1449999999999996</v>
      </c>
      <c r="BV75" s="3">
        <v>46099</v>
      </c>
      <c r="BW75" s="1">
        <v>4.1849999999999996</v>
      </c>
      <c r="BY75" s="3">
        <v>46097</v>
      </c>
      <c r="BZ75" s="1">
        <v>6.25</v>
      </c>
      <c r="CA75" s="3">
        <v>46093</v>
      </c>
      <c r="CB75" s="1">
        <v>6.26</v>
      </c>
      <c r="CC75" s="3">
        <v>46099</v>
      </c>
      <c r="CD75" s="1">
        <v>6.3769999999999998</v>
      </c>
      <c r="CE75" s="3">
        <v>46099</v>
      </c>
      <c r="CF75" s="1">
        <v>6.4630000000000001</v>
      </c>
      <c r="CG75" s="3">
        <v>46099</v>
      </c>
      <c r="CH75" s="1">
        <v>6.58</v>
      </c>
      <c r="CI75" s="3">
        <v>46099</v>
      </c>
      <c r="CJ75" s="1">
        <v>6.65</v>
      </c>
      <c r="CK75" s="3">
        <v>46099</v>
      </c>
      <c r="CL75" s="1">
        <v>6.69</v>
      </c>
      <c r="CM75" s="3">
        <v>46099</v>
      </c>
      <c r="CN75" s="1">
        <v>6.72</v>
      </c>
      <c r="CO75" s="3">
        <v>46098</v>
      </c>
      <c r="CP75" s="1">
        <v>6.665</v>
      </c>
      <c r="CQ75" s="3">
        <v>46098</v>
      </c>
      <c r="CR75" s="1">
        <v>6.67</v>
      </c>
      <c r="CS75" s="3">
        <v>46098</v>
      </c>
      <c r="CT75" s="1">
        <v>6.67</v>
      </c>
    </row>
    <row r="76" spans="26:98" x14ac:dyDescent="0.2">
      <c r="AA76" s="3"/>
      <c r="AE76" s="3">
        <v>46098</v>
      </c>
      <c r="AF76" s="1">
        <v>3.75</v>
      </c>
      <c r="AG76" s="3">
        <v>46092</v>
      </c>
      <c r="AH76" s="1">
        <v>3.8</v>
      </c>
      <c r="AI76" s="3">
        <v>46098</v>
      </c>
      <c r="AJ76" s="2">
        <v>3.8224999999999998</v>
      </c>
      <c r="AK76" s="3">
        <v>46098</v>
      </c>
      <c r="AL76" s="2">
        <v>3.8624999999999998</v>
      </c>
      <c r="AM76" s="3">
        <v>46098</v>
      </c>
      <c r="AN76" s="2">
        <v>3.9</v>
      </c>
      <c r="AO76" s="3">
        <v>46098</v>
      </c>
      <c r="AP76" s="2">
        <v>4.01</v>
      </c>
      <c r="AQ76" s="3">
        <v>46098</v>
      </c>
      <c r="AR76" s="2">
        <v>4.1013000000000002</v>
      </c>
      <c r="AS76" s="3">
        <v>46098</v>
      </c>
      <c r="AT76" s="2">
        <v>4.17</v>
      </c>
      <c r="AU76" s="3">
        <v>46098</v>
      </c>
      <c r="AV76" s="2">
        <v>4.2074999999999996</v>
      </c>
      <c r="AW76" s="3">
        <v>46098</v>
      </c>
      <c r="AX76" s="2">
        <v>4.2324999999999999</v>
      </c>
      <c r="AY76" s="3">
        <v>46098</v>
      </c>
      <c r="AZ76" s="2">
        <v>4.25</v>
      </c>
      <c r="BB76" s="3">
        <v>46092</v>
      </c>
      <c r="BC76" s="1">
        <v>3.5</v>
      </c>
      <c r="BD76" s="3">
        <v>46092</v>
      </c>
      <c r="BE76" s="1">
        <v>3.55</v>
      </c>
      <c r="BF76" s="3">
        <v>46098</v>
      </c>
      <c r="BG76" s="1">
        <v>3.5750000000000002</v>
      </c>
      <c r="BH76" s="3">
        <v>46098</v>
      </c>
      <c r="BI76" s="1">
        <v>3.6150000000000002</v>
      </c>
      <c r="BJ76" s="3">
        <v>46098</v>
      </c>
      <c r="BK76" s="1">
        <v>3.6349999999999998</v>
      </c>
      <c r="BL76" s="3">
        <v>46098</v>
      </c>
      <c r="BM76" s="1">
        <v>3.77</v>
      </c>
      <c r="BN76" s="3">
        <v>46098</v>
      </c>
      <c r="BO76" s="1">
        <v>3.895</v>
      </c>
      <c r="BP76" s="3">
        <v>46098</v>
      </c>
      <c r="BQ76" s="1">
        <v>3.9630000000000001</v>
      </c>
      <c r="BR76" s="3">
        <v>46098</v>
      </c>
      <c r="BS76" s="1">
        <v>4.01</v>
      </c>
      <c r="BT76" s="3">
        <v>46098</v>
      </c>
      <c r="BU76" s="1">
        <v>4.0549999999999997</v>
      </c>
      <c r="BV76" s="3">
        <v>46098</v>
      </c>
      <c r="BW76" s="1">
        <v>4.1050000000000004</v>
      </c>
      <c r="BY76" s="3">
        <v>46094</v>
      </c>
      <c r="BZ76" s="1">
        <v>6.25</v>
      </c>
      <c r="CA76" s="3">
        <v>46092</v>
      </c>
      <c r="CB76" s="1">
        <v>6.25</v>
      </c>
      <c r="CC76" s="3">
        <v>46098</v>
      </c>
      <c r="CD76" s="1">
        <v>6.3570000000000002</v>
      </c>
      <c r="CE76" s="3">
        <v>46098</v>
      </c>
      <c r="CF76" s="1">
        <v>6.4139999999999997</v>
      </c>
      <c r="CG76" s="3">
        <v>46098</v>
      </c>
      <c r="CH76" s="1">
        <v>6.5</v>
      </c>
      <c r="CI76" s="3">
        <v>46098</v>
      </c>
      <c r="CJ76" s="1">
        <v>6.56</v>
      </c>
      <c r="CK76" s="3">
        <v>46098</v>
      </c>
      <c r="CL76" s="1">
        <v>6.6</v>
      </c>
      <c r="CM76" s="3">
        <v>46098</v>
      </c>
      <c r="CN76" s="1">
        <v>6.65</v>
      </c>
      <c r="CO76" s="3">
        <v>46097</v>
      </c>
      <c r="CP76" s="1">
        <v>6.81</v>
      </c>
      <c r="CQ76" s="3">
        <v>46097</v>
      </c>
      <c r="CR76" s="1">
        <v>6.82</v>
      </c>
      <c r="CS76" s="3">
        <v>46097</v>
      </c>
      <c r="CT76" s="1">
        <v>6.8250000000000002</v>
      </c>
    </row>
    <row r="77" spans="26:98" x14ac:dyDescent="0.2">
      <c r="AA77" s="3"/>
      <c r="AE77" s="3">
        <v>46097</v>
      </c>
      <c r="AF77" s="1">
        <v>3.75</v>
      </c>
      <c r="AG77" s="3">
        <v>46091</v>
      </c>
      <c r="AH77" s="1">
        <v>3.77</v>
      </c>
      <c r="AI77" s="3">
        <v>46097</v>
      </c>
      <c r="AJ77" s="2">
        <v>3.8450000000000002</v>
      </c>
      <c r="AK77" s="3">
        <v>46097</v>
      </c>
      <c r="AL77" s="2">
        <v>3.9049999999999998</v>
      </c>
      <c r="AM77" s="3">
        <v>46097</v>
      </c>
      <c r="AN77" s="2">
        <v>3.9624999999999999</v>
      </c>
      <c r="AO77" s="3">
        <v>46097</v>
      </c>
      <c r="AP77" s="2">
        <v>4.1124999999999998</v>
      </c>
      <c r="AQ77" s="3">
        <v>46097</v>
      </c>
      <c r="AR77" s="2">
        <v>4.24</v>
      </c>
      <c r="AS77" s="3">
        <v>46097</v>
      </c>
      <c r="AT77" s="2">
        <v>4.33</v>
      </c>
      <c r="AU77" s="3">
        <v>46097</v>
      </c>
      <c r="AV77" s="2">
        <v>4.3899999999999997</v>
      </c>
      <c r="AW77" s="3">
        <v>46097</v>
      </c>
      <c r="AX77" s="2">
        <v>4.4275000000000002</v>
      </c>
      <c r="AY77" s="3">
        <v>46097</v>
      </c>
      <c r="AZ77" s="2">
        <v>4.4424999999999999</v>
      </c>
      <c r="BB77" s="3">
        <v>46091</v>
      </c>
      <c r="BC77" s="1">
        <v>3.5</v>
      </c>
      <c r="BD77" s="3">
        <v>46091</v>
      </c>
      <c r="BE77" s="1">
        <v>3.54</v>
      </c>
      <c r="BF77" s="3">
        <v>46097</v>
      </c>
      <c r="BG77" s="1">
        <v>3.6150000000000002</v>
      </c>
      <c r="BH77" s="3">
        <v>46097</v>
      </c>
      <c r="BI77" s="1">
        <v>3.6680000000000001</v>
      </c>
      <c r="BJ77" s="3">
        <v>46097</v>
      </c>
      <c r="BK77" s="1">
        <v>3.69</v>
      </c>
      <c r="BL77" s="3">
        <v>46097</v>
      </c>
      <c r="BM77" s="1">
        <v>3.83</v>
      </c>
      <c r="BN77" s="3">
        <v>46097</v>
      </c>
      <c r="BO77" s="1">
        <v>4.04</v>
      </c>
      <c r="BP77" s="3">
        <v>46097</v>
      </c>
      <c r="BQ77" s="1">
        <v>4.12</v>
      </c>
      <c r="BR77" s="3">
        <v>46097</v>
      </c>
      <c r="BS77" s="1">
        <v>4.1929999999999996</v>
      </c>
      <c r="BT77" s="3">
        <v>46097</v>
      </c>
      <c r="BU77" s="1">
        <v>4.2750000000000004</v>
      </c>
      <c r="BV77" s="3">
        <v>46097</v>
      </c>
      <c r="BW77" s="1">
        <v>4.3499999999999996</v>
      </c>
      <c r="BY77" s="3">
        <v>46093</v>
      </c>
      <c r="BZ77" s="1">
        <v>6.25</v>
      </c>
      <c r="CA77" s="3">
        <v>46091</v>
      </c>
      <c r="CB77" s="1">
        <v>6.25</v>
      </c>
      <c r="CC77" s="3">
        <v>46097</v>
      </c>
      <c r="CD77" s="1">
        <v>6.37</v>
      </c>
      <c r="CE77" s="3">
        <v>46097</v>
      </c>
      <c r="CF77" s="1">
        <v>6.46</v>
      </c>
      <c r="CG77" s="3">
        <v>46097</v>
      </c>
      <c r="CH77" s="1">
        <v>6.55</v>
      </c>
      <c r="CI77" s="3">
        <v>46097</v>
      </c>
      <c r="CJ77" s="1">
        <v>6.63</v>
      </c>
      <c r="CK77" s="3">
        <v>46097</v>
      </c>
      <c r="CL77" s="1">
        <v>6.71</v>
      </c>
      <c r="CM77" s="3">
        <v>46097</v>
      </c>
      <c r="CN77" s="1">
        <v>6.78</v>
      </c>
      <c r="CO77" s="3">
        <v>46094</v>
      </c>
      <c r="CP77" s="1">
        <v>6.92</v>
      </c>
      <c r="CQ77" s="3">
        <v>46094</v>
      </c>
      <c r="CR77" s="1">
        <v>6.9349999999999996</v>
      </c>
      <c r="CS77" s="3">
        <v>46094</v>
      </c>
      <c r="CT77" s="1">
        <v>6.94</v>
      </c>
    </row>
    <row r="78" spans="26:98" x14ac:dyDescent="0.2">
      <c r="AA78" s="3"/>
      <c r="AE78" s="3">
        <v>46094</v>
      </c>
      <c r="AF78" s="1">
        <v>3.75</v>
      </c>
      <c r="AG78" s="3">
        <v>46090</v>
      </c>
      <c r="AH78" s="1">
        <v>3.79</v>
      </c>
      <c r="AI78" s="3">
        <v>46094</v>
      </c>
      <c r="AJ78" s="2">
        <v>3.87</v>
      </c>
      <c r="AK78" s="3">
        <v>46094</v>
      </c>
      <c r="AL78" s="2">
        <v>3.9474999999999998</v>
      </c>
      <c r="AM78" s="3">
        <v>46094</v>
      </c>
      <c r="AN78" s="2">
        <v>4.0199999999999996</v>
      </c>
      <c r="AO78" s="3">
        <v>46094</v>
      </c>
      <c r="AP78" s="2">
        <v>4.2225000000000001</v>
      </c>
      <c r="AQ78" s="3">
        <v>46094</v>
      </c>
      <c r="AR78" s="2">
        <v>4.3849999999999998</v>
      </c>
      <c r="AS78" s="3">
        <v>46094</v>
      </c>
      <c r="AT78" s="2">
        <v>4.4850000000000003</v>
      </c>
      <c r="AU78" s="3">
        <v>46094</v>
      </c>
      <c r="AV78" s="2">
        <v>4.5449999999999999</v>
      </c>
      <c r="AW78" s="3">
        <v>46094</v>
      </c>
      <c r="AX78" s="2">
        <v>4.5750000000000002</v>
      </c>
      <c r="AY78" s="3">
        <v>46094</v>
      </c>
      <c r="AZ78" s="2">
        <v>4.5750000000000002</v>
      </c>
      <c r="BB78" s="3">
        <v>46090</v>
      </c>
      <c r="BC78" s="1">
        <v>3.5</v>
      </c>
      <c r="BD78" s="3">
        <v>46090</v>
      </c>
      <c r="BE78" s="1">
        <v>3.55</v>
      </c>
      <c r="BF78" s="3">
        <v>46094</v>
      </c>
      <c r="BG78" s="1">
        <v>3.63</v>
      </c>
      <c r="BH78" s="3">
        <v>46094</v>
      </c>
      <c r="BI78" s="1">
        <v>3.68</v>
      </c>
      <c r="BJ78" s="3">
        <v>46094</v>
      </c>
      <c r="BK78" s="1">
        <v>3.7050000000000001</v>
      </c>
      <c r="BL78" s="3">
        <v>46094</v>
      </c>
      <c r="BM78" s="1">
        <v>3.883</v>
      </c>
      <c r="BN78" s="3">
        <v>46094</v>
      </c>
      <c r="BO78" s="1">
        <v>4.0949999999999998</v>
      </c>
      <c r="BP78" s="3">
        <v>46094</v>
      </c>
      <c r="BQ78" s="1">
        <v>4.2699999999999996</v>
      </c>
      <c r="BR78" s="3">
        <v>46094</v>
      </c>
      <c r="BS78" s="1">
        <v>4.3879999999999999</v>
      </c>
      <c r="BT78" s="3">
        <v>46094</v>
      </c>
      <c r="BU78" s="1">
        <v>4.4850000000000003</v>
      </c>
      <c r="BV78" s="3">
        <v>46094</v>
      </c>
      <c r="BW78" s="1">
        <v>4.58</v>
      </c>
      <c r="BY78" s="3">
        <v>46092</v>
      </c>
      <c r="BZ78" s="1">
        <v>6.25</v>
      </c>
      <c r="CA78" s="3">
        <v>46090</v>
      </c>
      <c r="CB78" s="1">
        <v>6.28</v>
      </c>
      <c r="CC78" s="3">
        <v>46094</v>
      </c>
      <c r="CD78" s="1">
        <v>6.4160000000000004</v>
      </c>
      <c r="CE78" s="3">
        <v>46094</v>
      </c>
      <c r="CF78" s="1">
        <v>6.4960000000000004</v>
      </c>
      <c r="CG78" s="3">
        <v>46094</v>
      </c>
      <c r="CH78" s="1">
        <v>6.57</v>
      </c>
      <c r="CI78" s="3">
        <v>46094</v>
      </c>
      <c r="CJ78" s="1">
        <v>6.68</v>
      </c>
      <c r="CK78" s="3">
        <v>46094</v>
      </c>
      <c r="CL78" s="1">
        <v>6.78</v>
      </c>
      <c r="CM78" s="3">
        <v>46094</v>
      </c>
      <c r="CN78" s="1">
        <v>6.89</v>
      </c>
      <c r="CO78" s="3">
        <v>46093</v>
      </c>
      <c r="CP78" s="1">
        <v>6.61</v>
      </c>
      <c r="CQ78" s="3">
        <v>46093</v>
      </c>
      <c r="CR78" s="1">
        <v>6.63</v>
      </c>
      <c r="CS78" s="3">
        <v>46093</v>
      </c>
      <c r="CT78" s="1">
        <v>6.65</v>
      </c>
    </row>
    <row r="79" spans="26:98" x14ac:dyDescent="0.2">
      <c r="AA79" s="3"/>
      <c r="AE79" s="3">
        <v>46093</v>
      </c>
      <c r="AF79" s="1">
        <v>3.75</v>
      </c>
      <c r="AG79" s="3">
        <v>46087</v>
      </c>
      <c r="AH79" s="1">
        <v>3.77</v>
      </c>
      <c r="AI79" s="3">
        <v>46093</v>
      </c>
      <c r="AJ79" s="2">
        <v>3.8450000000000002</v>
      </c>
      <c r="AK79" s="3">
        <v>46093</v>
      </c>
      <c r="AL79" s="2">
        <v>3.9049999999999998</v>
      </c>
      <c r="AM79" s="3">
        <v>46093</v>
      </c>
      <c r="AN79" s="2">
        <v>3.96</v>
      </c>
      <c r="AO79" s="3">
        <v>46093</v>
      </c>
      <c r="AP79" s="2">
        <v>4.1050000000000004</v>
      </c>
      <c r="AQ79" s="3">
        <v>46093</v>
      </c>
      <c r="AR79" s="2">
        <v>4.2324999999999999</v>
      </c>
      <c r="AS79" s="3">
        <v>46093</v>
      </c>
      <c r="AT79" s="2">
        <v>4.3449999999999998</v>
      </c>
      <c r="AU79" s="3">
        <v>46093</v>
      </c>
      <c r="AV79" s="2">
        <v>4.41</v>
      </c>
      <c r="AW79" s="3">
        <v>46093</v>
      </c>
      <c r="AX79" s="2">
        <v>4.4400000000000004</v>
      </c>
      <c r="AY79" s="3">
        <v>46093</v>
      </c>
      <c r="AZ79" s="2">
        <v>4.4400000000000004</v>
      </c>
      <c r="BB79" s="3">
        <v>46087</v>
      </c>
      <c r="BC79" s="1">
        <v>3.5</v>
      </c>
      <c r="BD79" s="3">
        <v>46087</v>
      </c>
      <c r="BE79" s="1">
        <v>3.52</v>
      </c>
      <c r="BF79" s="3">
        <v>46093</v>
      </c>
      <c r="BG79" s="1">
        <v>3.61</v>
      </c>
      <c r="BH79" s="3">
        <v>46093</v>
      </c>
      <c r="BI79" s="1">
        <v>3.64</v>
      </c>
      <c r="BJ79" s="3">
        <v>46093</v>
      </c>
      <c r="BK79" s="1">
        <v>3.665</v>
      </c>
      <c r="BL79" s="3">
        <v>46093</v>
      </c>
      <c r="BM79" s="1">
        <v>3.83</v>
      </c>
      <c r="BN79" s="3">
        <v>46093</v>
      </c>
      <c r="BO79" s="1">
        <v>4.0350000000000001</v>
      </c>
      <c r="BP79" s="3">
        <v>46093</v>
      </c>
      <c r="BQ79" s="1">
        <v>4.2</v>
      </c>
      <c r="BR79" s="3">
        <v>46093</v>
      </c>
      <c r="BS79" s="1">
        <v>4.3150000000000004</v>
      </c>
      <c r="BT79" s="3">
        <v>46093</v>
      </c>
      <c r="BU79" s="1">
        <v>4.4050000000000002</v>
      </c>
      <c r="BV79" s="3">
        <v>46093</v>
      </c>
      <c r="BW79" s="1">
        <v>4.5049999999999999</v>
      </c>
      <c r="BY79" s="3">
        <v>46091</v>
      </c>
      <c r="BZ79" s="1">
        <v>6.25</v>
      </c>
      <c r="CA79" s="3">
        <v>46087</v>
      </c>
      <c r="CB79" s="1">
        <v>6.18</v>
      </c>
      <c r="CC79" s="3">
        <v>46093</v>
      </c>
      <c r="CD79" s="1">
        <v>6.3559999999999999</v>
      </c>
      <c r="CE79" s="3">
        <v>46093</v>
      </c>
      <c r="CF79" s="1">
        <v>6.4029999999999996</v>
      </c>
      <c r="CG79" s="3">
        <v>46093</v>
      </c>
      <c r="CH79" s="1">
        <v>6.45</v>
      </c>
      <c r="CI79" s="3">
        <v>46093</v>
      </c>
      <c r="CJ79" s="1">
        <v>6.5</v>
      </c>
      <c r="CK79" s="3">
        <v>46093</v>
      </c>
      <c r="CL79" s="1">
        <v>6.56</v>
      </c>
      <c r="CM79" s="3">
        <v>46093</v>
      </c>
      <c r="CN79" s="1">
        <v>6.6</v>
      </c>
      <c r="CO79" s="3">
        <v>46092</v>
      </c>
      <c r="CP79" s="1">
        <v>6.38</v>
      </c>
      <c r="CQ79" s="3">
        <v>46092</v>
      </c>
      <c r="CR79" s="1">
        <v>6.38</v>
      </c>
      <c r="CS79" s="3">
        <v>46092</v>
      </c>
      <c r="CT79" s="1">
        <v>6.38</v>
      </c>
    </row>
    <row r="80" spans="26:98" x14ac:dyDescent="0.2">
      <c r="AA80" s="3"/>
      <c r="AE80" s="3">
        <v>46092</v>
      </c>
      <c r="AF80" s="1">
        <v>3.75</v>
      </c>
      <c r="AG80" s="3">
        <v>46086</v>
      </c>
      <c r="AH80" s="1">
        <v>3.76</v>
      </c>
      <c r="AI80" s="3">
        <v>46092</v>
      </c>
      <c r="AJ80" s="2">
        <v>3.7974999999999999</v>
      </c>
      <c r="AK80" s="3">
        <v>46092</v>
      </c>
      <c r="AL80" s="2">
        <v>3.81</v>
      </c>
      <c r="AM80" s="3">
        <v>46092</v>
      </c>
      <c r="AN80" s="2">
        <v>3.8224999999999998</v>
      </c>
      <c r="AO80" s="3">
        <v>46092</v>
      </c>
      <c r="AP80" s="2">
        <v>3.86</v>
      </c>
      <c r="AQ80" s="3">
        <v>46092</v>
      </c>
      <c r="AR80" s="2">
        <v>3.8975</v>
      </c>
      <c r="AS80" s="3">
        <v>46092</v>
      </c>
      <c r="AT80" s="2">
        <v>3.9424999999999999</v>
      </c>
      <c r="AU80" s="3">
        <v>46092</v>
      </c>
      <c r="AV80" s="2">
        <v>3.9824999999999999</v>
      </c>
      <c r="AW80" s="3">
        <v>46092</v>
      </c>
      <c r="AX80" s="2">
        <v>4.0199999999999996</v>
      </c>
      <c r="AY80" s="3">
        <v>46092</v>
      </c>
      <c r="AZ80" s="2">
        <v>4.05</v>
      </c>
      <c r="BB80" s="3">
        <v>46086</v>
      </c>
      <c r="BC80" s="1">
        <v>3.5</v>
      </c>
      <c r="BD80" s="3">
        <v>46086</v>
      </c>
      <c r="BE80" s="1">
        <v>3.51</v>
      </c>
      <c r="BF80" s="3">
        <v>46092</v>
      </c>
      <c r="BG80" s="1">
        <v>3.58</v>
      </c>
      <c r="BH80" s="3">
        <v>46092</v>
      </c>
      <c r="BI80" s="1">
        <v>3.58</v>
      </c>
      <c r="BJ80" s="3">
        <v>46092</v>
      </c>
      <c r="BK80" s="1">
        <v>3.6030000000000002</v>
      </c>
      <c r="BL80" s="3">
        <v>46092</v>
      </c>
      <c r="BM80" s="1">
        <v>3.6949999999999998</v>
      </c>
      <c r="BN80" s="3">
        <v>46092</v>
      </c>
      <c r="BO80" s="1">
        <v>3.7930000000000001</v>
      </c>
      <c r="BP80" s="3">
        <v>46092</v>
      </c>
      <c r="BQ80" s="1">
        <v>3.91</v>
      </c>
      <c r="BR80" s="3">
        <v>46092</v>
      </c>
      <c r="BS80" s="1">
        <v>4.0199999999999996</v>
      </c>
      <c r="BT80" s="3">
        <v>46092</v>
      </c>
      <c r="BU80" s="1">
        <v>4.1100000000000003</v>
      </c>
      <c r="BV80" s="3">
        <v>46092</v>
      </c>
      <c r="BW80" s="1">
        <v>4.2030000000000003</v>
      </c>
      <c r="BY80" s="3">
        <v>46090</v>
      </c>
      <c r="BZ80" s="1">
        <v>6.25</v>
      </c>
      <c r="CA80" s="3">
        <v>46086</v>
      </c>
      <c r="CB80" s="1">
        <v>6.17</v>
      </c>
      <c r="CC80" s="3">
        <v>46092</v>
      </c>
      <c r="CD80" s="1">
        <v>6.3</v>
      </c>
      <c r="CE80" s="3">
        <v>46092</v>
      </c>
      <c r="CF80" s="1">
        <v>6.3250000000000002</v>
      </c>
      <c r="CG80" s="3">
        <v>46092</v>
      </c>
      <c r="CH80" s="1">
        <v>6.35</v>
      </c>
      <c r="CI80" s="3">
        <v>46092</v>
      </c>
      <c r="CJ80" s="1">
        <v>6.35</v>
      </c>
      <c r="CK80" s="3">
        <v>46092</v>
      </c>
      <c r="CL80" s="1">
        <v>6.36</v>
      </c>
      <c r="CM80" s="3">
        <v>46092</v>
      </c>
      <c r="CN80" s="1">
        <v>6.38</v>
      </c>
      <c r="CO80" s="3">
        <v>46091</v>
      </c>
      <c r="CP80" s="1">
        <v>6.1550000000000002</v>
      </c>
      <c r="CQ80" s="3">
        <v>46091</v>
      </c>
      <c r="CR80" s="1">
        <v>6.15</v>
      </c>
      <c r="CS80" s="3">
        <v>46091</v>
      </c>
      <c r="CT80" s="1">
        <v>6.1524999999999999</v>
      </c>
    </row>
    <row r="81" spans="27:98" x14ac:dyDescent="0.2">
      <c r="AA81" s="3"/>
      <c r="AE81" s="3">
        <v>46091</v>
      </c>
      <c r="AF81" s="1">
        <v>3.75</v>
      </c>
      <c r="AG81" s="3">
        <v>46085</v>
      </c>
      <c r="AH81" s="1">
        <v>3.8</v>
      </c>
      <c r="AI81" s="3">
        <v>46091</v>
      </c>
      <c r="AJ81" s="2">
        <v>3.7450000000000001</v>
      </c>
      <c r="AK81" s="3">
        <v>46091</v>
      </c>
      <c r="AL81" s="2">
        <v>3.7349999999999999</v>
      </c>
      <c r="AM81" s="3">
        <v>46091</v>
      </c>
      <c r="AN81" s="2">
        <v>3.7349999999999999</v>
      </c>
      <c r="AO81" s="3">
        <v>46091</v>
      </c>
      <c r="AP81" s="2">
        <v>3.72</v>
      </c>
      <c r="AQ81" s="3">
        <v>46091</v>
      </c>
      <c r="AR81" s="2">
        <v>3.7124999999999999</v>
      </c>
      <c r="AS81" s="3">
        <v>46091</v>
      </c>
      <c r="AT81" s="2">
        <v>3.7450000000000001</v>
      </c>
      <c r="AU81" s="3">
        <v>46091</v>
      </c>
      <c r="AV81" s="2">
        <v>3.7825000000000002</v>
      </c>
      <c r="AW81" s="3">
        <v>46091</v>
      </c>
      <c r="AX81" s="2">
        <v>3.8224999999999998</v>
      </c>
      <c r="AY81" s="3">
        <v>46091</v>
      </c>
      <c r="AZ81" s="2">
        <v>3.8650000000000002</v>
      </c>
      <c r="BB81" s="3">
        <v>46085</v>
      </c>
      <c r="BC81" s="1">
        <v>3.5</v>
      </c>
      <c r="BD81" s="3">
        <v>46085</v>
      </c>
      <c r="BE81" s="1">
        <v>3.51</v>
      </c>
      <c r="BF81" s="3">
        <v>46091</v>
      </c>
      <c r="BG81" s="1">
        <v>3.5550000000000002</v>
      </c>
      <c r="BH81" s="3">
        <v>46091</v>
      </c>
      <c r="BI81" s="1">
        <v>3.5649999999999999</v>
      </c>
      <c r="BJ81" s="3">
        <v>46091</v>
      </c>
      <c r="BK81" s="1">
        <v>3.585</v>
      </c>
      <c r="BL81" s="3">
        <v>46091</v>
      </c>
      <c r="BM81" s="1">
        <v>3.6179999999999999</v>
      </c>
      <c r="BN81" s="3">
        <v>46091</v>
      </c>
      <c r="BO81" s="1">
        <v>3.653</v>
      </c>
      <c r="BP81" s="3">
        <v>46091</v>
      </c>
      <c r="BQ81" s="1">
        <v>3.7330000000000001</v>
      </c>
      <c r="BR81" s="3">
        <v>46091</v>
      </c>
      <c r="BS81" s="1">
        <v>3.8130000000000002</v>
      </c>
      <c r="BT81" s="3">
        <v>46091</v>
      </c>
      <c r="BU81" s="1">
        <v>3.895</v>
      </c>
      <c r="BV81" s="3">
        <v>46091</v>
      </c>
      <c r="BW81" s="1">
        <v>3.97</v>
      </c>
      <c r="BY81" s="3">
        <v>46087</v>
      </c>
      <c r="BZ81" s="1">
        <v>6.25</v>
      </c>
      <c r="CA81" s="3">
        <v>46085</v>
      </c>
      <c r="CB81" s="1">
        <v>6.17</v>
      </c>
      <c r="CC81" s="3">
        <v>46091</v>
      </c>
      <c r="CD81" s="1">
        <v>6.2530000000000001</v>
      </c>
      <c r="CE81" s="3">
        <v>46091</v>
      </c>
      <c r="CF81" s="1">
        <v>6.2569999999999997</v>
      </c>
      <c r="CG81" s="3">
        <v>46091</v>
      </c>
      <c r="CH81" s="1">
        <v>6.27</v>
      </c>
      <c r="CI81" s="3">
        <v>46091</v>
      </c>
      <c r="CJ81" s="1">
        <v>6.21</v>
      </c>
      <c r="CK81" s="3">
        <v>46091</v>
      </c>
      <c r="CL81" s="1">
        <v>6.16</v>
      </c>
      <c r="CM81" s="3">
        <v>46091</v>
      </c>
      <c r="CN81" s="1">
        <v>6.16</v>
      </c>
      <c r="CO81" s="3">
        <v>46090</v>
      </c>
      <c r="CP81" s="1">
        <v>6.5049999999999999</v>
      </c>
      <c r="CQ81" s="3">
        <v>46090</v>
      </c>
      <c r="CR81" s="1">
        <v>6.5049999999999999</v>
      </c>
      <c r="CS81" s="3">
        <v>46090</v>
      </c>
      <c r="CT81" s="1">
        <v>6.5049999999999999</v>
      </c>
    </row>
    <row r="82" spans="27:98" x14ac:dyDescent="0.2">
      <c r="AA82" s="3"/>
      <c r="AE82" s="3">
        <v>46090</v>
      </c>
      <c r="AF82" s="1">
        <v>3.75</v>
      </c>
      <c r="AG82" s="3">
        <v>46084</v>
      </c>
      <c r="AH82" s="1">
        <v>3.82</v>
      </c>
      <c r="AI82" s="3">
        <v>46090</v>
      </c>
      <c r="AJ82" s="2">
        <v>3.8149999999999999</v>
      </c>
      <c r="AK82" s="3">
        <v>46090</v>
      </c>
      <c r="AL82" s="2">
        <v>3.82</v>
      </c>
      <c r="AM82" s="3">
        <v>46090</v>
      </c>
      <c r="AN82" s="2">
        <v>3.8250000000000002</v>
      </c>
      <c r="AO82" s="3">
        <v>46090</v>
      </c>
      <c r="AP82" s="2">
        <v>3.87</v>
      </c>
      <c r="AQ82" s="3">
        <v>46090</v>
      </c>
      <c r="AR82" s="2">
        <v>3.9249999999999998</v>
      </c>
      <c r="AS82" s="3">
        <v>46090</v>
      </c>
      <c r="AT82" s="2">
        <v>3.9849999999999999</v>
      </c>
      <c r="AU82" s="3">
        <v>46090</v>
      </c>
      <c r="AV82" s="2">
        <v>4.04</v>
      </c>
      <c r="AW82" s="3">
        <v>46090</v>
      </c>
      <c r="AX82" s="2">
        <v>4.0824999999999996</v>
      </c>
      <c r="AY82" s="3">
        <v>46090</v>
      </c>
      <c r="AZ82" s="2">
        <v>4.1174999999999997</v>
      </c>
      <c r="BB82" s="3">
        <v>46084</v>
      </c>
      <c r="BC82" s="1">
        <v>3.5</v>
      </c>
      <c r="BD82" s="3">
        <v>46084</v>
      </c>
      <c r="BE82" s="1">
        <v>3.5</v>
      </c>
      <c r="BF82" s="3">
        <v>46090</v>
      </c>
      <c r="BG82" s="1">
        <v>3.61</v>
      </c>
      <c r="BH82" s="3">
        <v>46090</v>
      </c>
      <c r="BI82" s="1">
        <v>3.625</v>
      </c>
      <c r="BJ82" s="3">
        <v>46090</v>
      </c>
      <c r="BK82" s="1">
        <v>3.673</v>
      </c>
      <c r="BL82" s="3">
        <v>46090</v>
      </c>
      <c r="BM82" s="1">
        <v>3.8180000000000001</v>
      </c>
      <c r="BN82" s="3">
        <v>46090</v>
      </c>
      <c r="BO82" s="1">
        <v>3.9249999999999998</v>
      </c>
      <c r="BP82" s="3">
        <v>46090</v>
      </c>
      <c r="BQ82" s="1">
        <v>4.0430000000000001</v>
      </c>
      <c r="BR82" s="3">
        <v>46090</v>
      </c>
      <c r="BS82" s="1">
        <v>4.1529999999999996</v>
      </c>
      <c r="BT82" s="3">
        <v>46090</v>
      </c>
      <c r="BU82" s="1">
        <v>4.258</v>
      </c>
      <c r="BV82" s="3">
        <v>46090</v>
      </c>
      <c r="BW82" s="1">
        <v>4.3499999999999996</v>
      </c>
      <c r="BY82" s="3">
        <v>46086</v>
      </c>
      <c r="BZ82" s="1">
        <v>6.25</v>
      </c>
      <c r="CA82" s="3">
        <v>46084</v>
      </c>
      <c r="CB82" s="1">
        <v>6.16</v>
      </c>
      <c r="CC82" s="3">
        <v>46090</v>
      </c>
      <c r="CD82" s="1">
        <v>6.4029999999999996</v>
      </c>
      <c r="CE82" s="3">
        <v>46090</v>
      </c>
      <c r="CF82" s="1">
        <v>6.4249999999999998</v>
      </c>
      <c r="CG82" s="3">
        <v>46090</v>
      </c>
      <c r="CH82" s="1">
        <v>6.44</v>
      </c>
      <c r="CI82" s="3">
        <v>46090</v>
      </c>
      <c r="CJ82" s="1">
        <v>6.45</v>
      </c>
      <c r="CK82" s="3">
        <v>46090</v>
      </c>
      <c r="CL82" s="1">
        <v>6.45</v>
      </c>
      <c r="CM82" s="3">
        <v>46090</v>
      </c>
      <c r="CN82" s="1">
        <v>6.5049999999999999</v>
      </c>
      <c r="CO82" s="3">
        <v>46087</v>
      </c>
      <c r="CP82" s="1">
        <v>6.24</v>
      </c>
      <c r="CQ82" s="3">
        <v>46087</v>
      </c>
      <c r="CR82" s="1">
        <v>6.2450000000000001</v>
      </c>
      <c r="CS82" s="3">
        <v>46087</v>
      </c>
      <c r="CT82" s="1">
        <v>6.25</v>
      </c>
    </row>
    <row r="83" spans="27:98" x14ac:dyDescent="0.2">
      <c r="AE83" s="3">
        <v>46087</v>
      </c>
      <c r="AF83" s="1">
        <v>3.75</v>
      </c>
      <c r="AG83" s="3">
        <v>46083</v>
      </c>
      <c r="AH83" s="1">
        <v>3.81</v>
      </c>
      <c r="AI83" s="3">
        <v>46087</v>
      </c>
      <c r="AJ83" s="2">
        <v>3.7749999999999999</v>
      </c>
      <c r="AK83" s="3">
        <v>46087</v>
      </c>
      <c r="AL83" s="2">
        <v>3.7725</v>
      </c>
      <c r="AM83" s="3">
        <v>46087</v>
      </c>
      <c r="AN83" s="2">
        <v>3.77</v>
      </c>
      <c r="AO83" s="3">
        <v>46087</v>
      </c>
      <c r="AP83" s="2">
        <v>3.8149999999999999</v>
      </c>
      <c r="AQ83" s="3">
        <v>46087</v>
      </c>
      <c r="AR83" s="2">
        <v>3.875</v>
      </c>
      <c r="AS83" s="3">
        <v>46087</v>
      </c>
      <c r="AT83" s="2">
        <v>3.9424999999999999</v>
      </c>
      <c r="AU83" s="3">
        <v>46087</v>
      </c>
      <c r="AV83" s="2">
        <v>4.0025000000000004</v>
      </c>
      <c r="AW83" s="3">
        <v>46087</v>
      </c>
      <c r="AX83" s="2">
        <v>4.0525000000000002</v>
      </c>
      <c r="AY83" s="3">
        <v>46087</v>
      </c>
      <c r="AZ83" s="2">
        <v>4.0875000000000004</v>
      </c>
      <c r="BB83" s="3">
        <v>46083</v>
      </c>
      <c r="BC83" s="1">
        <v>3.5</v>
      </c>
      <c r="BD83" s="3">
        <v>46083</v>
      </c>
      <c r="BE83" s="1">
        <v>3.48</v>
      </c>
      <c r="BF83" s="3">
        <v>46087</v>
      </c>
      <c r="BG83" s="1">
        <v>3.5750000000000002</v>
      </c>
      <c r="BH83" s="3">
        <v>46087</v>
      </c>
      <c r="BI83" s="1">
        <v>3.5950000000000002</v>
      </c>
      <c r="BJ83" s="3">
        <v>46087</v>
      </c>
      <c r="BK83" s="1">
        <v>3.63</v>
      </c>
      <c r="BL83" s="3">
        <v>46087</v>
      </c>
      <c r="BM83" s="1">
        <v>3.7</v>
      </c>
      <c r="BN83" s="3">
        <v>46087</v>
      </c>
      <c r="BO83" s="1">
        <v>3.8250000000000002</v>
      </c>
      <c r="BP83" s="3">
        <v>46087</v>
      </c>
      <c r="BQ83" s="1">
        <v>3.948</v>
      </c>
      <c r="BR83" s="3">
        <v>46087</v>
      </c>
      <c r="BS83" s="1">
        <v>4.0330000000000004</v>
      </c>
      <c r="BT83" s="3">
        <v>46087</v>
      </c>
      <c r="BU83" s="1">
        <v>4.1130000000000004</v>
      </c>
      <c r="BV83" s="3">
        <v>46087</v>
      </c>
      <c r="BW83" s="1">
        <v>4.18</v>
      </c>
      <c r="BY83" s="3">
        <v>46085</v>
      </c>
      <c r="BZ83" s="1">
        <v>6.25</v>
      </c>
      <c r="CA83" s="3">
        <v>46083</v>
      </c>
      <c r="CB83" s="1">
        <v>6.15</v>
      </c>
      <c r="CC83" s="3">
        <v>46087</v>
      </c>
      <c r="CD83" s="1">
        <v>6.266</v>
      </c>
      <c r="CE83" s="3">
        <v>46087</v>
      </c>
      <c r="CF83" s="1">
        <v>6.2809999999999997</v>
      </c>
      <c r="CG83" s="3">
        <v>46087</v>
      </c>
      <c r="CH83" s="1">
        <v>6.29</v>
      </c>
      <c r="CI83" s="3">
        <v>46087</v>
      </c>
      <c r="CJ83" s="1">
        <v>6.27</v>
      </c>
      <c r="CK83" s="3">
        <v>46087</v>
      </c>
      <c r="CL83" s="1">
        <v>6.27</v>
      </c>
      <c r="CM83" s="3">
        <v>46087</v>
      </c>
      <c r="CN83" s="1">
        <v>6.24</v>
      </c>
      <c r="CO83" s="3">
        <v>46086</v>
      </c>
      <c r="CP83" s="1">
        <v>5.8849999999999998</v>
      </c>
      <c r="CQ83" s="3">
        <v>46086</v>
      </c>
      <c r="CR83" s="1">
        <v>5.8650000000000002</v>
      </c>
      <c r="CS83" s="3">
        <v>46086</v>
      </c>
      <c r="CT83" s="1">
        <v>5.8650000000000002</v>
      </c>
    </row>
    <row r="84" spans="27:98" x14ac:dyDescent="0.2">
      <c r="AE84" s="3">
        <v>46086</v>
      </c>
      <c r="AF84" s="1">
        <v>3.75</v>
      </c>
      <c r="AG84" s="3">
        <v>46080</v>
      </c>
      <c r="AH84" s="1">
        <v>3.8</v>
      </c>
      <c r="AI84" s="3">
        <v>46086</v>
      </c>
      <c r="AJ84" s="2">
        <v>3.73</v>
      </c>
      <c r="AK84" s="3">
        <v>46086</v>
      </c>
      <c r="AL84" s="2">
        <v>3.69</v>
      </c>
      <c r="AM84" s="3">
        <v>46086</v>
      </c>
      <c r="AN84" s="2">
        <v>3.6749999999999998</v>
      </c>
      <c r="AO84" s="3">
        <v>46086</v>
      </c>
      <c r="AP84" s="2">
        <v>3.64</v>
      </c>
      <c r="AQ84" s="3">
        <v>46086</v>
      </c>
      <c r="AR84" s="2">
        <v>3.6850000000000001</v>
      </c>
      <c r="AS84" s="3">
        <v>46086</v>
      </c>
      <c r="AT84" s="2">
        <v>3.7425000000000002</v>
      </c>
      <c r="AU84" s="3">
        <v>46086</v>
      </c>
      <c r="AV84" s="2">
        <v>3.8025000000000002</v>
      </c>
      <c r="AW84" s="3">
        <v>46086</v>
      </c>
      <c r="AX84" s="2">
        <v>3.8574999999999999</v>
      </c>
      <c r="AY84" s="3">
        <v>46086</v>
      </c>
      <c r="AZ84" s="2">
        <v>3.8925000000000001</v>
      </c>
      <c r="BB84" s="3">
        <v>46080</v>
      </c>
      <c r="BC84" s="1">
        <v>3.5</v>
      </c>
      <c r="BD84" s="3">
        <v>46080</v>
      </c>
      <c r="BE84" s="1">
        <v>3.48</v>
      </c>
      <c r="BF84" s="3">
        <v>46086</v>
      </c>
      <c r="BG84" s="1">
        <v>3.53</v>
      </c>
      <c r="BH84" s="3">
        <v>46086</v>
      </c>
      <c r="BI84" s="1">
        <v>3.54</v>
      </c>
      <c r="BJ84" s="3">
        <v>46086</v>
      </c>
      <c r="BK84" s="1">
        <v>3.5449999999999999</v>
      </c>
      <c r="BL84" s="3">
        <v>46086</v>
      </c>
      <c r="BM84" s="1">
        <v>3.5550000000000002</v>
      </c>
      <c r="BN84" s="3">
        <v>46086</v>
      </c>
      <c r="BO84" s="1">
        <v>3.6280000000000001</v>
      </c>
      <c r="BP84" s="3">
        <v>46086</v>
      </c>
      <c r="BQ84" s="1">
        <v>3.7080000000000002</v>
      </c>
      <c r="BR84" s="3">
        <v>46086</v>
      </c>
      <c r="BS84" s="1">
        <v>3.77</v>
      </c>
      <c r="BT84" s="3">
        <v>46086</v>
      </c>
      <c r="BU84" s="1">
        <v>3.823</v>
      </c>
      <c r="BV84" s="3">
        <v>46086</v>
      </c>
      <c r="BW84" s="1">
        <v>3.8730000000000002</v>
      </c>
      <c r="BY84" s="3">
        <v>46084</v>
      </c>
      <c r="BZ84" s="1">
        <v>6.25</v>
      </c>
      <c r="CA84" s="3">
        <v>46080</v>
      </c>
      <c r="CB84" s="1">
        <v>6.15</v>
      </c>
      <c r="CC84" s="3">
        <v>46086</v>
      </c>
      <c r="CD84" s="1">
        <v>6.17</v>
      </c>
      <c r="CE84" s="3">
        <v>46086</v>
      </c>
      <c r="CF84" s="1">
        <v>6.16</v>
      </c>
      <c r="CG84" s="3">
        <v>46086</v>
      </c>
      <c r="CH84" s="1">
        <v>6.15</v>
      </c>
      <c r="CI84" s="3">
        <v>46086</v>
      </c>
      <c r="CJ84" s="1">
        <v>6.06</v>
      </c>
      <c r="CK84" s="3">
        <v>46086</v>
      </c>
      <c r="CL84" s="1">
        <v>5.96</v>
      </c>
      <c r="CM84" s="3">
        <v>46086</v>
      </c>
      <c r="CN84" s="1">
        <v>5.915</v>
      </c>
      <c r="CO84" s="3">
        <v>46085</v>
      </c>
      <c r="CP84" s="1">
        <v>5.68</v>
      </c>
      <c r="CQ84" s="3">
        <v>46085</v>
      </c>
      <c r="CR84" s="1">
        <v>5.66</v>
      </c>
      <c r="CS84" s="3">
        <v>46085</v>
      </c>
      <c r="CT84" s="1">
        <v>5.67</v>
      </c>
    </row>
    <row r="85" spans="27:98" x14ac:dyDescent="0.2">
      <c r="AE85" s="3">
        <v>46085</v>
      </c>
      <c r="AF85" s="1">
        <v>3.75</v>
      </c>
      <c r="AG85" s="3">
        <v>46079</v>
      </c>
      <c r="AH85" s="1">
        <v>3.84</v>
      </c>
      <c r="AI85" s="3">
        <v>46085</v>
      </c>
      <c r="AJ85" s="2">
        <v>3.74</v>
      </c>
      <c r="AK85" s="3">
        <v>46085</v>
      </c>
      <c r="AL85" s="2">
        <v>3.6924999999999999</v>
      </c>
      <c r="AM85" s="3">
        <v>46085</v>
      </c>
      <c r="AN85" s="2">
        <v>3.6575000000000002</v>
      </c>
      <c r="AO85" s="3">
        <v>46085</v>
      </c>
      <c r="AP85" s="2">
        <v>3.5924999999999998</v>
      </c>
      <c r="AQ85" s="3">
        <v>46085</v>
      </c>
      <c r="AR85" s="2">
        <v>3.5975000000000001</v>
      </c>
      <c r="AS85" s="3">
        <v>46085</v>
      </c>
      <c r="AT85" s="2">
        <v>3.6475</v>
      </c>
      <c r="AU85" s="3">
        <v>46085</v>
      </c>
      <c r="AV85" s="2">
        <v>3.6875</v>
      </c>
      <c r="AW85" s="3">
        <v>46085</v>
      </c>
      <c r="AX85" s="2">
        <v>3.7225000000000001</v>
      </c>
      <c r="AY85" s="3">
        <v>46085</v>
      </c>
      <c r="AZ85" s="2">
        <v>3.7574999999999998</v>
      </c>
      <c r="BB85" s="3">
        <v>46079</v>
      </c>
      <c r="BC85" s="1">
        <v>3.5</v>
      </c>
      <c r="BD85" s="3">
        <v>46079</v>
      </c>
      <c r="BE85" s="1">
        <v>3.48</v>
      </c>
      <c r="BF85" s="3">
        <v>46085</v>
      </c>
      <c r="BG85" s="1">
        <v>3.5150000000000001</v>
      </c>
      <c r="BH85" s="3">
        <v>46085</v>
      </c>
      <c r="BI85" s="1">
        <v>3.5179999999999998</v>
      </c>
      <c r="BJ85" s="3">
        <v>46085</v>
      </c>
      <c r="BK85" s="1">
        <v>3.5179999999999998</v>
      </c>
      <c r="BL85" s="3">
        <v>46085</v>
      </c>
      <c r="BM85" s="1">
        <v>3.4929999999999999</v>
      </c>
      <c r="BN85" s="3">
        <v>46085</v>
      </c>
      <c r="BO85" s="1">
        <v>3.5049999999999999</v>
      </c>
      <c r="BP85" s="3">
        <v>46085</v>
      </c>
      <c r="BQ85" s="1">
        <v>3.54</v>
      </c>
      <c r="BR85" s="3">
        <v>46085</v>
      </c>
      <c r="BS85" s="1">
        <v>3.585</v>
      </c>
      <c r="BT85" s="3">
        <v>46085</v>
      </c>
      <c r="BU85" s="1">
        <v>3.63</v>
      </c>
      <c r="BV85" s="3">
        <v>46085</v>
      </c>
      <c r="BW85" s="1">
        <v>3.673</v>
      </c>
      <c r="BY85" s="3">
        <v>46083</v>
      </c>
      <c r="BZ85" s="1">
        <v>6.25</v>
      </c>
      <c r="CA85" s="3">
        <v>46079</v>
      </c>
      <c r="CB85" s="1">
        <v>6.15</v>
      </c>
      <c r="CC85" s="3">
        <v>46085</v>
      </c>
      <c r="CD85" s="1">
        <v>6.15</v>
      </c>
      <c r="CE85" s="3">
        <v>46085</v>
      </c>
      <c r="CF85" s="1">
        <v>6.12</v>
      </c>
      <c r="CG85" s="3">
        <v>46085</v>
      </c>
      <c r="CH85" s="1">
        <v>6.1</v>
      </c>
      <c r="CI85" s="3">
        <v>46085</v>
      </c>
      <c r="CJ85" s="1">
        <v>5.95</v>
      </c>
      <c r="CK85" s="3">
        <v>46085</v>
      </c>
      <c r="CL85" s="1">
        <v>5.8</v>
      </c>
      <c r="CM85" s="3">
        <v>46085</v>
      </c>
      <c r="CN85" s="1">
        <v>5.72</v>
      </c>
      <c r="CO85" s="3">
        <v>46084</v>
      </c>
      <c r="CP85" s="1">
        <v>5.74</v>
      </c>
      <c r="CQ85" s="3">
        <v>46084</v>
      </c>
      <c r="CR85" s="1">
        <v>5.71</v>
      </c>
      <c r="CS85" s="3">
        <v>46084</v>
      </c>
      <c r="CT85" s="1">
        <v>5.71</v>
      </c>
    </row>
    <row r="86" spans="27:98" x14ac:dyDescent="0.2">
      <c r="AE86" s="3">
        <v>46084</v>
      </c>
      <c r="AF86" s="1">
        <v>4</v>
      </c>
      <c r="AG86" s="3">
        <v>46078</v>
      </c>
      <c r="AH86" s="1">
        <v>3.85</v>
      </c>
      <c r="AI86" s="3">
        <v>46084</v>
      </c>
      <c r="AJ86" s="2">
        <v>3.8824999999999998</v>
      </c>
      <c r="AK86" s="3">
        <v>46084</v>
      </c>
      <c r="AL86" s="2">
        <v>3.8224999999999998</v>
      </c>
      <c r="AM86" s="3">
        <v>46084</v>
      </c>
      <c r="AN86" s="2">
        <v>3.7725</v>
      </c>
      <c r="AO86" s="3">
        <v>46084</v>
      </c>
      <c r="AP86" s="2">
        <v>3.6825000000000001</v>
      </c>
      <c r="AQ86" s="3">
        <v>46084</v>
      </c>
      <c r="AR86" s="2">
        <v>3.6724999999999999</v>
      </c>
      <c r="AS86" s="3">
        <v>46084</v>
      </c>
      <c r="AT86" s="2">
        <v>3.7174999999999998</v>
      </c>
      <c r="AU86" s="3">
        <v>46084</v>
      </c>
      <c r="AV86" s="2">
        <v>3.7549999999999999</v>
      </c>
      <c r="AW86" s="3">
        <v>46084</v>
      </c>
      <c r="AX86" s="2">
        <v>3.79</v>
      </c>
      <c r="AY86" s="3">
        <v>46084</v>
      </c>
      <c r="AZ86" s="2">
        <v>3.82</v>
      </c>
      <c r="BB86" s="3">
        <v>46078</v>
      </c>
      <c r="BC86" s="1">
        <v>3.5</v>
      </c>
      <c r="BD86" s="3">
        <v>46078</v>
      </c>
      <c r="BE86" s="1">
        <v>3.48</v>
      </c>
      <c r="BF86" s="3">
        <v>46084</v>
      </c>
      <c r="BG86" s="1">
        <v>3.52</v>
      </c>
      <c r="BH86" s="3">
        <v>46084</v>
      </c>
      <c r="BI86" s="1">
        <v>3.53</v>
      </c>
      <c r="BJ86" s="3">
        <v>46084</v>
      </c>
      <c r="BK86" s="1">
        <v>3.5350000000000001</v>
      </c>
      <c r="BL86" s="3">
        <v>46084</v>
      </c>
      <c r="BM86" s="1">
        <v>3.5449999999999999</v>
      </c>
      <c r="BN86" s="3">
        <v>46084</v>
      </c>
      <c r="BO86" s="1">
        <v>3.5649999999999999</v>
      </c>
      <c r="BP86" s="3">
        <v>46084</v>
      </c>
      <c r="BQ86" s="1">
        <v>3.61</v>
      </c>
      <c r="BR86" s="3">
        <v>46084</v>
      </c>
      <c r="BS86" s="1">
        <v>3.65</v>
      </c>
      <c r="BT86" s="3">
        <v>46084</v>
      </c>
      <c r="BU86" s="1">
        <v>3.69</v>
      </c>
      <c r="BV86" s="3">
        <v>46084</v>
      </c>
      <c r="BW86" s="1">
        <v>3.7349999999999999</v>
      </c>
      <c r="BY86" s="3">
        <v>46080</v>
      </c>
      <c r="BZ86" s="1">
        <v>6.25</v>
      </c>
      <c r="CA86" s="3">
        <v>46078</v>
      </c>
      <c r="CB86" s="1">
        <v>6.16</v>
      </c>
      <c r="CC86" s="3">
        <v>46084</v>
      </c>
      <c r="CD86" s="1">
        <v>6.2009999999999996</v>
      </c>
      <c r="CE86" s="3">
        <v>46084</v>
      </c>
      <c r="CF86" s="1">
        <v>6.181</v>
      </c>
      <c r="CG86" s="3">
        <v>46084</v>
      </c>
      <c r="CH86" s="1">
        <v>6.16</v>
      </c>
      <c r="CI86" s="3">
        <v>46084</v>
      </c>
      <c r="CJ86" s="1">
        <v>6.02</v>
      </c>
      <c r="CK86" s="3">
        <v>46084</v>
      </c>
      <c r="CL86" s="1">
        <v>5.87</v>
      </c>
      <c r="CM86" s="3">
        <v>46084</v>
      </c>
      <c r="CN86" s="1">
        <v>5.79</v>
      </c>
      <c r="CO86" s="3">
        <v>46083</v>
      </c>
      <c r="CP86" s="1">
        <v>5.4349999999999996</v>
      </c>
      <c r="CQ86" s="3">
        <v>46083</v>
      </c>
      <c r="CR86" s="1">
        <v>5.4050000000000002</v>
      </c>
      <c r="CS86" s="3">
        <v>46083</v>
      </c>
      <c r="CT86" s="1">
        <v>5.4050000000000002</v>
      </c>
    </row>
    <row r="87" spans="27:98" x14ac:dyDescent="0.2">
      <c r="AE87" s="3">
        <v>46083</v>
      </c>
      <c r="AF87" s="1">
        <v>4</v>
      </c>
      <c r="AG87" s="3">
        <v>46077</v>
      </c>
      <c r="AH87" s="1">
        <v>3.82</v>
      </c>
      <c r="AI87" s="3">
        <v>46083</v>
      </c>
      <c r="AJ87" s="2">
        <v>3.78</v>
      </c>
      <c r="AK87" s="3">
        <v>46083</v>
      </c>
      <c r="AL87" s="2">
        <v>3.7</v>
      </c>
      <c r="AM87" s="3">
        <v>46083</v>
      </c>
      <c r="AN87" s="2">
        <v>3.625</v>
      </c>
      <c r="AO87" s="3">
        <v>46083</v>
      </c>
      <c r="AP87" s="2">
        <v>3.5150000000000001</v>
      </c>
      <c r="AQ87" s="3">
        <v>46083</v>
      </c>
      <c r="AR87" s="2">
        <v>3.4925000000000002</v>
      </c>
      <c r="AS87" s="3">
        <v>46083</v>
      </c>
      <c r="AT87" s="2">
        <v>3.5249999999999999</v>
      </c>
      <c r="AU87" s="3">
        <v>46083</v>
      </c>
      <c r="AV87" s="2">
        <v>3.56</v>
      </c>
      <c r="AW87" s="3">
        <v>46083</v>
      </c>
      <c r="AX87" s="2">
        <v>3.5924999999999998</v>
      </c>
      <c r="AY87" s="3">
        <v>46083</v>
      </c>
      <c r="AZ87" s="2">
        <v>3.6274999999999999</v>
      </c>
      <c r="BB87" s="3">
        <v>46077</v>
      </c>
      <c r="BC87" s="1">
        <v>3.5</v>
      </c>
      <c r="BD87" s="3">
        <v>46077</v>
      </c>
      <c r="BE87" s="1">
        <v>3.48</v>
      </c>
      <c r="BF87" s="3">
        <v>46083</v>
      </c>
      <c r="BG87" s="1">
        <v>3.48</v>
      </c>
      <c r="BH87" s="3">
        <v>46083</v>
      </c>
      <c r="BI87" s="1">
        <v>3.46</v>
      </c>
      <c r="BJ87" s="3">
        <v>46083</v>
      </c>
      <c r="BK87" s="1">
        <v>3.43</v>
      </c>
      <c r="BL87" s="3">
        <v>46083</v>
      </c>
      <c r="BM87" s="1">
        <v>3.375</v>
      </c>
      <c r="BN87" s="3">
        <v>46083</v>
      </c>
      <c r="BO87" s="1">
        <v>3.3650000000000002</v>
      </c>
      <c r="BP87" s="3">
        <v>46083</v>
      </c>
      <c r="BQ87" s="1">
        <v>3.395</v>
      </c>
      <c r="BR87" s="3">
        <v>46083</v>
      </c>
      <c r="BS87" s="1">
        <v>3.43</v>
      </c>
      <c r="BT87" s="3">
        <v>46083</v>
      </c>
      <c r="BU87" s="1">
        <v>3.4649999999999999</v>
      </c>
      <c r="BV87" s="3">
        <v>46083</v>
      </c>
      <c r="BW87" s="1">
        <v>3.5230000000000001</v>
      </c>
      <c r="BY87" s="3">
        <v>46079</v>
      </c>
      <c r="BZ87" s="1">
        <v>6.25</v>
      </c>
      <c r="CA87" s="3">
        <v>46077</v>
      </c>
      <c r="CB87" s="1">
        <v>6.25</v>
      </c>
      <c r="CC87" s="3">
        <v>46083</v>
      </c>
      <c r="CD87" s="1">
        <v>6.0709999999999997</v>
      </c>
      <c r="CE87" s="3">
        <v>46083</v>
      </c>
      <c r="CF87" s="1">
        <v>6.0019999999999998</v>
      </c>
      <c r="CG87" s="3">
        <v>46083</v>
      </c>
      <c r="CH87" s="1">
        <v>5.98</v>
      </c>
      <c r="CI87" s="3">
        <v>46083</v>
      </c>
      <c r="CJ87" s="1">
        <v>5.79</v>
      </c>
      <c r="CK87" s="3">
        <v>46083</v>
      </c>
      <c r="CL87" s="1">
        <v>5.62</v>
      </c>
      <c r="CM87" s="3">
        <v>46083</v>
      </c>
      <c r="CN87" s="1">
        <v>5.4850000000000003</v>
      </c>
      <c r="CO87" s="3">
        <v>46080</v>
      </c>
      <c r="CP87" s="1">
        <v>5.3</v>
      </c>
      <c r="CQ87" s="3">
        <v>46080</v>
      </c>
      <c r="CR87" s="1">
        <v>5.27</v>
      </c>
      <c r="CS87" s="3">
        <v>46080</v>
      </c>
      <c r="CT87" s="1">
        <v>5.27</v>
      </c>
    </row>
    <row r="88" spans="27:98" x14ac:dyDescent="0.2">
      <c r="AE88" s="3">
        <v>46080</v>
      </c>
      <c r="AF88" s="1">
        <v>4</v>
      </c>
      <c r="AG88" s="3">
        <v>46076</v>
      </c>
      <c r="AH88" s="1">
        <v>3.81</v>
      </c>
      <c r="AI88" s="3">
        <v>46080</v>
      </c>
      <c r="AJ88" s="2">
        <v>3.72</v>
      </c>
      <c r="AK88" s="3">
        <v>46080</v>
      </c>
      <c r="AL88" s="2">
        <v>3.6274999999999999</v>
      </c>
      <c r="AM88" s="3">
        <v>46080</v>
      </c>
      <c r="AN88" s="2">
        <v>3.5525000000000002</v>
      </c>
      <c r="AO88" s="3">
        <v>46080</v>
      </c>
      <c r="AP88" s="2">
        <v>3.415</v>
      </c>
      <c r="AQ88" s="3">
        <v>46080</v>
      </c>
      <c r="AR88" s="2">
        <v>3.38</v>
      </c>
      <c r="AS88" s="3">
        <v>46080</v>
      </c>
      <c r="AT88" s="2">
        <v>3.4024999999999999</v>
      </c>
      <c r="AU88" s="3">
        <v>46080</v>
      </c>
      <c r="AV88" s="2">
        <v>3.43</v>
      </c>
      <c r="AW88" s="3">
        <v>46080</v>
      </c>
      <c r="AX88" s="2">
        <v>3.46</v>
      </c>
      <c r="AY88" s="3">
        <v>46080</v>
      </c>
      <c r="AZ88" s="2">
        <v>3.4975000000000001</v>
      </c>
      <c r="BB88" s="3">
        <v>46076</v>
      </c>
      <c r="BC88" s="1">
        <v>3.5</v>
      </c>
      <c r="BD88" s="3">
        <v>46076</v>
      </c>
      <c r="BE88" s="1">
        <v>3.48</v>
      </c>
      <c r="BF88" s="3">
        <v>46080</v>
      </c>
      <c r="BG88" s="1">
        <v>3.44</v>
      </c>
      <c r="BH88" s="3">
        <v>46080</v>
      </c>
      <c r="BI88" s="1">
        <v>3.4249999999999998</v>
      </c>
      <c r="BJ88" s="3">
        <v>46080</v>
      </c>
      <c r="BK88" s="1">
        <v>3.36</v>
      </c>
      <c r="BL88" s="3">
        <v>46080</v>
      </c>
      <c r="BM88" s="1">
        <v>3.26</v>
      </c>
      <c r="BN88" s="3">
        <v>46080</v>
      </c>
      <c r="BO88" s="1">
        <v>3.2250000000000001</v>
      </c>
      <c r="BP88" s="3">
        <v>46080</v>
      </c>
      <c r="BQ88" s="1">
        <v>3.24</v>
      </c>
      <c r="BR88" s="3">
        <v>46080</v>
      </c>
      <c r="BS88" s="1">
        <v>3.26</v>
      </c>
      <c r="BT88" s="3">
        <v>46080</v>
      </c>
      <c r="BU88" s="1">
        <v>3.29</v>
      </c>
      <c r="BV88" s="3">
        <v>46080</v>
      </c>
      <c r="BW88" s="1">
        <v>3.35</v>
      </c>
      <c r="BY88" s="3">
        <v>46078</v>
      </c>
      <c r="BZ88" s="1">
        <v>6.25</v>
      </c>
      <c r="CA88" s="3">
        <v>46076</v>
      </c>
      <c r="CB88" s="1">
        <v>6.26</v>
      </c>
      <c r="CC88" s="3">
        <v>46080</v>
      </c>
      <c r="CD88" s="1">
        <v>6.0039999999999996</v>
      </c>
      <c r="CE88" s="3">
        <v>46080</v>
      </c>
      <c r="CF88" s="1">
        <v>5.8979999999999997</v>
      </c>
      <c r="CG88" s="3">
        <v>46080</v>
      </c>
      <c r="CH88" s="1">
        <v>5.86</v>
      </c>
      <c r="CI88" s="3">
        <v>46080</v>
      </c>
      <c r="CJ88" s="1">
        <v>5.66</v>
      </c>
      <c r="CK88" s="3">
        <v>46080</v>
      </c>
      <c r="CL88" s="1">
        <v>5.46</v>
      </c>
      <c r="CM88" s="3">
        <v>46080</v>
      </c>
      <c r="CN88" s="1">
        <v>5.35</v>
      </c>
      <c r="CO88" s="3">
        <v>46079</v>
      </c>
      <c r="CP88" s="1">
        <v>5.28</v>
      </c>
      <c r="CQ88" s="3">
        <v>46079</v>
      </c>
      <c r="CR88" s="1">
        <v>5.25</v>
      </c>
      <c r="CS88" s="3">
        <v>46079</v>
      </c>
      <c r="CT88" s="1">
        <v>5.25</v>
      </c>
    </row>
    <row r="89" spans="27:98" x14ac:dyDescent="0.2">
      <c r="AE89" s="3">
        <v>46079</v>
      </c>
      <c r="AF89" s="1">
        <v>4</v>
      </c>
      <c r="AG89" s="3">
        <v>46073</v>
      </c>
      <c r="AH89" s="1">
        <v>3.82</v>
      </c>
      <c r="AI89" s="3">
        <v>46079</v>
      </c>
      <c r="AJ89" s="2">
        <v>3.7275</v>
      </c>
      <c r="AK89" s="3">
        <v>46079</v>
      </c>
      <c r="AL89" s="2">
        <v>3.6274999999999999</v>
      </c>
      <c r="AM89" s="3">
        <v>46079</v>
      </c>
      <c r="AN89" s="2">
        <v>3.5474999999999999</v>
      </c>
      <c r="AO89" s="3">
        <v>46079</v>
      </c>
      <c r="AP89" s="2">
        <v>3.41</v>
      </c>
      <c r="AQ89" s="3">
        <v>46079</v>
      </c>
      <c r="AR89" s="2">
        <v>3.3774999999999999</v>
      </c>
      <c r="AS89" s="3">
        <v>46079</v>
      </c>
      <c r="AT89" s="2">
        <v>3.4</v>
      </c>
      <c r="AU89" s="3">
        <v>46079</v>
      </c>
      <c r="AV89" s="2">
        <v>3.4275000000000002</v>
      </c>
      <c r="AW89" s="3">
        <v>46079</v>
      </c>
      <c r="AX89" s="2">
        <v>3.4624999999999999</v>
      </c>
      <c r="AY89" s="3">
        <v>46079</v>
      </c>
      <c r="AZ89" s="2">
        <v>3.5024999999999999</v>
      </c>
      <c r="BB89" s="3">
        <v>46073</v>
      </c>
      <c r="BC89" s="1">
        <v>3.5</v>
      </c>
      <c r="BD89" s="3">
        <v>46073</v>
      </c>
      <c r="BE89" s="1">
        <v>3.48</v>
      </c>
      <c r="BF89" s="3">
        <v>46079</v>
      </c>
      <c r="BG89" s="1">
        <v>3.44</v>
      </c>
      <c r="BH89" s="3">
        <v>46079</v>
      </c>
      <c r="BI89" s="1">
        <v>3.4249999999999998</v>
      </c>
      <c r="BJ89" s="3">
        <v>46079</v>
      </c>
      <c r="BK89" s="1">
        <v>3.36</v>
      </c>
      <c r="BL89" s="3">
        <v>46079</v>
      </c>
      <c r="BM89" s="1">
        <v>3.26</v>
      </c>
      <c r="BN89" s="3">
        <v>46079</v>
      </c>
      <c r="BO89" s="1">
        <v>3.22</v>
      </c>
      <c r="BP89" s="3">
        <v>46079</v>
      </c>
      <c r="BQ89" s="1">
        <v>3.2330000000000001</v>
      </c>
      <c r="BR89" s="3">
        <v>46079</v>
      </c>
      <c r="BS89" s="1">
        <v>3.2450000000000001</v>
      </c>
      <c r="BT89" s="3">
        <v>46079</v>
      </c>
      <c r="BU89" s="1">
        <v>3.278</v>
      </c>
      <c r="BV89" s="3">
        <v>46079</v>
      </c>
      <c r="BW89" s="1">
        <v>3.335</v>
      </c>
      <c r="BY89" s="3">
        <v>46077</v>
      </c>
      <c r="BZ89" s="1">
        <v>6.5</v>
      </c>
      <c r="CA89" s="3">
        <v>46073</v>
      </c>
      <c r="CB89" s="1">
        <v>6.27</v>
      </c>
      <c r="CC89" s="3">
        <v>46079</v>
      </c>
      <c r="CD89" s="1">
        <v>6.0049999999999999</v>
      </c>
      <c r="CE89" s="3">
        <v>46079</v>
      </c>
      <c r="CF89" s="1">
        <v>5.9089999999999998</v>
      </c>
      <c r="CG89" s="3">
        <v>46079</v>
      </c>
      <c r="CH89" s="1">
        <v>5.85</v>
      </c>
      <c r="CI89" s="3">
        <v>46079</v>
      </c>
      <c r="CJ89" s="1">
        <v>5.6449999999999996</v>
      </c>
      <c r="CK89" s="3">
        <v>46079</v>
      </c>
      <c r="CL89" s="1">
        <v>5.4450000000000003</v>
      </c>
      <c r="CM89" s="3">
        <v>46079</v>
      </c>
      <c r="CN89" s="1">
        <v>5.33</v>
      </c>
      <c r="CO89" s="3">
        <v>46078</v>
      </c>
      <c r="CP89" s="1">
        <v>5.32</v>
      </c>
      <c r="CQ89" s="3">
        <v>46078</v>
      </c>
      <c r="CR89" s="1">
        <v>5.29</v>
      </c>
      <c r="CS89" s="3">
        <v>46078</v>
      </c>
      <c r="CT89" s="1">
        <v>5.29</v>
      </c>
    </row>
    <row r="90" spans="27:98" x14ac:dyDescent="0.2">
      <c r="AE90" s="3">
        <v>46078</v>
      </c>
      <c r="AF90" s="1">
        <v>4</v>
      </c>
      <c r="AG90" s="3">
        <v>46072</v>
      </c>
      <c r="AH90" s="1">
        <v>3.85</v>
      </c>
      <c r="AI90" s="3">
        <v>46078</v>
      </c>
      <c r="AJ90" s="2">
        <v>3.7124999999999999</v>
      </c>
      <c r="AK90" s="3">
        <v>46078</v>
      </c>
      <c r="AL90" s="2">
        <v>3.61</v>
      </c>
      <c r="AM90" s="3">
        <v>46078</v>
      </c>
      <c r="AN90" s="2">
        <v>3.5325000000000002</v>
      </c>
      <c r="AO90" s="3">
        <v>46078</v>
      </c>
      <c r="AP90" s="2">
        <v>3.39</v>
      </c>
      <c r="AQ90" s="3">
        <v>46078</v>
      </c>
      <c r="AR90" s="2">
        <v>3.3574999999999999</v>
      </c>
      <c r="AS90" s="3">
        <v>46078</v>
      </c>
      <c r="AT90" s="2">
        <v>3.38</v>
      </c>
      <c r="AU90" s="3">
        <v>46078</v>
      </c>
      <c r="AV90" s="2">
        <v>3.4075000000000002</v>
      </c>
      <c r="AW90" s="3">
        <v>46078</v>
      </c>
      <c r="AX90" s="2">
        <v>3.4424999999999999</v>
      </c>
      <c r="AY90" s="3">
        <v>46078</v>
      </c>
      <c r="AZ90" s="2">
        <v>3.4824999999999999</v>
      </c>
      <c r="BB90" s="3">
        <v>46072</v>
      </c>
      <c r="BC90" s="1">
        <v>3.5</v>
      </c>
      <c r="BD90" s="3">
        <v>46072</v>
      </c>
      <c r="BE90" s="1">
        <v>3.48</v>
      </c>
      <c r="BF90" s="3">
        <v>46078</v>
      </c>
      <c r="BG90" s="1">
        <v>3.44</v>
      </c>
      <c r="BH90" s="3">
        <v>46078</v>
      </c>
      <c r="BI90" s="1">
        <v>3.423</v>
      </c>
      <c r="BJ90" s="3">
        <v>46078</v>
      </c>
      <c r="BK90" s="1">
        <v>3.36</v>
      </c>
      <c r="BL90" s="3">
        <v>46078</v>
      </c>
      <c r="BM90" s="1">
        <v>3.2730000000000001</v>
      </c>
      <c r="BN90" s="3">
        <v>46078</v>
      </c>
      <c r="BO90" s="1">
        <v>3.2349999999999999</v>
      </c>
      <c r="BP90" s="3">
        <v>46078</v>
      </c>
      <c r="BQ90" s="1">
        <v>3.2450000000000001</v>
      </c>
      <c r="BR90" s="3">
        <v>46078</v>
      </c>
      <c r="BS90" s="1">
        <v>3.2650000000000001</v>
      </c>
      <c r="BT90" s="3">
        <v>46078</v>
      </c>
      <c r="BU90" s="1">
        <v>3.3</v>
      </c>
      <c r="BV90" s="3">
        <v>46078</v>
      </c>
      <c r="BW90" s="1">
        <v>3.36</v>
      </c>
      <c r="BY90" s="3">
        <v>46076</v>
      </c>
      <c r="BZ90" s="1">
        <v>6.5</v>
      </c>
      <c r="CA90" s="3">
        <v>46072</v>
      </c>
      <c r="CB90" s="1">
        <v>6.27</v>
      </c>
      <c r="CC90" s="3">
        <v>46078</v>
      </c>
      <c r="CD90" s="1">
        <v>6.0289000000000001</v>
      </c>
      <c r="CE90" s="3">
        <v>46078</v>
      </c>
      <c r="CF90" s="1">
        <v>5.9591000000000003</v>
      </c>
      <c r="CG90" s="3">
        <v>46078</v>
      </c>
      <c r="CH90" s="1">
        <v>5.8598999999999997</v>
      </c>
      <c r="CI90" s="3">
        <v>46078</v>
      </c>
      <c r="CJ90" s="1">
        <v>5.68</v>
      </c>
      <c r="CK90" s="3">
        <v>46078</v>
      </c>
      <c r="CL90" s="1">
        <v>5.4901</v>
      </c>
      <c r="CM90" s="3">
        <v>46078</v>
      </c>
      <c r="CN90" s="1">
        <v>5.37</v>
      </c>
      <c r="CO90" s="3">
        <v>46077</v>
      </c>
      <c r="CP90" s="1">
        <v>5.37</v>
      </c>
      <c r="CQ90" s="3">
        <v>46077</v>
      </c>
      <c r="CR90" s="1">
        <v>5.34</v>
      </c>
      <c r="CS90" s="3">
        <v>46077</v>
      </c>
      <c r="CT90" s="1">
        <v>5.34</v>
      </c>
    </row>
    <row r="91" spans="27:98" x14ac:dyDescent="0.2">
      <c r="AE91" s="3">
        <v>46077</v>
      </c>
      <c r="AF91" s="1">
        <v>4</v>
      </c>
      <c r="AG91" s="3">
        <v>46071</v>
      </c>
      <c r="AH91" s="1">
        <v>3.85</v>
      </c>
      <c r="AI91" s="3">
        <v>46077</v>
      </c>
      <c r="AJ91" s="2">
        <v>3.7250000000000001</v>
      </c>
      <c r="AK91" s="3">
        <v>46077</v>
      </c>
      <c r="AL91" s="2">
        <v>3.6150000000000002</v>
      </c>
      <c r="AM91" s="3">
        <v>46077</v>
      </c>
      <c r="AN91" s="2">
        <v>3.53</v>
      </c>
      <c r="AO91" s="3">
        <v>46077</v>
      </c>
      <c r="AP91" s="2">
        <v>3.39</v>
      </c>
      <c r="AQ91" s="3">
        <v>46077</v>
      </c>
      <c r="AR91" s="2">
        <v>3.36</v>
      </c>
      <c r="AS91" s="3">
        <v>46077</v>
      </c>
      <c r="AT91" s="2">
        <v>3.3875000000000002</v>
      </c>
      <c r="AU91" s="3">
        <v>46077</v>
      </c>
      <c r="AV91" s="2">
        <v>3.4125000000000001</v>
      </c>
      <c r="AW91" s="3">
        <v>46077</v>
      </c>
      <c r="AX91" s="2">
        <v>3.4474999999999998</v>
      </c>
      <c r="AY91" s="3">
        <v>46077</v>
      </c>
      <c r="AZ91" s="2">
        <v>3.4874999999999998</v>
      </c>
      <c r="BB91" s="3">
        <v>46071</v>
      </c>
      <c r="BC91" s="1">
        <v>3.5</v>
      </c>
      <c r="BD91" s="3">
        <v>46071</v>
      </c>
      <c r="BE91" s="1">
        <v>3.48</v>
      </c>
      <c r="BF91" s="3">
        <v>46077</v>
      </c>
      <c r="BG91" s="1">
        <v>3.4449999999999998</v>
      </c>
      <c r="BH91" s="3">
        <v>46077</v>
      </c>
      <c r="BI91" s="1">
        <v>3.4289999999999998</v>
      </c>
      <c r="BJ91" s="3">
        <v>46077</v>
      </c>
      <c r="BK91" s="1">
        <v>3.3780000000000001</v>
      </c>
      <c r="BL91" s="3">
        <v>46077</v>
      </c>
      <c r="BM91" s="1">
        <v>3.2949999999999999</v>
      </c>
      <c r="BN91" s="3">
        <v>46077</v>
      </c>
      <c r="BO91" s="1">
        <v>3.2650000000000001</v>
      </c>
      <c r="BP91" s="3">
        <v>46077</v>
      </c>
      <c r="BQ91" s="1">
        <v>3.278</v>
      </c>
      <c r="BR91" s="3">
        <v>46077</v>
      </c>
      <c r="BS91" s="1">
        <v>3.31</v>
      </c>
      <c r="BT91" s="3">
        <v>46077</v>
      </c>
      <c r="BU91" s="1">
        <v>3.35</v>
      </c>
      <c r="BV91" s="3">
        <v>46077</v>
      </c>
      <c r="BW91" s="1">
        <v>3.4180000000000001</v>
      </c>
      <c r="BY91" s="3">
        <v>46073</v>
      </c>
      <c r="BZ91" s="1">
        <v>6.5</v>
      </c>
      <c r="CA91" s="3">
        <v>46071</v>
      </c>
      <c r="CB91" s="1">
        <v>6.28</v>
      </c>
      <c r="CC91" s="3">
        <v>46077</v>
      </c>
      <c r="CD91" s="1">
        <v>6.11</v>
      </c>
      <c r="CE91" s="3">
        <v>46077</v>
      </c>
      <c r="CF91" s="1">
        <v>6</v>
      </c>
      <c r="CG91" s="3">
        <v>46077</v>
      </c>
      <c r="CH91" s="1">
        <v>5.9</v>
      </c>
      <c r="CI91" s="3">
        <v>46077</v>
      </c>
      <c r="CJ91" s="1">
        <v>5.72</v>
      </c>
      <c r="CK91" s="3">
        <v>46077</v>
      </c>
      <c r="CL91" s="1">
        <v>5.53</v>
      </c>
      <c r="CM91" s="3">
        <v>46077</v>
      </c>
      <c r="CN91" s="1">
        <v>5.42</v>
      </c>
      <c r="CO91" s="3">
        <v>46076</v>
      </c>
      <c r="CP91" s="1">
        <v>5.37</v>
      </c>
      <c r="CQ91" s="3">
        <v>46076</v>
      </c>
      <c r="CR91" s="1">
        <v>5.34</v>
      </c>
      <c r="CS91" s="3">
        <v>46076</v>
      </c>
      <c r="CT91" s="1">
        <v>5.34</v>
      </c>
    </row>
    <row r="92" spans="27:98" x14ac:dyDescent="0.2">
      <c r="AE92" s="3">
        <v>46076</v>
      </c>
      <c r="AF92" s="1">
        <v>4</v>
      </c>
      <c r="AG92" s="3">
        <v>46070</v>
      </c>
      <c r="AH92" s="1">
        <v>3.85</v>
      </c>
      <c r="AI92" s="3">
        <v>46076</v>
      </c>
      <c r="AJ92" s="2">
        <v>3.72</v>
      </c>
      <c r="AK92" s="3">
        <v>46076</v>
      </c>
      <c r="AL92" s="2">
        <v>3.6124999999999998</v>
      </c>
      <c r="AM92" s="3">
        <v>46076</v>
      </c>
      <c r="AN92" s="2">
        <v>3.5274999999999999</v>
      </c>
      <c r="AO92" s="3">
        <v>46076</v>
      </c>
      <c r="AP92" s="2">
        <v>3.3824999999999998</v>
      </c>
      <c r="AQ92" s="3">
        <v>46076</v>
      </c>
      <c r="AR92" s="2">
        <v>3.35</v>
      </c>
      <c r="AS92" s="3">
        <v>46076</v>
      </c>
      <c r="AT92" s="2">
        <v>3.3725000000000001</v>
      </c>
      <c r="AU92" s="3">
        <v>46076</v>
      </c>
      <c r="AV92" s="2">
        <v>3.4024999999999999</v>
      </c>
      <c r="AW92" s="3">
        <v>46076</v>
      </c>
      <c r="AX92" s="2">
        <v>3.44</v>
      </c>
      <c r="AY92" s="3">
        <v>46076</v>
      </c>
      <c r="AZ92" s="2">
        <v>3.4824999999999999</v>
      </c>
      <c r="BB92" s="3">
        <v>46070</v>
      </c>
      <c r="BC92" s="1">
        <v>3.5</v>
      </c>
      <c r="BD92" s="3">
        <v>46070</v>
      </c>
      <c r="BE92" s="1">
        <v>3.48</v>
      </c>
      <c r="BF92" s="3">
        <v>46076</v>
      </c>
      <c r="BG92" s="1">
        <v>3.4449999999999998</v>
      </c>
      <c r="BH92" s="3">
        <v>46076</v>
      </c>
      <c r="BI92" s="1">
        <v>3.4279999999999999</v>
      </c>
      <c r="BJ92" s="3">
        <v>46076</v>
      </c>
      <c r="BK92" s="1">
        <v>3.375</v>
      </c>
      <c r="BL92" s="3">
        <v>46076</v>
      </c>
      <c r="BM92" s="1">
        <v>3.29</v>
      </c>
      <c r="BN92" s="3">
        <v>46076</v>
      </c>
      <c r="BO92" s="1">
        <v>3.2650000000000001</v>
      </c>
      <c r="BP92" s="3">
        <v>46076</v>
      </c>
      <c r="BQ92" s="1">
        <v>3.2749999999999999</v>
      </c>
      <c r="BR92" s="3">
        <v>46076</v>
      </c>
      <c r="BS92" s="1">
        <v>3.31</v>
      </c>
      <c r="BT92" s="3">
        <v>46076</v>
      </c>
      <c r="BU92" s="1">
        <v>3.3479999999999999</v>
      </c>
      <c r="BV92" s="3">
        <v>46076</v>
      </c>
      <c r="BW92" s="1">
        <v>3.415</v>
      </c>
      <c r="BY92" s="3">
        <v>46072</v>
      </c>
      <c r="BZ92" s="1">
        <v>6.5</v>
      </c>
      <c r="CA92" s="3">
        <v>46070</v>
      </c>
      <c r="CB92" s="1">
        <v>6.29</v>
      </c>
      <c r="CC92" s="3">
        <v>46076</v>
      </c>
      <c r="CD92" s="1">
        <v>6.1</v>
      </c>
      <c r="CE92" s="3">
        <v>46076</v>
      </c>
      <c r="CF92" s="1">
        <v>5.99</v>
      </c>
      <c r="CG92" s="3">
        <v>46076</v>
      </c>
      <c r="CH92" s="1">
        <v>5.89</v>
      </c>
      <c r="CI92" s="3">
        <v>46076</v>
      </c>
      <c r="CJ92" s="1">
        <v>5.7</v>
      </c>
      <c r="CK92" s="3">
        <v>46076</v>
      </c>
      <c r="CL92" s="1">
        <v>5.53</v>
      </c>
      <c r="CM92" s="3">
        <v>46076</v>
      </c>
      <c r="CN92" s="1">
        <v>5.42</v>
      </c>
      <c r="CO92" s="3">
        <v>46073</v>
      </c>
      <c r="CP92" s="1">
        <v>5.4</v>
      </c>
      <c r="CQ92" s="3">
        <v>46073</v>
      </c>
      <c r="CR92" s="1">
        <v>5.3949999999999996</v>
      </c>
      <c r="CS92" s="3">
        <v>46073</v>
      </c>
      <c r="CT92" s="1">
        <v>5.4050000000000002</v>
      </c>
    </row>
    <row r="93" spans="27:98" x14ac:dyDescent="0.2">
      <c r="AE93" s="3">
        <v>46073</v>
      </c>
      <c r="AF93" s="1">
        <v>4</v>
      </c>
      <c r="AG93" s="3">
        <v>46069</v>
      </c>
      <c r="AH93" s="1">
        <v>3.86</v>
      </c>
      <c r="AI93" s="3">
        <v>46073</v>
      </c>
      <c r="AJ93" s="2">
        <v>3.7250000000000001</v>
      </c>
      <c r="AK93" s="3">
        <v>46073</v>
      </c>
      <c r="AL93" s="2">
        <v>3.62</v>
      </c>
      <c r="AM93" s="3">
        <v>46073</v>
      </c>
      <c r="AN93" s="2">
        <v>3.54</v>
      </c>
      <c r="AO93" s="3">
        <v>46073</v>
      </c>
      <c r="AP93" s="2">
        <v>3.395</v>
      </c>
      <c r="AQ93" s="3">
        <v>46073</v>
      </c>
      <c r="AR93" s="2">
        <v>3.3574999999999999</v>
      </c>
      <c r="AS93" s="3">
        <v>46073</v>
      </c>
      <c r="AT93" s="2">
        <v>3.38</v>
      </c>
      <c r="AU93" s="3">
        <v>46073</v>
      </c>
      <c r="AV93" s="2">
        <v>3.41</v>
      </c>
      <c r="AW93" s="3">
        <v>46073</v>
      </c>
      <c r="AX93" s="2">
        <v>3.4474999999999998</v>
      </c>
      <c r="AY93" s="3">
        <v>46073</v>
      </c>
      <c r="AZ93" s="2">
        <v>3.4950000000000001</v>
      </c>
      <c r="BB93" s="3">
        <v>46069</v>
      </c>
      <c r="BC93" s="1">
        <v>3.5</v>
      </c>
      <c r="BD93" s="3">
        <v>46069</v>
      </c>
      <c r="BE93" s="1">
        <v>3.48</v>
      </c>
      <c r="BF93" s="3">
        <v>46073</v>
      </c>
      <c r="BG93" s="1">
        <v>3.4449999999999998</v>
      </c>
      <c r="BH93" s="3">
        <v>46073</v>
      </c>
      <c r="BI93" s="1">
        <v>3.4289999999999998</v>
      </c>
      <c r="BJ93" s="3">
        <v>46073</v>
      </c>
      <c r="BK93" s="1">
        <v>3.383</v>
      </c>
      <c r="BL93" s="3">
        <v>46073</v>
      </c>
      <c r="BM93" s="1">
        <v>3.3029999999999999</v>
      </c>
      <c r="BN93" s="3">
        <v>46073</v>
      </c>
      <c r="BO93" s="1">
        <v>3.278</v>
      </c>
      <c r="BP93" s="3">
        <v>46073</v>
      </c>
      <c r="BQ93" s="1">
        <v>3.298</v>
      </c>
      <c r="BR93" s="3">
        <v>46073</v>
      </c>
      <c r="BS93" s="1">
        <v>3.34</v>
      </c>
      <c r="BT93" s="3">
        <v>46073</v>
      </c>
      <c r="BU93" s="1">
        <v>3.3849999999999998</v>
      </c>
      <c r="BV93" s="3">
        <v>46073</v>
      </c>
      <c r="BW93" s="1">
        <v>3.4449999999999998</v>
      </c>
      <c r="BY93" s="3">
        <v>46071</v>
      </c>
      <c r="BZ93" s="1">
        <v>6.5</v>
      </c>
      <c r="CA93" s="3">
        <v>46069</v>
      </c>
      <c r="CB93" s="1">
        <v>6.3</v>
      </c>
      <c r="CC93" s="3">
        <v>46073</v>
      </c>
      <c r="CD93" s="1">
        <v>6.1219999999999999</v>
      </c>
      <c r="CE93" s="3">
        <v>46073</v>
      </c>
      <c r="CF93" s="1">
        <v>5.9960000000000004</v>
      </c>
      <c r="CG93" s="3">
        <v>46073</v>
      </c>
      <c r="CH93" s="1">
        <v>5.9</v>
      </c>
      <c r="CI93" s="3">
        <v>46073</v>
      </c>
      <c r="CJ93" s="1">
        <v>5.71</v>
      </c>
      <c r="CK93" s="3">
        <v>46073</v>
      </c>
      <c r="CL93" s="1">
        <v>5.54</v>
      </c>
      <c r="CM93" s="3">
        <v>46073</v>
      </c>
      <c r="CN93" s="1">
        <v>5.44</v>
      </c>
      <c r="CO93" s="3">
        <v>46072</v>
      </c>
      <c r="CP93" s="1">
        <v>5.3550000000000004</v>
      </c>
      <c r="CQ93" s="3">
        <v>46072</v>
      </c>
      <c r="CR93" s="1">
        <v>5.35</v>
      </c>
      <c r="CS93" s="3">
        <v>46072</v>
      </c>
      <c r="CT93" s="1">
        <v>5.36</v>
      </c>
    </row>
    <row r="94" spans="27:98" x14ac:dyDescent="0.2">
      <c r="AE94" s="3">
        <v>46072</v>
      </c>
      <c r="AF94" s="1">
        <v>4</v>
      </c>
      <c r="AG94" s="3">
        <v>46066</v>
      </c>
      <c r="AH94" s="1">
        <v>3.86</v>
      </c>
      <c r="AI94" s="3">
        <v>46072</v>
      </c>
      <c r="AJ94" s="2">
        <v>3.7349999999999999</v>
      </c>
      <c r="AK94" s="3">
        <v>46072</v>
      </c>
      <c r="AL94" s="2">
        <v>3.625</v>
      </c>
      <c r="AM94" s="3">
        <v>46072</v>
      </c>
      <c r="AN94" s="2">
        <v>3.5350000000000001</v>
      </c>
      <c r="AO94" s="3">
        <v>46072</v>
      </c>
      <c r="AP94" s="2">
        <v>3.39</v>
      </c>
      <c r="AQ94" s="3">
        <v>46072</v>
      </c>
      <c r="AR94" s="2">
        <v>3.355</v>
      </c>
      <c r="AS94" s="3">
        <v>46072</v>
      </c>
      <c r="AT94" s="2">
        <v>3.355</v>
      </c>
      <c r="AU94" s="3">
        <v>46072</v>
      </c>
      <c r="AV94" s="2">
        <v>3.3824999999999998</v>
      </c>
      <c r="AW94" s="3">
        <v>46072</v>
      </c>
      <c r="AX94" s="2">
        <v>3.42</v>
      </c>
      <c r="AY94" s="3">
        <v>46072</v>
      </c>
      <c r="AZ94" s="2">
        <v>3.4674999999999998</v>
      </c>
      <c r="BB94" s="3">
        <v>46066</v>
      </c>
      <c r="BC94" s="1">
        <v>3.5</v>
      </c>
      <c r="BD94" s="3">
        <v>46066</v>
      </c>
      <c r="BE94" s="1">
        <v>3.48</v>
      </c>
      <c r="BF94" s="3">
        <v>46072</v>
      </c>
      <c r="BG94" s="1">
        <v>3.46</v>
      </c>
      <c r="BH94" s="3">
        <v>46072</v>
      </c>
      <c r="BI94" s="1">
        <v>3.415</v>
      </c>
      <c r="BJ94" s="3">
        <v>46072</v>
      </c>
      <c r="BK94" s="1">
        <v>3.3650000000000002</v>
      </c>
      <c r="BL94" s="3">
        <v>46072</v>
      </c>
      <c r="BM94" s="1">
        <v>3.2829999999999999</v>
      </c>
      <c r="BN94" s="3">
        <v>46072</v>
      </c>
      <c r="BO94" s="1">
        <v>3.2549999999999999</v>
      </c>
      <c r="BP94" s="3">
        <v>46072</v>
      </c>
      <c r="BQ94" s="1">
        <v>3.278</v>
      </c>
      <c r="BR94" s="3">
        <v>46072</v>
      </c>
      <c r="BS94" s="1">
        <v>3.3180000000000001</v>
      </c>
      <c r="BT94" s="3">
        <v>46072</v>
      </c>
      <c r="BU94" s="1">
        <v>3.3650000000000002</v>
      </c>
      <c r="BV94" s="3">
        <v>46072</v>
      </c>
      <c r="BW94" s="1">
        <v>3.4249999999999998</v>
      </c>
      <c r="BY94" s="3">
        <v>46070</v>
      </c>
      <c r="BZ94" s="1">
        <v>6.5</v>
      </c>
      <c r="CA94" s="3">
        <v>46066</v>
      </c>
      <c r="CB94" s="1">
        <v>6.31</v>
      </c>
      <c r="CC94" s="3">
        <v>46072</v>
      </c>
      <c r="CD94" s="1">
        <v>6.1260000000000003</v>
      </c>
      <c r="CE94" s="3">
        <v>46072</v>
      </c>
      <c r="CF94" s="1">
        <v>5.9809999999999999</v>
      </c>
      <c r="CG94" s="3">
        <v>46072</v>
      </c>
      <c r="CH94" s="1">
        <v>5.89</v>
      </c>
      <c r="CI94" s="3">
        <v>46072</v>
      </c>
      <c r="CJ94" s="1">
        <v>5.69</v>
      </c>
      <c r="CK94" s="3">
        <v>46072</v>
      </c>
      <c r="CL94" s="1">
        <v>5.5250000000000004</v>
      </c>
      <c r="CM94" s="3">
        <v>46072</v>
      </c>
      <c r="CN94" s="1">
        <v>5.3949999999999996</v>
      </c>
      <c r="CO94" s="3">
        <v>46071</v>
      </c>
      <c r="CP94" s="1">
        <v>5.34</v>
      </c>
      <c r="CQ94" s="3">
        <v>46071</v>
      </c>
      <c r="CR94" s="1">
        <v>5.33</v>
      </c>
      <c r="CS94" s="3">
        <v>46071</v>
      </c>
      <c r="CT94" s="1">
        <v>5.32</v>
      </c>
    </row>
    <row r="95" spans="27:98" x14ac:dyDescent="0.2">
      <c r="AE95" s="3">
        <v>46071</v>
      </c>
      <c r="AF95" s="1">
        <v>4</v>
      </c>
      <c r="AG95" s="3">
        <v>46065</v>
      </c>
      <c r="AH95" s="1">
        <v>3.87</v>
      </c>
      <c r="AI95" s="3">
        <v>46071</v>
      </c>
      <c r="AJ95" s="2">
        <v>3.7349999999999999</v>
      </c>
      <c r="AK95" s="3">
        <v>46071</v>
      </c>
      <c r="AL95" s="2">
        <v>3.62</v>
      </c>
      <c r="AM95" s="3">
        <v>46071</v>
      </c>
      <c r="AN95" s="2">
        <v>3.5249999999999999</v>
      </c>
      <c r="AO95" s="3">
        <v>46071</v>
      </c>
      <c r="AP95" s="2">
        <v>3.38</v>
      </c>
      <c r="AQ95" s="3">
        <v>46071</v>
      </c>
      <c r="AR95" s="2">
        <v>3.33</v>
      </c>
      <c r="AS95" s="3">
        <v>46071</v>
      </c>
      <c r="AT95" s="2">
        <v>3.3424999999999998</v>
      </c>
      <c r="AU95" s="3">
        <v>46071</v>
      </c>
      <c r="AV95" s="2">
        <v>3.3675000000000002</v>
      </c>
      <c r="AW95" s="3">
        <v>46071</v>
      </c>
      <c r="AX95" s="2">
        <v>3.4024999999999999</v>
      </c>
      <c r="AY95" s="3">
        <v>46071</v>
      </c>
      <c r="AZ95" s="2">
        <v>3.4474999999999998</v>
      </c>
      <c r="BB95" s="3">
        <v>46065</v>
      </c>
      <c r="BC95" s="1">
        <v>3.5</v>
      </c>
      <c r="BD95" s="3">
        <v>46065</v>
      </c>
      <c r="BE95" s="1">
        <v>3.48</v>
      </c>
      <c r="BF95" s="3">
        <v>46071</v>
      </c>
      <c r="BG95" s="1">
        <v>3.4449999999999998</v>
      </c>
      <c r="BH95" s="3">
        <v>46071</v>
      </c>
      <c r="BI95" s="1">
        <v>3.3980000000000001</v>
      </c>
      <c r="BJ95" s="3">
        <v>46071</v>
      </c>
      <c r="BK95" s="1">
        <v>3.343</v>
      </c>
      <c r="BL95" s="3">
        <v>46071</v>
      </c>
      <c r="BM95" s="1">
        <v>3.25</v>
      </c>
      <c r="BN95" s="3">
        <v>46071</v>
      </c>
      <c r="BO95" s="1">
        <v>3.22</v>
      </c>
      <c r="BP95" s="3">
        <v>46071</v>
      </c>
      <c r="BQ95" s="1">
        <v>3.24</v>
      </c>
      <c r="BR95" s="3">
        <v>46071</v>
      </c>
      <c r="BS95" s="1">
        <v>3.2749999999999999</v>
      </c>
      <c r="BT95" s="3">
        <v>46071</v>
      </c>
      <c r="BU95" s="1">
        <v>3.323</v>
      </c>
      <c r="BV95" s="3">
        <v>46071</v>
      </c>
      <c r="BW95" s="1">
        <v>3.38</v>
      </c>
      <c r="BY95" s="3">
        <v>46069</v>
      </c>
      <c r="BZ95" s="1">
        <v>6.5</v>
      </c>
      <c r="CA95" s="3">
        <v>46065</v>
      </c>
      <c r="CB95" s="1">
        <v>6.32</v>
      </c>
      <c r="CC95" s="3">
        <v>46071</v>
      </c>
      <c r="CD95" s="1">
        <v>6.1260000000000003</v>
      </c>
      <c r="CE95" s="3">
        <v>46071</v>
      </c>
      <c r="CF95" s="1">
        <v>5.9820000000000002</v>
      </c>
      <c r="CG95" s="3">
        <v>46071</v>
      </c>
      <c r="CH95" s="1">
        <v>5.88</v>
      </c>
      <c r="CI95" s="3">
        <v>46071</v>
      </c>
      <c r="CJ95" s="1">
        <v>5.6849999999999996</v>
      </c>
      <c r="CK95" s="3">
        <v>46071</v>
      </c>
      <c r="CL95" s="1">
        <v>5.5250000000000004</v>
      </c>
      <c r="CM95" s="3">
        <v>46071</v>
      </c>
      <c r="CN95" s="1">
        <v>5.35</v>
      </c>
      <c r="CO95" s="3">
        <v>46070</v>
      </c>
      <c r="CP95" s="1">
        <v>5.33</v>
      </c>
      <c r="CQ95" s="3">
        <v>46070</v>
      </c>
      <c r="CR95" s="1">
        <v>5.32</v>
      </c>
      <c r="CS95" s="3">
        <v>46070</v>
      </c>
      <c r="CT95" s="1">
        <v>5.32</v>
      </c>
    </row>
    <row r="96" spans="27:98" x14ac:dyDescent="0.2">
      <c r="AE96" s="3">
        <v>46070</v>
      </c>
      <c r="AF96" s="1">
        <v>4</v>
      </c>
      <c r="AG96" s="3">
        <v>46064</v>
      </c>
      <c r="AH96" s="1">
        <v>3.87</v>
      </c>
      <c r="AI96" s="3">
        <v>46070</v>
      </c>
      <c r="AJ96" s="2">
        <v>3.74</v>
      </c>
      <c r="AK96" s="3">
        <v>46070</v>
      </c>
      <c r="AL96" s="2">
        <v>3.62</v>
      </c>
      <c r="AM96" s="3">
        <v>46070</v>
      </c>
      <c r="AN96" s="2">
        <v>3.53</v>
      </c>
      <c r="AO96" s="3">
        <v>46070</v>
      </c>
      <c r="AP96" s="2">
        <v>3.39</v>
      </c>
      <c r="AQ96" s="3">
        <v>46070</v>
      </c>
      <c r="AR96" s="2">
        <v>3.3424999999999998</v>
      </c>
      <c r="AS96" s="3">
        <v>46070</v>
      </c>
      <c r="AT96" s="2">
        <v>3.3574999999999999</v>
      </c>
      <c r="AU96" s="3">
        <v>46070</v>
      </c>
      <c r="AV96" s="2">
        <v>3.375</v>
      </c>
      <c r="AW96" s="3">
        <v>46070</v>
      </c>
      <c r="AX96" s="2">
        <v>3.4049999999999998</v>
      </c>
      <c r="AY96" s="3">
        <v>46070</v>
      </c>
      <c r="AZ96" s="2">
        <v>3.4449999999999998</v>
      </c>
      <c r="BB96" s="3">
        <v>46064</v>
      </c>
      <c r="BC96" s="1">
        <v>3.5</v>
      </c>
      <c r="BD96" s="3">
        <v>46064</v>
      </c>
      <c r="BE96" s="1">
        <v>3.48</v>
      </c>
      <c r="BF96" s="3">
        <v>46070</v>
      </c>
      <c r="BG96" s="1">
        <v>3.4449999999999998</v>
      </c>
      <c r="BH96" s="3">
        <v>46070</v>
      </c>
      <c r="BI96" s="1">
        <v>3.3980000000000001</v>
      </c>
      <c r="BJ96" s="3">
        <v>46070</v>
      </c>
      <c r="BK96" s="1">
        <v>3.34</v>
      </c>
      <c r="BL96" s="3">
        <v>46070</v>
      </c>
      <c r="BM96" s="1">
        <v>3.2530000000000001</v>
      </c>
      <c r="BN96" s="3">
        <v>46070</v>
      </c>
      <c r="BO96" s="1">
        <v>3.22</v>
      </c>
      <c r="BP96" s="3">
        <v>46070</v>
      </c>
      <c r="BQ96" s="1">
        <v>3.24</v>
      </c>
      <c r="BR96" s="3">
        <v>46070</v>
      </c>
      <c r="BS96" s="1">
        <v>3.28</v>
      </c>
      <c r="BT96" s="3">
        <v>46070</v>
      </c>
      <c r="BU96" s="1">
        <v>3.3250000000000002</v>
      </c>
      <c r="BV96" s="3">
        <v>46070</v>
      </c>
      <c r="BW96" s="1">
        <v>3.383</v>
      </c>
      <c r="BY96" s="3">
        <v>46066</v>
      </c>
      <c r="BZ96" s="1">
        <v>6.5</v>
      </c>
      <c r="CA96" s="3">
        <v>46064</v>
      </c>
      <c r="CB96" s="1">
        <v>6.34</v>
      </c>
      <c r="CC96" s="3">
        <v>46070</v>
      </c>
      <c r="CD96" s="1">
        <v>6.13</v>
      </c>
      <c r="CE96" s="3">
        <v>46070</v>
      </c>
      <c r="CF96" s="1">
        <v>5.99</v>
      </c>
      <c r="CG96" s="3">
        <v>46070</v>
      </c>
      <c r="CH96" s="1">
        <v>5.89</v>
      </c>
      <c r="CI96" s="3">
        <v>46070</v>
      </c>
      <c r="CJ96" s="1">
        <v>5.67</v>
      </c>
      <c r="CK96" s="3">
        <v>46070</v>
      </c>
      <c r="CL96" s="1">
        <v>5.5</v>
      </c>
      <c r="CM96" s="3">
        <v>46070</v>
      </c>
      <c r="CN96" s="1">
        <v>5.34</v>
      </c>
      <c r="CO96" s="3">
        <v>46069</v>
      </c>
      <c r="CP96" s="1">
        <v>5.31</v>
      </c>
      <c r="CQ96" s="3">
        <v>46069</v>
      </c>
      <c r="CR96" s="1">
        <v>5.3</v>
      </c>
      <c r="CS96" s="3">
        <v>46069</v>
      </c>
      <c r="CT96" s="1">
        <v>5.3</v>
      </c>
    </row>
    <row r="97" spans="31:98" x14ac:dyDescent="0.2">
      <c r="AE97" s="3">
        <v>46069</v>
      </c>
      <c r="AF97" s="1">
        <v>4</v>
      </c>
      <c r="AG97" s="3">
        <v>46063</v>
      </c>
      <c r="AH97" s="1">
        <v>3.91</v>
      </c>
      <c r="AI97" s="3">
        <v>46069</v>
      </c>
      <c r="AJ97" s="2">
        <v>3.7349999999999999</v>
      </c>
      <c r="AK97" s="3">
        <v>46069</v>
      </c>
      <c r="AL97" s="2">
        <v>3.605</v>
      </c>
      <c r="AM97" s="3">
        <v>46069</v>
      </c>
      <c r="AN97" s="2">
        <v>3.5150000000000001</v>
      </c>
      <c r="AO97" s="3">
        <v>46069</v>
      </c>
      <c r="AP97" s="2">
        <v>3.3849999999999998</v>
      </c>
      <c r="AQ97" s="3">
        <v>46069</v>
      </c>
      <c r="AR97" s="2">
        <v>3.3450000000000002</v>
      </c>
      <c r="AS97" s="3">
        <v>46069</v>
      </c>
      <c r="AT97" s="2">
        <v>3.36</v>
      </c>
      <c r="AU97" s="3">
        <v>46069</v>
      </c>
      <c r="AV97" s="2">
        <v>3.3849999999999998</v>
      </c>
      <c r="AW97" s="3">
        <v>46069</v>
      </c>
      <c r="AX97" s="2">
        <v>3.4175</v>
      </c>
      <c r="AY97" s="3">
        <v>46069</v>
      </c>
      <c r="AZ97" s="2">
        <v>3.46</v>
      </c>
      <c r="BB97" s="3">
        <v>46063</v>
      </c>
      <c r="BC97" s="1">
        <v>3.5</v>
      </c>
      <c r="BD97" s="3">
        <v>46063</v>
      </c>
      <c r="BE97" s="1">
        <v>3.48</v>
      </c>
      <c r="BF97" s="3">
        <v>46069</v>
      </c>
      <c r="BG97" s="1">
        <v>3.448</v>
      </c>
      <c r="BH97" s="3">
        <v>46069</v>
      </c>
      <c r="BI97" s="1">
        <v>3.4039999999999999</v>
      </c>
      <c r="BJ97" s="3">
        <v>46069</v>
      </c>
      <c r="BK97" s="1">
        <v>3.34</v>
      </c>
      <c r="BL97" s="3">
        <v>46069</v>
      </c>
      <c r="BM97" s="1">
        <v>3.2549999999999999</v>
      </c>
      <c r="BN97" s="3">
        <v>46069</v>
      </c>
      <c r="BO97" s="1">
        <v>3.2280000000000002</v>
      </c>
      <c r="BP97" s="3">
        <v>46069</v>
      </c>
      <c r="BQ97" s="1">
        <v>3.258</v>
      </c>
      <c r="BR97" s="3">
        <v>46069</v>
      </c>
      <c r="BS97" s="1">
        <v>3.3</v>
      </c>
      <c r="BT97" s="3">
        <v>46069</v>
      </c>
      <c r="BU97" s="1">
        <v>3.3450000000000002</v>
      </c>
      <c r="BV97" s="3">
        <v>46069</v>
      </c>
      <c r="BW97" s="1">
        <v>3.403</v>
      </c>
      <c r="BY97" s="3">
        <v>46065</v>
      </c>
      <c r="BZ97" s="1">
        <v>6.5</v>
      </c>
      <c r="CA97" s="3">
        <v>46063</v>
      </c>
      <c r="CB97" s="1">
        <v>6.34</v>
      </c>
      <c r="CC97" s="3">
        <v>46069</v>
      </c>
      <c r="CD97" s="1">
        <v>6.1440000000000001</v>
      </c>
      <c r="CE97" s="3">
        <v>46069</v>
      </c>
      <c r="CF97" s="1">
        <v>6.008</v>
      </c>
      <c r="CG97" s="3">
        <v>46069</v>
      </c>
      <c r="CH97" s="1">
        <v>5.9</v>
      </c>
      <c r="CI97" s="3">
        <v>46069</v>
      </c>
      <c r="CJ97" s="1">
        <v>5.67</v>
      </c>
      <c r="CK97" s="3">
        <v>46069</v>
      </c>
      <c r="CL97" s="1">
        <v>5.49</v>
      </c>
      <c r="CM97" s="3">
        <v>46069</v>
      </c>
      <c r="CN97" s="1">
        <v>5.32</v>
      </c>
      <c r="CO97" s="3">
        <v>46066</v>
      </c>
      <c r="CP97" s="1">
        <v>5.39</v>
      </c>
      <c r="CQ97" s="3">
        <v>46066</v>
      </c>
      <c r="CR97" s="1">
        <v>5.39</v>
      </c>
      <c r="CS97" s="3">
        <v>46066</v>
      </c>
      <c r="CT97" s="1">
        <v>5.4</v>
      </c>
    </row>
    <row r="98" spans="31:98" x14ac:dyDescent="0.2">
      <c r="AE98" s="3">
        <v>46066</v>
      </c>
      <c r="AF98" s="1">
        <v>4</v>
      </c>
      <c r="AG98" s="3">
        <v>46062</v>
      </c>
      <c r="AH98" s="1">
        <v>3.88</v>
      </c>
      <c r="AI98" s="3">
        <v>46066</v>
      </c>
      <c r="AJ98" s="2">
        <v>3.73</v>
      </c>
      <c r="AK98" s="3">
        <v>46066</v>
      </c>
      <c r="AL98" s="2">
        <v>3.5950000000000002</v>
      </c>
      <c r="AM98" s="3">
        <v>46066</v>
      </c>
      <c r="AN98" s="2">
        <v>3.51</v>
      </c>
      <c r="AO98" s="3">
        <v>46066</v>
      </c>
      <c r="AP98" s="2">
        <v>3.38</v>
      </c>
      <c r="AQ98" s="3">
        <v>46066</v>
      </c>
      <c r="AR98" s="2">
        <v>3.3450000000000002</v>
      </c>
      <c r="AS98" s="3">
        <v>46066</v>
      </c>
      <c r="AT98" s="2">
        <v>3.36</v>
      </c>
      <c r="AU98" s="3">
        <v>46066</v>
      </c>
      <c r="AV98" s="2">
        <v>3.3849999999999998</v>
      </c>
      <c r="AW98" s="3">
        <v>46066</v>
      </c>
      <c r="AX98" s="2">
        <v>3.415</v>
      </c>
      <c r="AY98" s="3">
        <v>46066</v>
      </c>
      <c r="AZ98" s="2">
        <v>3.4550000000000001</v>
      </c>
      <c r="BB98" s="3">
        <v>46062</v>
      </c>
      <c r="BC98" s="1">
        <v>3.5</v>
      </c>
      <c r="BD98" s="3">
        <v>46062</v>
      </c>
      <c r="BE98" s="1">
        <v>3.48</v>
      </c>
      <c r="BF98" s="3">
        <v>46066</v>
      </c>
      <c r="BG98" s="1">
        <v>3.44</v>
      </c>
      <c r="BH98" s="3">
        <v>46066</v>
      </c>
      <c r="BI98" s="1">
        <v>3.403</v>
      </c>
      <c r="BJ98" s="3">
        <v>46066</v>
      </c>
      <c r="BK98" s="1">
        <v>3.335</v>
      </c>
      <c r="BL98" s="3">
        <v>46066</v>
      </c>
      <c r="BM98" s="1">
        <v>3.2349999999999999</v>
      </c>
      <c r="BN98" s="3">
        <v>46066</v>
      </c>
      <c r="BO98" s="1">
        <v>3.2</v>
      </c>
      <c r="BP98" s="3">
        <v>46066</v>
      </c>
      <c r="BQ98" s="1">
        <v>3.2330000000000001</v>
      </c>
      <c r="BR98" s="3">
        <v>46066</v>
      </c>
      <c r="BS98" s="1">
        <v>3.27</v>
      </c>
      <c r="BT98" s="3">
        <v>46066</v>
      </c>
      <c r="BU98" s="1">
        <v>3.3079999999999998</v>
      </c>
      <c r="BV98" s="3">
        <v>46066</v>
      </c>
      <c r="BW98" s="1">
        <v>3.3650000000000002</v>
      </c>
      <c r="BY98" s="3">
        <v>46064</v>
      </c>
      <c r="BZ98" s="1">
        <v>6.5</v>
      </c>
      <c r="CA98" s="3">
        <v>46062</v>
      </c>
      <c r="CB98" s="1">
        <v>6.35</v>
      </c>
      <c r="CC98" s="3">
        <v>46066</v>
      </c>
      <c r="CD98" s="1">
        <v>6.14</v>
      </c>
      <c r="CE98" s="3">
        <v>46066</v>
      </c>
      <c r="CF98" s="1">
        <v>6</v>
      </c>
      <c r="CG98" s="3">
        <v>46066</v>
      </c>
      <c r="CH98" s="1">
        <v>5.91</v>
      </c>
      <c r="CI98" s="3">
        <v>46066</v>
      </c>
      <c r="CJ98" s="1">
        <v>5.7</v>
      </c>
      <c r="CK98" s="3">
        <v>46066</v>
      </c>
      <c r="CL98" s="1">
        <v>5.53</v>
      </c>
      <c r="CM98" s="3">
        <v>46066</v>
      </c>
      <c r="CN98" s="1">
        <v>5.4</v>
      </c>
      <c r="CO98" s="3">
        <v>46065</v>
      </c>
      <c r="CP98" s="1">
        <v>5.42</v>
      </c>
      <c r="CQ98" s="3">
        <v>46065</v>
      </c>
      <c r="CR98" s="1">
        <v>5.42</v>
      </c>
      <c r="CS98" s="3">
        <v>46065</v>
      </c>
      <c r="CT98" s="1">
        <v>5.43</v>
      </c>
    </row>
    <row r="99" spans="31:98" x14ac:dyDescent="0.2">
      <c r="AE99" s="3">
        <v>46065</v>
      </c>
      <c r="AF99" s="1">
        <v>4</v>
      </c>
      <c r="AG99" s="3">
        <v>46059</v>
      </c>
      <c r="AH99" s="1">
        <v>3.88</v>
      </c>
      <c r="AI99" s="3">
        <v>46065</v>
      </c>
      <c r="AJ99" s="2">
        <v>3.72</v>
      </c>
      <c r="AK99" s="3">
        <v>46065</v>
      </c>
      <c r="AL99" s="2">
        <v>3.5550000000000002</v>
      </c>
      <c r="AM99" s="3">
        <v>46065</v>
      </c>
      <c r="AN99" s="2">
        <v>3.4649999999999999</v>
      </c>
      <c r="AO99" s="3">
        <v>46065</v>
      </c>
      <c r="AP99" s="2">
        <v>3.34</v>
      </c>
      <c r="AQ99" s="3">
        <v>46065</v>
      </c>
      <c r="AR99" s="2">
        <v>3.31</v>
      </c>
      <c r="AS99" s="3">
        <v>46065</v>
      </c>
      <c r="AT99" s="2">
        <v>3.3325</v>
      </c>
      <c r="AU99" s="3">
        <v>46065</v>
      </c>
      <c r="AV99" s="2">
        <v>3.3650000000000002</v>
      </c>
      <c r="AW99" s="3">
        <v>46065</v>
      </c>
      <c r="AX99" s="2">
        <v>3.4049999999999998</v>
      </c>
      <c r="AY99" s="3">
        <v>46065</v>
      </c>
      <c r="AZ99" s="2">
        <v>3.4550000000000001</v>
      </c>
      <c r="BB99" s="3">
        <v>46059</v>
      </c>
      <c r="BC99" s="1">
        <v>3.5</v>
      </c>
      <c r="BD99" s="3">
        <v>46059</v>
      </c>
      <c r="BE99" s="1">
        <v>3.48</v>
      </c>
      <c r="BF99" s="3">
        <v>46065</v>
      </c>
      <c r="BG99" s="1">
        <v>3.45</v>
      </c>
      <c r="BH99" s="3">
        <v>46065</v>
      </c>
      <c r="BI99" s="1">
        <v>3.4260000000000002</v>
      </c>
      <c r="BJ99" s="3">
        <v>46065</v>
      </c>
      <c r="BK99" s="1">
        <v>3.37</v>
      </c>
      <c r="BL99" s="3">
        <v>46065</v>
      </c>
      <c r="BM99" s="1">
        <v>3.27</v>
      </c>
      <c r="BN99" s="3">
        <v>46065</v>
      </c>
      <c r="BO99" s="1">
        <v>3.2330000000000001</v>
      </c>
      <c r="BP99" s="3">
        <v>46065</v>
      </c>
      <c r="BQ99" s="1">
        <v>3.258</v>
      </c>
      <c r="BR99" s="3">
        <v>46065</v>
      </c>
      <c r="BS99" s="1">
        <v>3.298</v>
      </c>
      <c r="BT99" s="3">
        <v>46065</v>
      </c>
      <c r="BU99" s="1">
        <v>3.3450000000000002</v>
      </c>
      <c r="BV99" s="3">
        <v>46065</v>
      </c>
      <c r="BW99" s="1">
        <v>3.4049999999999998</v>
      </c>
      <c r="BY99" s="3">
        <v>46063</v>
      </c>
      <c r="BZ99" s="1">
        <v>6.5</v>
      </c>
      <c r="CA99" s="3">
        <v>46059</v>
      </c>
      <c r="CB99" s="1">
        <v>6.35</v>
      </c>
      <c r="CC99" s="3">
        <v>46065</v>
      </c>
      <c r="CD99" s="1">
        <v>6.1520000000000001</v>
      </c>
      <c r="CE99" s="3">
        <v>46065</v>
      </c>
      <c r="CF99" s="1">
        <v>6.016</v>
      </c>
      <c r="CG99" s="3">
        <v>46065</v>
      </c>
      <c r="CH99" s="1">
        <v>5.92</v>
      </c>
      <c r="CI99" s="3">
        <v>46065</v>
      </c>
      <c r="CJ99" s="1">
        <v>5.71</v>
      </c>
      <c r="CK99" s="3">
        <v>46065</v>
      </c>
      <c r="CL99" s="1">
        <v>5.54</v>
      </c>
      <c r="CM99" s="3">
        <v>46065</v>
      </c>
      <c r="CN99" s="1">
        <v>5.43</v>
      </c>
      <c r="CO99" s="3">
        <v>46064</v>
      </c>
      <c r="CP99" s="1">
        <v>5.49</v>
      </c>
      <c r="CQ99" s="3">
        <v>46064</v>
      </c>
      <c r="CR99" s="1">
        <v>5.49</v>
      </c>
      <c r="CS99" s="3">
        <v>46064</v>
      </c>
      <c r="CT99" s="1">
        <v>5.5</v>
      </c>
    </row>
    <row r="100" spans="31:98" x14ac:dyDescent="0.2">
      <c r="AE100" s="3">
        <v>46064</v>
      </c>
      <c r="AF100" s="1">
        <v>4</v>
      </c>
      <c r="AG100" s="3">
        <v>46058</v>
      </c>
      <c r="AH100" s="1">
        <v>3.9</v>
      </c>
      <c r="AI100" s="3">
        <v>46064</v>
      </c>
      <c r="AJ100" s="2">
        <v>3.7349999999999999</v>
      </c>
      <c r="AK100" s="3">
        <v>46064</v>
      </c>
      <c r="AL100" s="2">
        <v>3.61</v>
      </c>
      <c r="AM100" s="3">
        <v>46064</v>
      </c>
      <c r="AN100" s="2">
        <v>3.46</v>
      </c>
      <c r="AO100" s="3">
        <v>46064</v>
      </c>
      <c r="AP100" s="2">
        <v>3.3450000000000002</v>
      </c>
      <c r="AQ100" s="3">
        <v>46064</v>
      </c>
      <c r="AR100" s="2">
        <v>3.3250000000000002</v>
      </c>
      <c r="AS100" s="3">
        <v>46064</v>
      </c>
      <c r="AT100" s="2">
        <v>3.355</v>
      </c>
      <c r="AU100" s="3">
        <v>46064</v>
      </c>
      <c r="AV100" s="2">
        <v>3.4</v>
      </c>
      <c r="AW100" s="3">
        <v>46064</v>
      </c>
      <c r="AX100" s="2">
        <v>3.4474999999999998</v>
      </c>
      <c r="AY100" s="3">
        <v>46064</v>
      </c>
      <c r="AZ100" s="2">
        <v>3.5024999999999999</v>
      </c>
      <c r="BB100" s="3">
        <v>46058</v>
      </c>
      <c r="BC100" s="1">
        <v>3.5</v>
      </c>
      <c r="BD100" s="3">
        <v>46058</v>
      </c>
      <c r="BE100" s="1">
        <v>3.47</v>
      </c>
      <c r="BF100" s="3">
        <v>46064</v>
      </c>
      <c r="BG100" s="1">
        <v>3.4550000000000001</v>
      </c>
      <c r="BH100" s="3">
        <v>46064</v>
      </c>
      <c r="BI100" s="1">
        <v>3.4359999999999999</v>
      </c>
      <c r="BJ100" s="3">
        <v>46064</v>
      </c>
      <c r="BK100" s="1">
        <v>3.38</v>
      </c>
      <c r="BL100" s="3">
        <v>46064</v>
      </c>
      <c r="BM100" s="1">
        <v>3.298</v>
      </c>
      <c r="BN100" s="3">
        <v>46064</v>
      </c>
      <c r="BO100" s="1">
        <v>3.2679999999999998</v>
      </c>
      <c r="BP100" s="3">
        <v>46064</v>
      </c>
      <c r="BQ100" s="1">
        <v>3.3</v>
      </c>
      <c r="BR100" s="3">
        <v>46064</v>
      </c>
      <c r="BS100" s="1">
        <v>3.34</v>
      </c>
      <c r="BT100" s="3">
        <v>46064</v>
      </c>
      <c r="BU100" s="1">
        <v>3.3849999999999998</v>
      </c>
      <c r="BV100" s="3">
        <v>46064</v>
      </c>
      <c r="BW100" s="1">
        <v>3.448</v>
      </c>
      <c r="BY100" s="3">
        <v>46062</v>
      </c>
      <c r="BZ100" s="1">
        <v>6.5</v>
      </c>
      <c r="CA100" s="3">
        <v>46058</v>
      </c>
      <c r="CB100" s="1">
        <v>6.35</v>
      </c>
      <c r="CC100" s="3">
        <v>46064</v>
      </c>
      <c r="CD100" s="1">
        <v>6.1749999999999998</v>
      </c>
      <c r="CE100" s="3">
        <v>46064</v>
      </c>
      <c r="CF100" s="1">
        <v>6.0449999999999999</v>
      </c>
      <c r="CG100" s="3">
        <v>46064</v>
      </c>
      <c r="CH100" s="1">
        <v>5.96</v>
      </c>
      <c r="CI100" s="3">
        <v>46064</v>
      </c>
      <c r="CJ100" s="1">
        <v>5.75</v>
      </c>
      <c r="CK100" s="3">
        <v>46064</v>
      </c>
      <c r="CL100" s="1">
        <v>5.6</v>
      </c>
      <c r="CM100" s="3">
        <v>46064</v>
      </c>
      <c r="CN100" s="1">
        <v>5.49</v>
      </c>
      <c r="CO100" s="3">
        <v>46063</v>
      </c>
      <c r="CP100" s="1">
        <v>5.47</v>
      </c>
      <c r="CQ100" s="3">
        <v>46063</v>
      </c>
      <c r="CR100" s="1">
        <v>5.47</v>
      </c>
      <c r="CS100" s="3">
        <v>46063</v>
      </c>
      <c r="CT100" s="1">
        <v>5.48</v>
      </c>
    </row>
    <row r="101" spans="31:98" x14ac:dyDescent="0.2">
      <c r="AE101" s="3">
        <v>46063</v>
      </c>
      <c r="AF101" s="1">
        <v>4</v>
      </c>
      <c r="AG101" s="3">
        <v>46057</v>
      </c>
      <c r="AH101" s="1">
        <v>3.89</v>
      </c>
      <c r="AI101" s="3">
        <v>46063</v>
      </c>
      <c r="AJ101" s="2">
        <v>3.74</v>
      </c>
      <c r="AK101" s="3">
        <v>46063</v>
      </c>
      <c r="AL101" s="2">
        <v>3.6150000000000002</v>
      </c>
      <c r="AM101" s="3">
        <v>46063</v>
      </c>
      <c r="AN101" s="2">
        <v>3.45</v>
      </c>
      <c r="AO101" s="3">
        <v>46063</v>
      </c>
      <c r="AP101" s="2">
        <v>3.33</v>
      </c>
      <c r="AQ101" s="3">
        <v>46063</v>
      </c>
      <c r="AR101" s="2">
        <v>3.3125</v>
      </c>
      <c r="AS101" s="3">
        <v>46063</v>
      </c>
      <c r="AT101" s="2">
        <v>3.3424999999999998</v>
      </c>
      <c r="AU101" s="3">
        <v>46063</v>
      </c>
      <c r="AV101" s="2">
        <v>3.39</v>
      </c>
      <c r="AW101" s="3">
        <v>46063</v>
      </c>
      <c r="AX101" s="2">
        <v>3.4375</v>
      </c>
      <c r="AY101" s="3">
        <v>46063</v>
      </c>
      <c r="AZ101" s="2">
        <v>3.4950000000000001</v>
      </c>
      <c r="BB101" s="3">
        <v>46057</v>
      </c>
      <c r="BC101" s="1">
        <v>3.5</v>
      </c>
      <c r="BD101" s="3">
        <v>46057</v>
      </c>
      <c r="BE101" s="1">
        <v>3.46</v>
      </c>
      <c r="BF101" s="3">
        <v>46063</v>
      </c>
      <c r="BG101" s="1">
        <v>3.4649999999999999</v>
      </c>
      <c r="BH101" s="3">
        <v>46063</v>
      </c>
      <c r="BI101" s="1">
        <v>3.44</v>
      </c>
      <c r="BJ101" s="3">
        <v>46063</v>
      </c>
      <c r="BK101" s="1">
        <v>3.42</v>
      </c>
      <c r="BL101" s="3">
        <v>46063</v>
      </c>
      <c r="BM101" s="1">
        <v>3.2949999999999999</v>
      </c>
      <c r="BN101" s="3">
        <v>46063</v>
      </c>
      <c r="BO101" s="1">
        <v>3.2650000000000001</v>
      </c>
      <c r="BP101" s="3">
        <v>46063</v>
      </c>
      <c r="BQ101" s="1">
        <v>3.2829999999999999</v>
      </c>
      <c r="BR101" s="3">
        <v>46063</v>
      </c>
      <c r="BS101" s="1">
        <v>3.3180000000000001</v>
      </c>
      <c r="BT101" s="3">
        <v>46063</v>
      </c>
      <c r="BU101" s="1">
        <v>3.363</v>
      </c>
      <c r="BV101" s="3">
        <v>46063</v>
      </c>
      <c r="BW101" s="1">
        <v>3.423</v>
      </c>
      <c r="BY101" s="3">
        <v>46059</v>
      </c>
      <c r="BZ101" s="1">
        <v>6.5</v>
      </c>
      <c r="CA101" s="3">
        <v>46057</v>
      </c>
      <c r="CB101" s="1">
        <v>6.36</v>
      </c>
      <c r="CC101" s="3">
        <v>46063</v>
      </c>
      <c r="CD101" s="1">
        <v>6.17</v>
      </c>
      <c r="CE101" s="3">
        <v>46063</v>
      </c>
      <c r="CF101" s="1">
        <v>6.04</v>
      </c>
      <c r="CG101" s="3">
        <v>46063</v>
      </c>
      <c r="CH101" s="1">
        <v>5.95</v>
      </c>
      <c r="CI101" s="3">
        <v>46063</v>
      </c>
      <c r="CJ101" s="1">
        <v>5.74</v>
      </c>
      <c r="CK101" s="3">
        <v>46063</v>
      </c>
      <c r="CL101" s="1">
        <v>5.57</v>
      </c>
      <c r="CM101" s="3">
        <v>46063</v>
      </c>
      <c r="CN101" s="1">
        <v>5.47</v>
      </c>
      <c r="CO101" s="3">
        <v>46062</v>
      </c>
      <c r="CP101" s="1">
        <v>5.5</v>
      </c>
      <c r="CQ101" s="3">
        <v>46062</v>
      </c>
      <c r="CR101" s="1">
        <v>5.5</v>
      </c>
      <c r="CS101" s="3">
        <v>46062</v>
      </c>
      <c r="CT101" s="1">
        <v>5.51</v>
      </c>
    </row>
    <row r="102" spans="31:98" x14ac:dyDescent="0.2">
      <c r="AE102" s="3">
        <v>46062</v>
      </c>
      <c r="AF102" s="1">
        <v>4</v>
      </c>
      <c r="AG102" s="3">
        <v>46056</v>
      </c>
      <c r="AH102" s="1">
        <v>3.89</v>
      </c>
      <c r="AI102" s="3">
        <v>46062</v>
      </c>
      <c r="AJ102" s="2">
        <v>3.7625000000000002</v>
      </c>
      <c r="AK102" s="3">
        <v>46062</v>
      </c>
      <c r="AL102" s="2">
        <v>3.6425000000000001</v>
      </c>
      <c r="AM102" s="3">
        <v>46062</v>
      </c>
      <c r="AN102" s="2">
        <v>3.48</v>
      </c>
      <c r="AO102" s="3">
        <v>46062</v>
      </c>
      <c r="AP102" s="2">
        <v>3.37</v>
      </c>
      <c r="AQ102" s="3">
        <v>46062</v>
      </c>
      <c r="AR102" s="2">
        <v>3.3574999999999999</v>
      </c>
      <c r="AS102" s="3">
        <v>46062</v>
      </c>
      <c r="AT102" s="2">
        <v>3.39</v>
      </c>
      <c r="AU102" s="3">
        <v>46062</v>
      </c>
      <c r="AV102" s="2">
        <v>3.4350000000000001</v>
      </c>
      <c r="AW102" s="3">
        <v>46062</v>
      </c>
      <c r="AX102" s="2">
        <v>3.4849999999999999</v>
      </c>
      <c r="AY102" s="3">
        <v>46062</v>
      </c>
      <c r="AZ102" s="2">
        <v>3.54</v>
      </c>
      <c r="BB102" s="3">
        <v>46056</v>
      </c>
      <c r="BC102" s="1">
        <v>3.5</v>
      </c>
      <c r="BD102" s="3">
        <v>46056</v>
      </c>
      <c r="BE102" s="1">
        <v>3.46</v>
      </c>
      <c r="BF102" s="3">
        <v>46062</v>
      </c>
      <c r="BG102" s="1">
        <v>3.4750000000000001</v>
      </c>
      <c r="BH102" s="3">
        <v>46062</v>
      </c>
      <c r="BI102" s="1">
        <v>3.4489999999999998</v>
      </c>
      <c r="BJ102" s="3">
        <v>46062</v>
      </c>
      <c r="BK102" s="1">
        <v>3.43</v>
      </c>
      <c r="BL102" s="3">
        <v>46062</v>
      </c>
      <c r="BM102" s="1">
        <v>3.3279999999999998</v>
      </c>
      <c r="BN102" s="3">
        <v>46062</v>
      </c>
      <c r="BO102" s="1">
        <v>3.2879999999999998</v>
      </c>
      <c r="BP102" s="3">
        <v>46062</v>
      </c>
      <c r="BQ102" s="1">
        <v>3.3180000000000001</v>
      </c>
      <c r="BR102" s="3">
        <v>46062</v>
      </c>
      <c r="BS102" s="1">
        <v>3.3580000000000001</v>
      </c>
      <c r="BT102" s="3">
        <v>46062</v>
      </c>
      <c r="BU102" s="1">
        <v>3.42</v>
      </c>
      <c r="BV102" s="3">
        <v>46062</v>
      </c>
      <c r="BW102" s="1">
        <v>3.4830000000000001</v>
      </c>
      <c r="BY102" s="3">
        <v>46058</v>
      </c>
      <c r="BZ102" s="1">
        <v>6.5</v>
      </c>
      <c r="CA102" s="3">
        <v>46056</v>
      </c>
      <c r="CB102" s="1">
        <v>6.37</v>
      </c>
      <c r="CC102" s="3">
        <v>46062</v>
      </c>
      <c r="CD102" s="1">
        <v>6.19</v>
      </c>
      <c r="CE102" s="3">
        <v>46062</v>
      </c>
      <c r="CF102" s="1">
        <v>6.06</v>
      </c>
      <c r="CG102" s="3">
        <v>46062</v>
      </c>
      <c r="CH102" s="1">
        <v>5.98</v>
      </c>
      <c r="CI102" s="3">
        <v>46062</v>
      </c>
      <c r="CJ102" s="1">
        <v>5.77</v>
      </c>
      <c r="CK102" s="3">
        <v>46062</v>
      </c>
      <c r="CL102" s="1">
        <v>5.59</v>
      </c>
      <c r="CM102" s="3">
        <v>46062</v>
      </c>
      <c r="CN102" s="1">
        <v>5.5</v>
      </c>
      <c r="CO102" s="3">
        <v>46059</v>
      </c>
      <c r="CP102" s="1">
        <v>5.5250000000000004</v>
      </c>
      <c r="CQ102" s="3">
        <v>46059</v>
      </c>
      <c r="CR102" s="1">
        <v>5.5250000000000004</v>
      </c>
      <c r="CS102" s="3">
        <v>46059</v>
      </c>
      <c r="CT102" s="1">
        <v>5.5350000000000001</v>
      </c>
    </row>
    <row r="103" spans="31:98" x14ac:dyDescent="0.2">
      <c r="AE103" s="3">
        <v>46059</v>
      </c>
      <c r="AF103" s="1">
        <v>4</v>
      </c>
      <c r="AG103" s="3">
        <v>46055</v>
      </c>
      <c r="AH103" s="1">
        <v>3.9</v>
      </c>
      <c r="AI103" s="3">
        <v>46059</v>
      </c>
      <c r="AJ103" s="2">
        <v>3.7850000000000001</v>
      </c>
      <c r="AK103" s="3">
        <v>46059</v>
      </c>
      <c r="AL103" s="2">
        <v>3.645</v>
      </c>
      <c r="AM103" s="3">
        <v>46059</v>
      </c>
      <c r="AN103" s="2">
        <v>3.4849999999999999</v>
      </c>
      <c r="AO103" s="3">
        <v>46059</v>
      </c>
      <c r="AP103" s="2">
        <v>3.38</v>
      </c>
      <c r="AQ103" s="3">
        <v>46059</v>
      </c>
      <c r="AR103" s="2">
        <v>3.3675000000000002</v>
      </c>
      <c r="AS103" s="3">
        <v>46059</v>
      </c>
      <c r="AT103" s="2">
        <v>3.4024999999999999</v>
      </c>
      <c r="AU103" s="3">
        <v>46059</v>
      </c>
      <c r="AV103" s="2">
        <v>3.4474999999999998</v>
      </c>
      <c r="AW103" s="3">
        <v>46059</v>
      </c>
      <c r="AX103" s="2">
        <v>3.4975000000000001</v>
      </c>
      <c r="AY103" s="3">
        <v>46059</v>
      </c>
      <c r="AZ103" s="2">
        <v>3.5525000000000002</v>
      </c>
      <c r="BB103" s="3">
        <v>46055</v>
      </c>
      <c r="BC103" s="1">
        <v>3.5</v>
      </c>
      <c r="BD103" s="3">
        <v>46055</v>
      </c>
      <c r="BE103" s="1">
        <v>3.46</v>
      </c>
      <c r="BF103" s="3">
        <v>46059</v>
      </c>
      <c r="BG103" s="1">
        <v>3.4750000000000001</v>
      </c>
      <c r="BH103" s="3">
        <v>46059</v>
      </c>
      <c r="BI103" s="1">
        <v>3.45</v>
      </c>
      <c r="BJ103" s="3">
        <v>46059</v>
      </c>
      <c r="BK103" s="1">
        <v>3.4329999999999998</v>
      </c>
      <c r="BL103" s="3">
        <v>46059</v>
      </c>
      <c r="BM103" s="1">
        <v>3.34</v>
      </c>
      <c r="BN103" s="3">
        <v>46059</v>
      </c>
      <c r="BO103" s="1">
        <v>3.3</v>
      </c>
      <c r="BP103" s="3">
        <v>46059</v>
      </c>
      <c r="BQ103" s="1">
        <v>3.33</v>
      </c>
      <c r="BR103" s="3">
        <v>46059</v>
      </c>
      <c r="BS103" s="1">
        <v>3.38</v>
      </c>
      <c r="BT103" s="3">
        <v>46059</v>
      </c>
      <c r="BU103" s="1">
        <v>3.4380000000000002</v>
      </c>
      <c r="BV103" s="3">
        <v>46059</v>
      </c>
      <c r="BW103" s="1">
        <v>3.5</v>
      </c>
      <c r="BY103" s="3">
        <v>46057</v>
      </c>
      <c r="BZ103" s="1">
        <v>6.5</v>
      </c>
      <c r="CA103" s="3">
        <v>46055</v>
      </c>
      <c r="CB103" s="1">
        <v>6.38</v>
      </c>
      <c r="CC103" s="3">
        <v>46059</v>
      </c>
      <c r="CD103" s="1">
        <v>6.18</v>
      </c>
      <c r="CE103" s="3">
        <v>46059</v>
      </c>
      <c r="CF103" s="1">
        <v>6.08</v>
      </c>
      <c r="CG103" s="3">
        <v>46059</v>
      </c>
      <c r="CH103" s="1">
        <v>5.98</v>
      </c>
      <c r="CI103" s="3">
        <v>46059</v>
      </c>
      <c r="CJ103" s="1">
        <v>5.78</v>
      </c>
      <c r="CK103" s="3">
        <v>46059</v>
      </c>
      <c r="CL103" s="1">
        <v>5.61</v>
      </c>
      <c r="CM103" s="3">
        <v>46059</v>
      </c>
      <c r="CN103" s="1">
        <v>5.5250000000000004</v>
      </c>
      <c r="CO103" s="3">
        <v>46058</v>
      </c>
      <c r="CP103" s="1">
        <v>5.4850000000000003</v>
      </c>
      <c r="CQ103" s="3">
        <v>46058</v>
      </c>
      <c r="CR103" s="1">
        <v>5.4850000000000003</v>
      </c>
      <c r="CS103" s="3">
        <v>46058</v>
      </c>
      <c r="CT103" s="1">
        <v>5.49</v>
      </c>
    </row>
    <row r="104" spans="31:98" x14ac:dyDescent="0.2">
      <c r="AE104" s="3">
        <v>46058</v>
      </c>
      <c r="AF104" s="1">
        <v>4</v>
      </c>
      <c r="AG104" s="3">
        <v>46052</v>
      </c>
      <c r="AH104" s="1">
        <v>3.9</v>
      </c>
      <c r="AI104" s="3">
        <v>46058</v>
      </c>
      <c r="AJ104" s="2">
        <v>3.79</v>
      </c>
      <c r="AK104" s="3">
        <v>46058</v>
      </c>
      <c r="AL104" s="2">
        <v>3.645</v>
      </c>
      <c r="AM104" s="3">
        <v>46058</v>
      </c>
      <c r="AN104" s="2">
        <v>3.49</v>
      </c>
      <c r="AO104" s="3">
        <v>46058</v>
      </c>
      <c r="AP104" s="2">
        <v>3.3849999999999998</v>
      </c>
      <c r="AQ104" s="3">
        <v>46058</v>
      </c>
      <c r="AR104" s="2">
        <v>3.37</v>
      </c>
      <c r="AS104" s="3">
        <v>46058</v>
      </c>
      <c r="AT104" s="2">
        <v>3.4024999999999999</v>
      </c>
      <c r="AU104" s="3">
        <v>46058</v>
      </c>
      <c r="AV104" s="2">
        <v>3.4474999999999998</v>
      </c>
      <c r="AW104" s="3">
        <v>46058</v>
      </c>
      <c r="AX104" s="2">
        <v>3.5</v>
      </c>
      <c r="AY104" s="3">
        <v>46058</v>
      </c>
      <c r="AZ104" s="2">
        <v>3.5550000000000002</v>
      </c>
      <c r="BB104" s="3">
        <v>46052</v>
      </c>
      <c r="BC104" s="1">
        <v>3.5</v>
      </c>
      <c r="BD104" s="3">
        <v>46052</v>
      </c>
      <c r="BE104" s="1">
        <v>3.46</v>
      </c>
      <c r="BF104" s="3">
        <v>46058</v>
      </c>
      <c r="BG104" s="1">
        <v>3.4649999999999999</v>
      </c>
      <c r="BH104" s="3">
        <v>46058</v>
      </c>
      <c r="BI104" s="1">
        <v>3.423</v>
      </c>
      <c r="BJ104" s="3">
        <v>46058</v>
      </c>
      <c r="BK104" s="1">
        <v>3.4</v>
      </c>
      <c r="BL104" s="3">
        <v>46058</v>
      </c>
      <c r="BM104" s="1">
        <v>3.3</v>
      </c>
      <c r="BN104" s="3">
        <v>46058</v>
      </c>
      <c r="BO104" s="1">
        <v>3.2650000000000001</v>
      </c>
      <c r="BP104" s="3">
        <v>46058</v>
      </c>
      <c r="BQ104" s="1">
        <v>3.29</v>
      </c>
      <c r="BR104" s="3">
        <v>46058</v>
      </c>
      <c r="BS104" s="1">
        <v>3.3279999999999998</v>
      </c>
      <c r="BT104" s="3">
        <v>46058</v>
      </c>
      <c r="BU104" s="1">
        <v>3.375</v>
      </c>
      <c r="BV104" s="3">
        <v>46058</v>
      </c>
      <c r="BW104" s="1">
        <v>3.44</v>
      </c>
      <c r="BY104" s="3">
        <v>46056</v>
      </c>
      <c r="BZ104" s="1">
        <v>6.5</v>
      </c>
      <c r="CA104" s="3">
        <v>46052</v>
      </c>
      <c r="CB104" s="1">
        <v>6.38</v>
      </c>
      <c r="CC104" s="3">
        <v>46058</v>
      </c>
      <c r="CD104" s="1">
        <v>6.1689999999999996</v>
      </c>
      <c r="CE104" s="3">
        <v>46058</v>
      </c>
      <c r="CF104" s="1">
        <v>6.05</v>
      </c>
      <c r="CG104" s="3">
        <v>46058</v>
      </c>
      <c r="CH104" s="1">
        <v>5.96</v>
      </c>
      <c r="CI104" s="3">
        <v>46058</v>
      </c>
      <c r="CJ104" s="1">
        <v>5.75</v>
      </c>
      <c r="CK104" s="3">
        <v>46058</v>
      </c>
      <c r="CL104" s="1">
        <v>5.56</v>
      </c>
      <c r="CM104" s="3">
        <v>46058</v>
      </c>
      <c r="CN104" s="1">
        <v>5.4850000000000003</v>
      </c>
      <c r="CO104" s="3">
        <v>46057</v>
      </c>
      <c r="CP104" s="1">
        <v>5.4950000000000001</v>
      </c>
      <c r="CQ104" s="3">
        <v>46057</v>
      </c>
      <c r="CR104" s="1">
        <v>5.4950000000000001</v>
      </c>
      <c r="CS104" s="3">
        <v>46057</v>
      </c>
      <c r="CT104" s="1">
        <v>5.5</v>
      </c>
    </row>
    <row r="105" spans="31:98" x14ac:dyDescent="0.2">
      <c r="AE105" s="3">
        <v>46057</v>
      </c>
      <c r="AF105" s="1">
        <v>4</v>
      </c>
      <c r="AG105" s="3">
        <v>46051</v>
      </c>
      <c r="AH105" s="1">
        <v>3.9</v>
      </c>
      <c r="AI105" s="3">
        <v>46057</v>
      </c>
      <c r="AJ105" s="2">
        <v>3.8149999999999999</v>
      </c>
      <c r="AK105" s="3">
        <v>46057</v>
      </c>
      <c r="AL105" s="2">
        <v>3.637</v>
      </c>
      <c r="AM105" s="3">
        <v>46057</v>
      </c>
      <c r="AN105" s="2">
        <v>3.4950000000000001</v>
      </c>
      <c r="AO105" s="3">
        <v>46057</v>
      </c>
      <c r="AP105" s="2">
        <v>3.3849999999999998</v>
      </c>
      <c r="AQ105" s="3">
        <v>46057</v>
      </c>
      <c r="AR105" s="2">
        <v>3.37</v>
      </c>
      <c r="AS105" s="3">
        <v>46057</v>
      </c>
      <c r="AT105" s="2">
        <v>3.4049999999999998</v>
      </c>
      <c r="AU105" s="3">
        <v>46057</v>
      </c>
      <c r="AV105" s="2">
        <v>3.45</v>
      </c>
      <c r="AW105" s="3">
        <v>46057</v>
      </c>
      <c r="AX105" s="2">
        <v>3.5</v>
      </c>
      <c r="AY105" s="3">
        <v>46057</v>
      </c>
      <c r="AZ105" s="2">
        <v>3.5550000000000002</v>
      </c>
      <c r="BB105" s="3">
        <v>46051</v>
      </c>
      <c r="BC105" s="1">
        <v>3.5</v>
      </c>
      <c r="BD105" s="3">
        <v>46051</v>
      </c>
      <c r="BE105" s="1">
        <v>3.46</v>
      </c>
      <c r="BF105" s="3">
        <v>46057</v>
      </c>
      <c r="BG105" s="1">
        <v>3.42</v>
      </c>
      <c r="BH105" s="3">
        <v>46057</v>
      </c>
      <c r="BI105" s="1">
        <v>3.343</v>
      </c>
      <c r="BJ105" s="3">
        <v>46057</v>
      </c>
      <c r="BK105" s="1">
        <v>3.32</v>
      </c>
      <c r="BL105" s="3">
        <v>46057</v>
      </c>
      <c r="BM105" s="1">
        <v>3.19</v>
      </c>
      <c r="BN105" s="3">
        <v>46057</v>
      </c>
      <c r="BO105" s="1">
        <v>3.153</v>
      </c>
      <c r="BP105" s="3">
        <v>46057</v>
      </c>
      <c r="BQ105" s="1">
        <v>3.1779999999999999</v>
      </c>
      <c r="BR105" s="3">
        <v>46057</v>
      </c>
      <c r="BS105" s="1">
        <v>3.2280000000000002</v>
      </c>
      <c r="BT105" s="3">
        <v>46057</v>
      </c>
      <c r="BU105" s="1">
        <v>3.29</v>
      </c>
      <c r="BV105" s="3">
        <v>46057</v>
      </c>
      <c r="BW105" s="1">
        <v>3.3580000000000001</v>
      </c>
      <c r="BY105" s="3">
        <v>46055</v>
      </c>
      <c r="BZ105" s="1">
        <v>6.5</v>
      </c>
      <c r="CA105" s="3">
        <v>46051</v>
      </c>
      <c r="CB105" s="1">
        <v>6.39</v>
      </c>
      <c r="CC105" s="3">
        <v>46057</v>
      </c>
      <c r="CD105" s="1">
        <v>6.1710000000000003</v>
      </c>
      <c r="CE105" s="3">
        <v>46057</v>
      </c>
      <c r="CF105" s="1">
        <v>6.0510000000000002</v>
      </c>
      <c r="CG105" s="3">
        <v>46057</v>
      </c>
      <c r="CH105" s="1">
        <v>5.96</v>
      </c>
      <c r="CI105" s="3">
        <v>46057</v>
      </c>
      <c r="CJ105" s="1">
        <v>5.75</v>
      </c>
      <c r="CK105" s="3">
        <v>46057</v>
      </c>
      <c r="CL105" s="1">
        <v>5.56</v>
      </c>
      <c r="CM105" s="3">
        <v>46057</v>
      </c>
      <c r="CN105" s="1">
        <v>5.4950000000000001</v>
      </c>
      <c r="CO105" s="3">
        <v>46056</v>
      </c>
      <c r="CP105" s="1">
        <v>5.48</v>
      </c>
      <c r="CQ105" s="3">
        <v>46056</v>
      </c>
      <c r="CR105" s="1">
        <v>5.4850000000000003</v>
      </c>
      <c r="CS105" s="3">
        <v>46056</v>
      </c>
      <c r="CT105" s="1">
        <v>5.49</v>
      </c>
    </row>
    <row r="106" spans="31:98" x14ac:dyDescent="0.2">
      <c r="AE106" s="3">
        <v>46056</v>
      </c>
      <c r="AF106" s="1">
        <v>4</v>
      </c>
      <c r="AG106" s="3">
        <v>46050</v>
      </c>
      <c r="AH106" s="1">
        <v>3.9</v>
      </c>
      <c r="AI106" s="3">
        <v>46056</v>
      </c>
      <c r="AJ106" s="2">
        <v>3.73</v>
      </c>
      <c r="AK106" s="3">
        <v>46056</v>
      </c>
      <c r="AL106" s="2">
        <v>3.5550000000000002</v>
      </c>
      <c r="AM106" s="3">
        <v>46056</v>
      </c>
      <c r="AN106" s="2">
        <v>3.4474999999999998</v>
      </c>
      <c r="AO106" s="3">
        <v>46056</v>
      </c>
      <c r="AP106" s="2">
        <v>3.335</v>
      </c>
      <c r="AQ106" s="3">
        <v>46056</v>
      </c>
      <c r="AR106" s="2">
        <v>3.3174999999999999</v>
      </c>
      <c r="AS106" s="3">
        <v>46056</v>
      </c>
      <c r="AT106" s="2">
        <v>3.35</v>
      </c>
      <c r="AU106" s="3">
        <v>46056</v>
      </c>
      <c r="AV106" s="2">
        <v>3.395</v>
      </c>
      <c r="AW106" s="3">
        <v>46056</v>
      </c>
      <c r="AX106" s="2">
        <v>3.4474999999999998</v>
      </c>
      <c r="AY106" s="3">
        <v>46056</v>
      </c>
      <c r="AZ106" s="2">
        <v>3.5024999999999999</v>
      </c>
      <c r="BB106" s="3">
        <v>46050</v>
      </c>
      <c r="BC106" s="1">
        <v>3.5</v>
      </c>
      <c r="BD106" s="3">
        <v>46050</v>
      </c>
      <c r="BE106" s="1">
        <v>3.46</v>
      </c>
      <c r="BF106" s="3">
        <v>46056</v>
      </c>
      <c r="BG106" s="1">
        <v>3.415</v>
      </c>
      <c r="BH106" s="3">
        <v>46056</v>
      </c>
      <c r="BI106" s="1">
        <v>3.35</v>
      </c>
      <c r="BJ106" s="3">
        <v>46056</v>
      </c>
      <c r="BK106" s="1">
        <v>3.323</v>
      </c>
      <c r="BL106" s="3">
        <v>46056</v>
      </c>
      <c r="BM106" s="1">
        <v>3.2080000000000002</v>
      </c>
      <c r="BN106" s="3">
        <v>46056</v>
      </c>
      <c r="BO106" s="1">
        <v>3.173</v>
      </c>
      <c r="BP106" s="3">
        <v>46056</v>
      </c>
      <c r="BQ106" s="1">
        <v>3.2029999999999998</v>
      </c>
      <c r="BR106" s="3">
        <v>46056</v>
      </c>
      <c r="BS106" s="1">
        <v>3.2530000000000001</v>
      </c>
      <c r="BT106" s="3">
        <v>46056</v>
      </c>
      <c r="BU106" s="1">
        <v>3.32</v>
      </c>
      <c r="BV106" s="3">
        <v>46056</v>
      </c>
      <c r="BW106" s="1">
        <v>3.39</v>
      </c>
      <c r="BY106" s="3">
        <v>46052</v>
      </c>
      <c r="BZ106" s="1">
        <v>6.5</v>
      </c>
      <c r="CA106" s="3">
        <v>46050</v>
      </c>
      <c r="CB106" s="1">
        <v>6.4</v>
      </c>
      <c r="CC106" s="3">
        <v>46056</v>
      </c>
      <c r="CD106" s="1">
        <v>6.18</v>
      </c>
      <c r="CE106" s="3">
        <v>46056</v>
      </c>
      <c r="CF106" s="1">
        <v>6.05</v>
      </c>
      <c r="CG106" s="3">
        <v>46056</v>
      </c>
      <c r="CH106" s="1">
        <v>5.95</v>
      </c>
      <c r="CI106" s="3">
        <v>46056</v>
      </c>
      <c r="CJ106" s="1">
        <v>5.73</v>
      </c>
      <c r="CK106" s="3">
        <v>46056</v>
      </c>
      <c r="CL106" s="1">
        <v>5.53</v>
      </c>
      <c r="CM106" s="3">
        <v>46056</v>
      </c>
      <c r="CN106" s="1">
        <v>5.48</v>
      </c>
      <c r="CO106" s="3">
        <v>46055</v>
      </c>
      <c r="CP106" s="1">
        <v>5.5</v>
      </c>
      <c r="CQ106" s="3">
        <v>46055</v>
      </c>
      <c r="CR106" s="1">
        <v>5.5049999999999999</v>
      </c>
      <c r="CS106" s="3">
        <v>46055</v>
      </c>
      <c r="CT106" s="1">
        <v>5.51</v>
      </c>
    </row>
    <row r="107" spans="31:98" x14ac:dyDescent="0.2">
      <c r="AE107" s="3">
        <v>46055</v>
      </c>
      <c r="AF107" s="1">
        <v>4</v>
      </c>
      <c r="AG107" s="3">
        <v>46049</v>
      </c>
      <c r="AH107" s="1">
        <v>3.91</v>
      </c>
      <c r="AI107" s="3">
        <v>46055</v>
      </c>
      <c r="AJ107" s="2">
        <v>3.7450000000000001</v>
      </c>
      <c r="AK107" s="3">
        <v>46055</v>
      </c>
      <c r="AL107" s="2">
        <v>3.57</v>
      </c>
      <c r="AM107" s="3">
        <v>46055</v>
      </c>
      <c r="AN107" s="2">
        <v>3.4624999999999999</v>
      </c>
      <c r="AO107" s="3">
        <v>46055</v>
      </c>
      <c r="AP107" s="2">
        <v>3.3525</v>
      </c>
      <c r="AQ107" s="3">
        <v>46055</v>
      </c>
      <c r="AR107" s="2">
        <v>3.3374999999999999</v>
      </c>
      <c r="AS107" s="3">
        <v>46055</v>
      </c>
      <c r="AT107" s="2">
        <v>3.37</v>
      </c>
      <c r="AU107" s="3">
        <v>46055</v>
      </c>
      <c r="AV107" s="2">
        <v>3.4175</v>
      </c>
      <c r="AW107" s="3">
        <v>46055</v>
      </c>
      <c r="AX107" s="2">
        <v>3.47</v>
      </c>
      <c r="AY107" s="3">
        <v>46055</v>
      </c>
      <c r="AZ107" s="2">
        <v>3.5274999999999999</v>
      </c>
      <c r="BB107" s="3">
        <v>46049</v>
      </c>
      <c r="BC107" s="1">
        <v>3.5</v>
      </c>
      <c r="BD107" s="3">
        <v>46049</v>
      </c>
      <c r="BE107" s="1">
        <v>3.48</v>
      </c>
      <c r="BF107" s="3">
        <v>46055</v>
      </c>
      <c r="BG107" s="1">
        <v>3.4249999999999998</v>
      </c>
      <c r="BH107" s="3">
        <v>46055</v>
      </c>
      <c r="BI107" s="1">
        <v>3.359</v>
      </c>
      <c r="BJ107" s="3">
        <v>46055</v>
      </c>
      <c r="BK107" s="1">
        <v>3.3380000000000001</v>
      </c>
      <c r="BL107" s="3">
        <v>46055</v>
      </c>
      <c r="BM107" s="1">
        <v>3.2330000000000001</v>
      </c>
      <c r="BN107" s="3">
        <v>46055</v>
      </c>
      <c r="BO107" s="1">
        <v>3.2</v>
      </c>
      <c r="BP107" s="3">
        <v>46055</v>
      </c>
      <c r="BQ107" s="1">
        <v>3.2349999999999999</v>
      </c>
      <c r="BR107" s="3">
        <v>46055</v>
      </c>
      <c r="BS107" s="1">
        <v>3.2879999999999998</v>
      </c>
      <c r="BT107" s="3">
        <v>46055</v>
      </c>
      <c r="BU107" s="1">
        <v>3.355</v>
      </c>
      <c r="BV107" s="3">
        <v>46055</v>
      </c>
      <c r="BW107" s="1">
        <v>3.4279999999999999</v>
      </c>
      <c r="BY107" s="3">
        <v>46051</v>
      </c>
      <c r="BZ107" s="1">
        <v>6.5</v>
      </c>
      <c r="CA107" s="3">
        <v>46049</v>
      </c>
      <c r="CB107" s="1">
        <v>6.4</v>
      </c>
      <c r="CC107" s="3">
        <v>46055</v>
      </c>
      <c r="CD107" s="1">
        <v>6.18</v>
      </c>
      <c r="CE107" s="3">
        <v>46055</v>
      </c>
      <c r="CF107" s="1">
        <v>6.06</v>
      </c>
      <c r="CG107" s="3">
        <v>46055</v>
      </c>
      <c r="CH107" s="1">
        <v>5.96</v>
      </c>
      <c r="CI107" s="3">
        <v>46055</v>
      </c>
      <c r="CJ107" s="1">
        <v>5.76</v>
      </c>
      <c r="CK107" s="3">
        <v>46055</v>
      </c>
      <c r="CL107" s="1">
        <v>5.57</v>
      </c>
      <c r="CM107" s="3">
        <v>46055</v>
      </c>
      <c r="CN107" s="1">
        <v>5.5</v>
      </c>
      <c r="CO107" s="3">
        <v>46052</v>
      </c>
      <c r="CP107" s="1">
        <v>5.5049999999999999</v>
      </c>
      <c r="CQ107" s="3">
        <v>46052</v>
      </c>
      <c r="CR107" s="1">
        <v>5.51</v>
      </c>
      <c r="CS107" s="3">
        <v>46052</v>
      </c>
      <c r="CT107" s="1">
        <v>5.5149999999999997</v>
      </c>
    </row>
    <row r="108" spans="31:98" x14ac:dyDescent="0.2">
      <c r="AE108" s="3">
        <v>46052</v>
      </c>
      <c r="AF108" s="1">
        <v>4</v>
      </c>
      <c r="AG108" s="3">
        <v>46048</v>
      </c>
      <c r="AH108" s="1">
        <v>3.92</v>
      </c>
      <c r="AI108" s="3">
        <v>46052</v>
      </c>
      <c r="AJ108" s="2">
        <v>3.7549999999999999</v>
      </c>
      <c r="AK108" s="3">
        <v>46052</v>
      </c>
      <c r="AL108" s="2">
        <v>3.5924999999999998</v>
      </c>
      <c r="AM108" s="3">
        <v>46052</v>
      </c>
      <c r="AN108" s="2">
        <v>3.48</v>
      </c>
      <c r="AO108" s="3">
        <v>46052</v>
      </c>
      <c r="AP108" s="2">
        <v>3.3725000000000001</v>
      </c>
      <c r="AQ108" s="3">
        <v>46052</v>
      </c>
      <c r="AR108" s="2">
        <v>3.36</v>
      </c>
      <c r="AS108" s="3">
        <v>46052</v>
      </c>
      <c r="AT108" s="2">
        <v>3.395</v>
      </c>
      <c r="AU108" s="3">
        <v>46052</v>
      </c>
      <c r="AV108" s="2">
        <v>3.44</v>
      </c>
      <c r="AW108" s="3">
        <v>46052</v>
      </c>
      <c r="AX108" s="2">
        <v>3.49</v>
      </c>
      <c r="AY108" s="3">
        <v>46052</v>
      </c>
      <c r="AZ108" s="2">
        <v>3.5474999999999999</v>
      </c>
      <c r="BB108" s="3">
        <v>46048</v>
      </c>
      <c r="BC108" s="1">
        <v>3.5</v>
      </c>
      <c r="BD108" s="3">
        <v>46048</v>
      </c>
      <c r="BE108" s="1">
        <v>3.48</v>
      </c>
      <c r="BF108" s="3">
        <v>46052</v>
      </c>
      <c r="BG108" s="1">
        <v>3.4249999999999998</v>
      </c>
      <c r="BH108" s="3">
        <v>46052</v>
      </c>
      <c r="BI108" s="1">
        <v>3.36</v>
      </c>
      <c r="BJ108" s="3">
        <v>46052</v>
      </c>
      <c r="BK108" s="1">
        <v>3.34</v>
      </c>
      <c r="BL108" s="3">
        <v>46052</v>
      </c>
      <c r="BM108" s="1">
        <v>3.2330000000000001</v>
      </c>
      <c r="BN108" s="3">
        <v>46052</v>
      </c>
      <c r="BO108" s="1">
        <v>3.2029999999999998</v>
      </c>
      <c r="BP108" s="3">
        <v>46052</v>
      </c>
      <c r="BQ108" s="1">
        <v>3.2330000000000001</v>
      </c>
      <c r="BR108" s="3">
        <v>46052</v>
      </c>
      <c r="BS108" s="1">
        <v>3.2730000000000001</v>
      </c>
      <c r="BT108" s="3">
        <v>46052</v>
      </c>
      <c r="BU108" s="1">
        <v>3.3380000000000001</v>
      </c>
      <c r="BV108" s="3">
        <v>46052</v>
      </c>
      <c r="BW108" s="1">
        <v>3.41</v>
      </c>
      <c r="BY108" s="3">
        <v>46050</v>
      </c>
      <c r="BZ108" s="1">
        <v>6.5</v>
      </c>
      <c r="CA108" s="3">
        <v>46048</v>
      </c>
      <c r="CB108" s="1">
        <v>6.4</v>
      </c>
      <c r="CC108" s="3">
        <v>46052</v>
      </c>
      <c r="CD108" s="1">
        <v>6.19</v>
      </c>
      <c r="CE108" s="3">
        <v>46052</v>
      </c>
      <c r="CF108" s="1">
        <v>6.06</v>
      </c>
      <c r="CG108" s="3">
        <v>46052</v>
      </c>
      <c r="CH108" s="1">
        <v>5.97</v>
      </c>
      <c r="CI108" s="3">
        <v>46052</v>
      </c>
      <c r="CJ108" s="1">
        <v>5.77</v>
      </c>
      <c r="CK108" s="3">
        <v>46052</v>
      </c>
      <c r="CL108" s="1">
        <v>5.57</v>
      </c>
      <c r="CM108" s="3">
        <v>46052</v>
      </c>
      <c r="CN108" s="1">
        <v>5.5</v>
      </c>
      <c r="CO108" s="3">
        <v>46051</v>
      </c>
      <c r="CP108" s="1">
        <v>5.53</v>
      </c>
      <c r="CQ108" s="3">
        <v>46051</v>
      </c>
      <c r="CR108" s="1">
        <v>5.5350000000000001</v>
      </c>
      <c r="CS108" s="3">
        <v>46051</v>
      </c>
      <c r="CT108" s="1">
        <v>5.54</v>
      </c>
    </row>
    <row r="109" spans="31:98" x14ac:dyDescent="0.2">
      <c r="AE109" s="3">
        <v>46051</v>
      </c>
      <c r="AF109" s="1">
        <v>4</v>
      </c>
      <c r="AG109" s="3">
        <v>46045</v>
      </c>
      <c r="AH109" s="1">
        <v>3.92</v>
      </c>
      <c r="AI109" s="3">
        <v>46051</v>
      </c>
      <c r="AJ109" s="2">
        <v>3.76</v>
      </c>
      <c r="AK109" s="3">
        <v>46051</v>
      </c>
      <c r="AL109" s="2">
        <v>3.5950000000000002</v>
      </c>
      <c r="AM109" s="3">
        <v>46051</v>
      </c>
      <c r="AN109" s="2">
        <v>3.4824999999999999</v>
      </c>
      <c r="AO109" s="3">
        <v>46051</v>
      </c>
      <c r="AP109" s="2">
        <v>3.3774999999999999</v>
      </c>
      <c r="AQ109" s="3">
        <v>46051</v>
      </c>
      <c r="AR109" s="2">
        <v>3.3650000000000002</v>
      </c>
      <c r="AS109" s="3">
        <v>46051</v>
      </c>
      <c r="AT109" s="2">
        <v>3.395</v>
      </c>
      <c r="AU109" s="3">
        <v>46051</v>
      </c>
      <c r="AV109" s="2">
        <v>3.44</v>
      </c>
      <c r="AW109" s="3">
        <v>46051</v>
      </c>
      <c r="AX109" s="2">
        <v>3.49</v>
      </c>
      <c r="AY109" s="3">
        <v>46051</v>
      </c>
      <c r="AZ109" s="2">
        <v>3.5449999999999999</v>
      </c>
      <c r="BB109" s="3">
        <v>46045</v>
      </c>
      <c r="BC109" s="1">
        <v>3.5</v>
      </c>
      <c r="BD109" s="3">
        <v>46045</v>
      </c>
      <c r="BE109" s="1">
        <v>3.48</v>
      </c>
      <c r="BF109" s="3">
        <v>46051</v>
      </c>
      <c r="BG109" s="1">
        <v>3.4249999999999998</v>
      </c>
      <c r="BH109" s="3">
        <v>46051</v>
      </c>
      <c r="BI109" s="1">
        <v>3.3610000000000002</v>
      </c>
      <c r="BJ109" s="3">
        <v>46051</v>
      </c>
      <c r="BK109" s="1">
        <v>3.3330000000000002</v>
      </c>
      <c r="BL109" s="3">
        <v>46051</v>
      </c>
      <c r="BM109" s="1">
        <v>3.2250000000000001</v>
      </c>
      <c r="BN109" s="3">
        <v>46051</v>
      </c>
      <c r="BO109" s="1">
        <v>3.1949999999999998</v>
      </c>
      <c r="BP109" s="3">
        <v>46051</v>
      </c>
      <c r="BQ109" s="1">
        <v>3.2349999999999999</v>
      </c>
      <c r="BR109" s="3">
        <v>46051</v>
      </c>
      <c r="BS109" s="1">
        <v>3.2730000000000001</v>
      </c>
      <c r="BT109" s="3">
        <v>46051</v>
      </c>
      <c r="BU109" s="1">
        <v>3.3330000000000002</v>
      </c>
      <c r="BV109" s="3">
        <v>46051</v>
      </c>
      <c r="BW109" s="1">
        <v>3.4079999999999999</v>
      </c>
      <c r="BY109" s="3">
        <v>46049</v>
      </c>
      <c r="BZ109" s="1">
        <v>6.5</v>
      </c>
      <c r="CA109" s="3">
        <v>46045</v>
      </c>
      <c r="CB109" s="1">
        <v>6.4</v>
      </c>
      <c r="CC109" s="3">
        <v>46051</v>
      </c>
      <c r="CD109" s="1">
        <v>6.23</v>
      </c>
      <c r="CE109" s="3">
        <v>46051</v>
      </c>
      <c r="CF109" s="1">
        <v>6.1</v>
      </c>
      <c r="CG109" s="3">
        <v>46051</v>
      </c>
      <c r="CH109" s="1">
        <v>5.99</v>
      </c>
      <c r="CI109" s="3">
        <v>46051</v>
      </c>
      <c r="CJ109" s="1">
        <v>5.79</v>
      </c>
      <c r="CK109" s="3">
        <v>46051</v>
      </c>
      <c r="CL109" s="1">
        <v>5.59</v>
      </c>
      <c r="CM109" s="3">
        <v>46051</v>
      </c>
      <c r="CN109" s="1">
        <v>5.52</v>
      </c>
      <c r="CO109" s="3">
        <v>46050</v>
      </c>
      <c r="CP109" s="1">
        <v>5.4649999999999999</v>
      </c>
      <c r="CQ109" s="3">
        <v>46050</v>
      </c>
      <c r="CR109" s="1">
        <v>5.4775</v>
      </c>
      <c r="CS109" s="3">
        <v>46050</v>
      </c>
      <c r="CT109" s="1">
        <v>5.49</v>
      </c>
    </row>
    <row r="110" spans="31:98" x14ac:dyDescent="0.2">
      <c r="AE110" s="3">
        <v>46050</v>
      </c>
      <c r="AF110" s="1">
        <v>4</v>
      </c>
      <c r="AG110" s="3">
        <v>46044</v>
      </c>
      <c r="AH110" s="1">
        <v>3.91</v>
      </c>
      <c r="AI110" s="3">
        <v>46050</v>
      </c>
      <c r="AJ110" s="2">
        <v>3.7675000000000001</v>
      </c>
      <c r="AK110" s="3">
        <v>46050</v>
      </c>
      <c r="AL110" s="2">
        <v>3.6</v>
      </c>
      <c r="AM110" s="3">
        <v>46050</v>
      </c>
      <c r="AN110" s="2">
        <v>3.48</v>
      </c>
      <c r="AO110" s="3">
        <v>46050</v>
      </c>
      <c r="AP110" s="2">
        <v>3.3675000000000002</v>
      </c>
      <c r="AQ110" s="3">
        <v>46050</v>
      </c>
      <c r="AR110" s="2">
        <v>3.3525</v>
      </c>
      <c r="AS110" s="3">
        <v>46050</v>
      </c>
      <c r="AT110" s="2">
        <v>3.3824999999999998</v>
      </c>
      <c r="AU110" s="3">
        <v>46050</v>
      </c>
      <c r="AV110" s="2">
        <v>3.4275000000000002</v>
      </c>
      <c r="AW110" s="3">
        <v>46050</v>
      </c>
      <c r="AX110" s="2">
        <v>3.4775</v>
      </c>
      <c r="AY110" s="3">
        <v>46050</v>
      </c>
      <c r="AZ110" s="2">
        <v>3.5325000000000002</v>
      </c>
      <c r="BB110" s="3">
        <v>46044</v>
      </c>
      <c r="BC110" s="1">
        <v>3.5</v>
      </c>
      <c r="BD110" s="3">
        <v>46044</v>
      </c>
      <c r="BE110" s="1">
        <v>3.49</v>
      </c>
      <c r="BF110" s="3">
        <v>46050</v>
      </c>
      <c r="BG110" s="1">
        <v>3.4249999999999998</v>
      </c>
      <c r="BH110" s="3">
        <v>46050</v>
      </c>
      <c r="BI110" s="1">
        <v>3.3730000000000002</v>
      </c>
      <c r="BJ110" s="3">
        <v>46050</v>
      </c>
      <c r="BK110" s="1">
        <v>3.335</v>
      </c>
      <c r="BL110" s="3">
        <v>46050</v>
      </c>
      <c r="BM110" s="1">
        <v>3.2349999999999999</v>
      </c>
      <c r="BN110" s="3">
        <v>46050</v>
      </c>
      <c r="BO110" s="1">
        <v>3.2</v>
      </c>
      <c r="BP110" s="3">
        <v>46050</v>
      </c>
      <c r="BQ110" s="1">
        <v>3.23</v>
      </c>
      <c r="BR110" s="3">
        <v>46050</v>
      </c>
      <c r="BS110" s="1">
        <v>3.2749999999999999</v>
      </c>
      <c r="BT110" s="3">
        <v>46050</v>
      </c>
      <c r="BU110" s="1">
        <v>3.335</v>
      </c>
      <c r="BV110" s="3">
        <v>46050</v>
      </c>
      <c r="BW110" s="1">
        <v>3.4129999999999998</v>
      </c>
      <c r="BY110" s="3">
        <v>46048</v>
      </c>
      <c r="BZ110" s="1">
        <v>6.5</v>
      </c>
      <c r="CA110" s="3">
        <v>46044</v>
      </c>
      <c r="CB110" s="1">
        <v>6.4</v>
      </c>
      <c r="CC110" s="3">
        <v>46050</v>
      </c>
      <c r="CD110" s="1">
        <v>6.2024999999999997</v>
      </c>
      <c r="CE110" s="3">
        <v>46050</v>
      </c>
      <c r="CF110" s="1">
        <v>6.04</v>
      </c>
      <c r="CG110" s="3">
        <v>46050</v>
      </c>
      <c r="CH110" s="1">
        <v>5.99</v>
      </c>
      <c r="CI110" s="3">
        <v>46050</v>
      </c>
      <c r="CJ110" s="1">
        <v>5.7249999999999996</v>
      </c>
      <c r="CK110" s="3">
        <v>46050</v>
      </c>
      <c r="CL110" s="1">
        <v>5.5350000000000001</v>
      </c>
      <c r="CM110" s="3">
        <v>46050</v>
      </c>
      <c r="CN110" s="1">
        <v>5.46</v>
      </c>
      <c r="CO110" s="3">
        <v>46049</v>
      </c>
      <c r="CP110" s="1">
        <v>5.4450000000000003</v>
      </c>
      <c r="CQ110" s="3">
        <v>46049</v>
      </c>
      <c r="CR110" s="1">
        <v>5.4424999999999999</v>
      </c>
      <c r="CS110" s="3">
        <v>46049</v>
      </c>
      <c r="CT110" s="1">
        <v>5.4450000000000003</v>
      </c>
    </row>
    <row r="111" spans="31:98" x14ac:dyDescent="0.2">
      <c r="AE111" s="3">
        <v>46049</v>
      </c>
      <c r="AF111" s="1">
        <v>4</v>
      </c>
      <c r="AG111" s="3">
        <v>46043</v>
      </c>
      <c r="AH111" s="1">
        <v>3.9</v>
      </c>
      <c r="AI111" s="3">
        <v>46049</v>
      </c>
      <c r="AJ111" s="2">
        <v>3.77</v>
      </c>
      <c r="AK111" s="3">
        <v>46049</v>
      </c>
      <c r="AL111" s="2">
        <v>3.5950000000000002</v>
      </c>
      <c r="AM111" s="3">
        <v>46049</v>
      </c>
      <c r="AN111" s="2">
        <v>3.4849999999999999</v>
      </c>
      <c r="AO111" s="3">
        <v>46049</v>
      </c>
      <c r="AP111" s="2">
        <v>3.36</v>
      </c>
      <c r="AQ111" s="3">
        <v>46049</v>
      </c>
      <c r="AR111" s="2">
        <v>3.3424999999999998</v>
      </c>
      <c r="AS111" s="3">
        <v>46049</v>
      </c>
      <c r="AT111" s="2">
        <v>3.37</v>
      </c>
      <c r="AU111" s="3">
        <v>46049</v>
      </c>
      <c r="AV111" s="2">
        <v>3.415</v>
      </c>
      <c r="AW111" s="3">
        <v>46049</v>
      </c>
      <c r="AX111" s="2">
        <v>3.4649999999999999</v>
      </c>
      <c r="AY111" s="3">
        <v>46049</v>
      </c>
      <c r="AZ111" s="2">
        <v>3.5225</v>
      </c>
      <c r="BB111" s="3">
        <v>46043</v>
      </c>
      <c r="BC111" s="1">
        <v>3.5</v>
      </c>
      <c r="BD111" s="3">
        <v>46043</v>
      </c>
      <c r="BE111" s="1">
        <v>3.5</v>
      </c>
      <c r="BF111" s="3">
        <v>46049</v>
      </c>
      <c r="BG111" s="1">
        <v>3.43</v>
      </c>
      <c r="BH111" s="3">
        <v>46049</v>
      </c>
      <c r="BI111" s="1">
        <v>3.371</v>
      </c>
      <c r="BJ111" s="3">
        <v>46049</v>
      </c>
      <c r="BK111" s="1">
        <v>3.335</v>
      </c>
      <c r="BL111" s="3">
        <v>46049</v>
      </c>
      <c r="BM111" s="1">
        <v>3.24</v>
      </c>
      <c r="BN111" s="3">
        <v>46049</v>
      </c>
      <c r="BO111" s="1">
        <v>3.2</v>
      </c>
      <c r="BP111" s="3">
        <v>46049</v>
      </c>
      <c r="BQ111" s="1">
        <v>3.23</v>
      </c>
      <c r="BR111" s="3">
        <v>46049</v>
      </c>
      <c r="BS111" s="1">
        <v>3.2850000000000001</v>
      </c>
      <c r="BT111" s="3">
        <v>46049</v>
      </c>
      <c r="BU111" s="1">
        <v>3.355</v>
      </c>
      <c r="BV111" s="3">
        <v>46049</v>
      </c>
      <c r="BW111" s="1">
        <v>3.448</v>
      </c>
      <c r="BY111" s="3">
        <v>46045</v>
      </c>
      <c r="BZ111" s="1">
        <v>6.5</v>
      </c>
      <c r="CA111" s="3">
        <v>46043</v>
      </c>
      <c r="CB111" s="1">
        <v>6.4</v>
      </c>
      <c r="CC111" s="3">
        <v>46049</v>
      </c>
      <c r="CD111" s="1">
        <v>6.2275</v>
      </c>
      <c r="CE111" s="3">
        <v>46049</v>
      </c>
      <c r="CF111" s="1">
        <v>6.06</v>
      </c>
      <c r="CG111" s="3">
        <v>46049</v>
      </c>
      <c r="CH111" s="1">
        <v>5.98</v>
      </c>
      <c r="CI111" s="3">
        <v>46049</v>
      </c>
      <c r="CJ111" s="1">
        <v>5.7149999999999999</v>
      </c>
      <c r="CK111" s="3">
        <v>46049</v>
      </c>
      <c r="CL111" s="1">
        <v>5.52</v>
      </c>
      <c r="CM111" s="3">
        <v>46049</v>
      </c>
      <c r="CN111" s="1">
        <v>5.44</v>
      </c>
      <c r="CO111" s="3">
        <v>46048</v>
      </c>
      <c r="CP111" s="1">
        <v>5.4950000000000001</v>
      </c>
      <c r="CQ111" s="3">
        <v>46048</v>
      </c>
      <c r="CR111" s="1">
        <v>5.4950000000000001</v>
      </c>
      <c r="CS111" s="3">
        <v>46048</v>
      </c>
      <c r="CT111" s="1">
        <v>5.4950000000000001</v>
      </c>
    </row>
    <row r="112" spans="31:98" x14ac:dyDescent="0.2">
      <c r="AE112" s="3">
        <v>46048</v>
      </c>
      <c r="AF112" s="1">
        <v>4</v>
      </c>
      <c r="AG112" s="3">
        <v>46042</v>
      </c>
      <c r="AH112" s="1">
        <v>3.91</v>
      </c>
      <c r="AI112" s="3">
        <v>46048</v>
      </c>
      <c r="AJ112" s="2">
        <v>3.7825000000000002</v>
      </c>
      <c r="AK112" s="3">
        <v>46048</v>
      </c>
      <c r="AL112" s="2">
        <v>3.6025</v>
      </c>
      <c r="AM112" s="3">
        <v>46048</v>
      </c>
      <c r="AN112" s="2">
        <v>3.4824999999999999</v>
      </c>
      <c r="AO112" s="3">
        <v>46048</v>
      </c>
      <c r="AP112" s="2">
        <v>3.36</v>
      </c>
      <c r="AQ112" s="3">
        <v>46048</v>
      </c>
      <c r="AR112" s="2">
        <v>3.3424999999999998</v>
      </c>
      <c r="AS112" s="3">
        <v>46048</v>
      </c>
      <c r="AT112" s="2">
        <v>3.3675000000000002</v>
      </c>
      <c r="AU112" s="3">
        <v>46048</v>
      </c>
      <c r="AV112" s="2">
        <v>3.41</v>
      </c>
      <c r="AW112" s="3">
        <v>46048</v>
      </c>
      <c r="AX112" s="2">
        <v>3.4624999999999999</v>
      </c>
      <c r="AY112" s="3">
        <v>46048</v>
      </c>
      <c r="AZ112" s="2">
        <v>3.52</v>
      </c>
      <c r="BB112" s="3">
        <v>46042</v>
      </c>
      <c r="BC112" s="1">
        <v>3.5</v>
      </c>
      <c r="BD112" s="3">
        <v>46042</v>
      </c>
      <c r="BE112" s="1">
        <v>3.5</v>
      </c>
      <c r="BF112" s="3">
        <v>46048</v>
      </c>
      <c r="BG112" s="1">
        <v>3.4649999999999999</v>
      </c>
      <c r="BH112" s="3">
        <v>46048</v>
      </c>
      <c r="BI112" s="1">
        <v>3.4060000000000001</v>
      </c>
      <c r="BJ112" s="3">
        <v>46048</v>
      </c>
      <c r="BK112" s="1">
        <v>3.3730000000000002</v>
      </c>
      <c r="BL112" s="3">
        <v>46048</v>
      </c>
      <c r="BM112" s="1">
        <v>3.2930000000000001</v>
      </c>
      <c r="BN112" s="3">
        <v>46048</v>
      </c>
      <c r="BO112" s="1">
        <v>3.2679999999999998</v>
      </c>
      <c r="BP112" s="3">
        <v>46048</v>
      </c>
      <c r="BQ112" s="1">
        <v>3.323</v>
      </c>
      <c r="BR112" s="3">
        <v>46048</v>
      </c>
      <c r="BS112" s="1">
        <v>3.4</v>
      </c>
      <c r="BT112" s="3">
        <v>46048</v>
      </c>
      <c r="BU112" s="1">
        <v>3.47</v>
      </c>
      <c r="BV112" s="3">
        <v>46048</v>
      </c>
      <c r="BW112" s="1">
        <v>3.56</v>
      </c>
      <c r="BY112" s="3">
        <v>46044</v>
      </c>
      <c r="BZ112" s="1">
        <v>6.5</v>
      </c>
      <c r="CA112" s="3">
        <v>46042</v>
      </c>
      <c r="CB112" s="1">
        <v>6.4</v>
      </c>
      <c r="CC112" s="3">
        <v>46048</v>
      </c>
      <c r="CD112" s="1">
        <v>6.2424999999999997</v>
      </c>
      <c r="CE112" s="3">
        <v>46048</v>
      </c>
      <c r="CF112" s="1">
        <v>6.06</v>
      </c>
      <c r="CG112" s="3">
        <v>46048</v>
      </c>
      <c r="CH112" s="1">
        <v>5.97</v>
      </c>
      <c r="CI112" s="3">
        <v>46048</v>
      </c>
      <c r="CJ112" s="1">
        <v>5.7350000000000003</v>
      </c>
      <c r="CK112" s="3">
        <v>46048</v>
      </c>
      <c r="CL112" s="1">
        <v>5.5549999999999997</v>
      </c>
      <c r="CM112" s="3">
        <v>46048</v>
      </c>
      <c r="CN112" s="1">
        <v>5.4950000000000001</v>
      </c>
      <c r="CO112" s="3">
        <v>46045</v>
      </c>
      <c r="CP112" s="1">
        <v>5.4950000000000001</v>
      </c>
      <c r="CQ112" s="3">
        <v>46045</v>
      </c>
      <c r="CR112" s="1">
        <v>5.4950000000000001</v>
      </c>
      <c r="CS112" s="3">
        <v>46045</v>
      </c>
      <c r="CT112" s="1">
        <v>5.4950000000000001</v>
      </c>
    </row>
    <row r="113" spans="31:98" x14ac:dyDescent="0.2">
      <c r="AE113" s="3">
        <v>46045</v>
      </c>
      <c r="AF113" s="1">
        <v>4</v>
      </c>
      <c r="AG113" s="3">
        <v>46041</v>
      </c>
      <c r="AH113" s="1">
        <v>3.94</v>
      </c>
      <c r="AI113" s="3">
        <v>46045</v>
      </c>
      <c r="AJ113" s="2">
        <v>3.79</v>
      </c>
      <c r="AK113" s="3">
        <v>46045</v>
      </c>
      <c r="AL113" s="2">
        <v>3.6150000000000002</v>
      </c>
      <c r="AM113" s="3">
        <v>46045</v>
      </c>
      <c r="AN113" s="2">
        <v>3.4950000000000001</v>
      </c>
      <c r="AO113" s="3">
        <v>46045</v>
      </c>
      <c r="AP113" s="2">
        <v>3.375</v>
      </c>
      <c r="AQ113" s="3">
        <v>46045</v>
      </c>
      <c r="AR113" s="2">
        <v>3.3574999999999999</v>
      </c>
      <c r="AS113" s="3">
        <v>46045</v>
      </c>
      <c r="AT113" s="2">
        <v>3.38</v>
      </c>
      <c r="AU113" s="3">
        <v>46045</v>
      </c>
      <c r="AV113" s="2">
        <v>3.4224999999999999</v>
      </c>
      <c r="AW113" s="3">
        <v>46045</v>
      </c>
      <c r="AX113" s="2">
        <v>3.4750000000000001</v>
      </c>
      <c r="AY113" s="3">
        <v>46045</v>
      </c>
      <c r="AZ113" s="2">
        <v>3.5325000000000002</v>
      </c>
      <c r="BB113" s="3">
        <v>46041</v>
      </c>
      <c r="BC113" s="1">
        <v>3.5</v>
      </c>
      <c r="BD113" s="3">
        <v>46041</v>
      </c>
      <c r="BE113" s="1">
        <v>3.5</v>
      </c>
      <c r="BF113" s="3">
        <v>46045</v>
      </c>
      <c r="BG113" s="1">
        <v>3.4649999999999999</v>
      </c>
      <c r="BH113" s="3">
        <v>46045</v>
      </c>
      <c r="BI113" s="1">
        <v>3.4079999999999999</v>
      </c>
      <c r="BJ113" s="3">
        <v>46045</v>
      </c>
      <c r="BK113" s="1">
        <v>3.37</v>
      </c>
      <c r="BL113" s="3">
        <v>46045</v>
      </c>
      <c r="BM113" s="1">
        <v>3.2930000000000001</v>
      </c>
      <c r="BN113" s="3">
        <v>46045</v>
      </c>
      <c r="BO113" s="1">
        <v>3.2730000000000001</v>
      </c>
      <c r="BP113" s="3">
        <v>46045</v>
      </c>
      <c r="BQ113" s="1">
        <v>3.3330000000000002</v>
      </c>
      <c r="BR113" s="3">
        <v>46045</v>
      </c>
      <c r="BS113" s="1">
        <v>3.42</v>
      </c>
      <c r="BT113" s="3">
        <v>46045</v>
      </c>
      <c r="BU113" s="1">
        <v>3.4950000000000001</v>
      </c>
      <c r="BV113" s="3">
        <v>46045</v>
      </c>
      <c r="BW113" s="1">
        <v>3.58</v>
      </c>
      <c r="BY113" s="3">
        <v>46043</v>
      </c>
      <c r="BZ113" s="1">
        <v>6.5</v>
      </c>
      <c r="CA113" s="3">
        <v>46041</v>
      </c>
      <c r="CB113" s="1">
        <v>6.4</v>
      </c>
      <c r="CC113" s="3">
        <v>46045</v>
      </c>
      <c r="CD113" s="1">
        <v>6.2539999999999996</v>
      </c>
      <c r="CE113" s="3">
        <v>46045</v>
      </c>
      <c r="CF113" s="1">
        <v>6.0884999999999998</v>
      </c>
      <c r="CG113" s="3">
        <v>46045</v>
      </c>
      <c r="CH113" s="1">
        <v>5.99</v>
      </c>
      <c r="CI113" s="3">
        <v>46045</v>
      </c>
      <c r="CJ113" s="1">
        <v>5.7450000000000001</v>
      </c>
      <c r="CK113" s="3">
        <v>46045</v>
      </c>
      <c r="CL113" s="1">
        <v>5.5650000000000004</v>
      </c>
      <c r="CM113" s="3">
        <v>46045</v>
      </c>
      <c r="CN113" s="1">
        <v>5.4950000000000001</v>
      </c>
      <c r="CO113" s="3">
        <v>46044</v>
      </c>
      <c r="CP113" s="1">
        <v>5.5549999999999997</v>
      </c>
      <c r="CQ113" s="3">
        <v>46044</v>
      </c>
      <c r="CR113" s="1">
        <v>5.5549999999999997</v>
      </c>
      <c r="CS113" s="3">
        <v>46044</v>
      </c>
      <c r="CT113" s="1">
        <v>5.5549999999999997</v>
      </c>
    </row>
    <row r="114" spans="31:98" x14ac:dyDescent="0.2">
      <c r="AE114" s="3">
        <v>46044</v>
      </c>
      <c r="AF114" s="1">
        <v>4</v>
      </c>
      <c r="AG114" s="3">
        <v>46038</v>
      </c>
      <c r="AH114" s="1">
        <v>3.94</v>
      </c>
      <c r="AI114" s="3">
        <v>46044</v>
      </c>
      <c r="AJ114" s="2">
        <v>3.8149999999999999</v>
      </c>
      <c r="AK114" s="3">
        <v>46044</v>
      </c>
      <c r="AL114" s="2">
        <v>3.6349999999999998</v>
      </c>
      <c r="AM114" s="3">
        <v>46044</v>
      </c>
      <c r="AN114" s="2">
        <v>3.5049999999999999</v>
      </c>
      <c r="AO114" s="3">
        <v>46044</v>
      </c>
      <c r="AP114" s="2">
        <v>3.3875000000000002</v>
      </c>
      <c r="AQ114" s="3">
        <v>46044</v>
      </c>
      <c r="AR114" s="2">
        <v>3.36</v>
      </c>
      <c r="AS114" s="3">
        <v>46044</v>
      </c>
      <c r="AT114" s="2">
        <v>3.39</v>
      </c>
      <c r="AU114" s="3">
        <v>46044</v>
      </c>
      <c r="AV114" s="2">
        <v>3.4249999999999998</v>
      </c>
      <c r="AW114" s="3">
        <v>46044</v>
      </c>
      <c r="AX114" s="2">
        <v>3.47</v>
      </c>
      <c r="AY114" s="3">
        <v>46044</v>
      </c>
      <c r="AZ114" s="2">
        <v>3.5249999999999999</v>
      </c>
      <c r="BB114" s="3">
        <v>46038</v>
      </c>
      <c r="BC114" s="1">
        <v>3.5</v>
      </c>
      <c r="BD114" s="3">
        <v>46038</v>
      </c>
      <c r="BE114" s="1">
        <v>3.5</v>
      </c>
      <c r="BF114" s="3">
        <v>46044</v>
      </c>
      <c r="BG114" s="1">
        <v>3.45</v>
      </c>
      <c r="BH114" s="3">
        <v>46044</v>
      </c>
      <c r="BI114" s="1">
        <v>3.399</v>
      </c>
      <c r="BJ114" s="3">
        <v>46044</v>
      </c>
      <c r="BK114" s="1">
        <v>3.363</v>
      </c>
      <c r="BL114" s="3">
        <v>46044</v>
      </c>
      <c r="BM114" s="1">
        <v>3.2829999999999999</v>
      </c>
      <c r="BN114" s="3">
        <v>46044</v>
      </c>
      <c r="BO114" s="1">
        <v>3.2629999999999999</v>
      </c>
      <c r="BP114" s="3">
        <v>46044</v>
      </c>
      <c r="BQ114" s="1">
        <v>3.3250000000000002</v>
      </c>
      <c r="BR114" s="3">
        <v>46044</v>
      </c>
      <c r="BS114" s="1">
        <v>3.41</v>
      </c>
      <c r="BT114" s="3">
        <v>46044</v>
      </c>
      <c r="BU114" s="1">
        <v>3.488</v>
      </c>
      <c r="BV114" s="3">
        <v>46044</v>
      </c>
      <c r="BW114" s="1">
        <v>3.573</v>
      </c>
      <c r="BY114" s="3">
        <v>46042</v>
      </c>
      <c r="BZ114" s="1">
        <v>6.5</v>
      </c>
      <c r="CA114" s="3">
        <v>46038</v>
      </c>
      <c r="CB114" s="1">
        <v>6.39</v>
      </c>
      <c r="CC114" s="3">
        <v>46044</v>
      </c>
      <c r="CD114" s="1">
        <v>6.335</v>
      </c>
      <c r="CE114" s="3">
        <v>46044</v>
      </c>
      <c r="CF114" s="1">
        <v>6.14</v>
      </c>
      <c r="CG114" s="3">
        <v>46044</v>
      </c>
      <c r="CH114" s="1">
        <v>5.99</v>
      </c>
      <c r="CI114" s="3">
        <v>46044</v>
      </c>
      <c r="CJ114" s="1">
        <v>5.75</v>
      </c>
      <c r="CK114" s="3">
        <v>46044</v>
      </c>
      <c r="CL114" s="1">
        <v>5.59</v>
      </c>
      <c r="CM114" s="3">
        <v>46044</v>
      </c>
      <c r="CN114" s="1">
        <v>5.5549999999999997</v>
      </c>
      <c r="CO114" s="3">
        <v>46043</v>
      </c>
      <c r="CP114" s="1">
        <v>5.5449999999999999</v>
      </c>
      <c r="CQ114" s="3">
        <v>46043</v>
      </c>
      <c r="CR114" s="1">
        <v>5.5549999999999997</v>
      </c>
      <c r="CS114" s="3">
        <v>46043</v>
      </c>
      <c r="CT114" s="1">
        <v>5.5650000000000004</v>
      </c>
    </row>
    <row r="115" spans="31:98" x14ac:dyDescent="0.2">
      <c r="AE115" s="3">
        <v>46043</v>
      </c>
      <c r="AF115" s="1">
        <v>4</v>
      </c>
      <c r="AG115" s="3">
        <v>46037</v>
      </c>
      <c r="AH115" s="1">
        <v>3.94</v>
      </c>
      <c r="AI115" s="3">
        <v>46043</v>
      </c>
      <c r="AJ115" s="2">
        <v>3.7774999999999999</v>
      </c>
      <c r="AK115" s="3">
        <v>46043</v>
      </c>
      <c r="AL115" s="2">
        <v>3.61</v>
      </c>
      <c r="AM115" s="3">
        <v>46043</v>
      </c>
      <c r="AN115" s="2">
        <v>3.47</v>
      </c>
      <c r="AO115" s="3">
        <v>46043</v>
      </c>
      <c r="AP115" s="2">
        <v>3.3275000000000001</v>
      </c>
      <c r="AQ115" s="3">
        <v>46043</v>
      </c>
      <c r="AR115" s="2">
        <v>3.31</v>
      </c>
      <c r="AS115" s="3">
        <v>46043</v>
      </c>
      <c r="AT115" s="2">
        <v>3.335</v>
      </c>
      <c r="AU115" s="3">
        <v>46043</v>
      </c>
      <c r="AV115" s="2">
        <v>3.3774999999999999</v>
      </c>
      <c r="AW115" s="3">
        <v>46043</v>
      </c>
      <c r="AX115" s="2">
        <v>3.4275000000000002</v>
      </c>
      <c r="AY115" s="3">
        <v>46043</v>
      </c>
      <c r="AZ115" s="2">
        <v>3.4849999999999999</v>
      </c>
      <c r="BB115" s="3">
        <v>46037</v>
      </c>
      <c r="BC115" s="1">
        <v>3.5</v>
      </c>
      <c r="BD115" s="3">
        <v>46037</v>
      </c>
      <c r="BE115" s="1">
        <v>3.5</v>
      </c>
      <c r="BF115" s="3">
        <v>46043</v>
      </c>
      <c r="BG115" s="1">
        <v>3.4550000000000001</v>
      </c>
      <c r="BH115" s="3">
        <v>46043</v>
      </c>
      <c r="BI115" s="1">
        <v>3.42</v>
      </c>
      <c r="BJ115" s="3">
        <v>46043</v>
      </c>
      <c r="BK115" s="1">
        <v>3.37</v>
      </c>
      <c r="BL115" s="3">
        <v>46043</v>
      </c>
      <c r="BM115" s="1">
        <v>3.26</v>
      </c>
      <c r="BN115" s="3">
        <v>46043</v>
      </c>
      <c r="BO115" s="1">
        <v>3.23</v>
      </c>
      <c r="BP115" s="3">
        <v>46043</v>
      </c>
      <c r="BQ115" s="1">
        <v>3.2949999999999999</v>
      </c>
      <c r="BR115" s="3">
        <v>46043</v>
      </c>
      <c r="BS115" s="1">
        <v>3.375</v>
      </c>
      <c r="BT115" s="3">
        <v>46043</v>
      </c>
      <c r="BU115" s="1">
        <v>3.45</v>
      </c>
      <c r="BV115" s="3">
        <v>46043</v>
      </c>
      <c r="BW115" s="1">
        <v>3.53</v>
      </c>
      <c r="BY115" s="3">
        <v>46041</v>
      </c>
      <c r="BZ115" s="1">
        <v>6.5</v>
      </c>
      <c r="CA115" s="3">
        <v>46037</v>
      </c>
      <c r="CB115" s="1">
        <v>6.39</v>
      </c>
      <c r="CC115" s="3">
        <v>46043</v>
      </c>
      <c r="CD115" s="1">
        <v>6.33</v>
      </c>
      <c r="CE115" s="3">
        <v>46043</v>
      </c>
      <c r="CF115" s="1">
        <v>6.16</v>
      </c>
      <c r="CG115" s="3">
        <v>46043</v>
      </c>
      <c r="CH115" s="1">
        <v>6.01</v>
      </c>
      <c r="CI115" s="3">
        <v>46043</v>
      </c>
      <c r="CJ115" s="1">
        <v>5.79</v>
      </c>
      <c r="CK115" s="3">
        <v>46043</v>
      </c>
      <c r="CL115" s="1">
        <v>5.6</v>
      </c>
      <c r="CM115" s="3">
        <v>46043</v>
      </c>
      <c r="CN115" s="1">
        <v>5.5449999999999999</v>
      </c>
      <c r="CO115" s="3">
        <v>46042</v>
      </c>
      <c r="CP115" s="1">
        <v>5.585</v>
      </c>
      <c r="CQ115" s="3">
        <v>46042</v>
      </c>
      <c r="CR115" s="1">
        <v>5.5949999999999998</v>
      </c>
      <c r="CS115" s="3">
        <v>46042</v>
      </c>
      <c r="CT115" s="1">
        <v>5.6025</v>
      </c>
    </row>
    <row r="116" spans="31:98" x14ac:dyDescent="0.2">
      <c r="AE116" s="3">
        <v>46042</v>
      </c>
      <c r="AF116" s="1">
        <v>4</v>
      </c>
      <c r="AG116" s="3">
        <v>46036</v>
      </c>
      <c r="AH116" s="1">
        <v>3.95</v>
      </c>
      <c r="AI116" s="3">
        <v>46042</v>
      </c>
      <c r="AJ116" s="2">
        <v>3.7850000000000001</v>
      </c>
      <c r="AK116" s="3">
        <v>46042</v>
      </c>
      <c r="AL116" s="2">
        <v>3.6269999999999998</v>
      </c>
      <c r="AM116" s="3">
        <v>46042</v>
      </c>
      <c r="AN116" s="2">
        <v>3.4729999999999999</v>
      </c>
      <c r="AO116" s="3">
        <v>46042</v>
      </c>
      <c r="AP116" s="2">
        <v>3.3290000000000002</v>
      </c>
      <c r="AQ116" s="3">
        <v>46042</v>
      </c>
      <c r="AR116" s="2">
        <v>3.3165</v>
      </c>
      <c r="AS116" s="3">
        <v>46042</v>
      </c>
      <c r="AT116" s="2">
        <v>3.3574999999999999</v>
      </c>
      <c r="AU116" s="3">
        <v>46042</v>
      </c>
      <c r="AV116" s="2">
        <v>3.4024999999999999</v>
      </c>
      <c r="AW116" s="3">
        <v>46042</v>
      </c>
      <c r="AX116" s="2">
        <v>3.4550000000000001</v>
      </c>
      <c r="AY116" s="3">
        <v>46042</v>
      </c>
      <c r="AZ116" s="2">
        <v>3.5125000000000002</v>
      </c>
      <c r="BB116" s="3">
        <v>46036</v>
      </c>
      <c r="BC116" s="1">
        <v>3.5</v>
      </c>
      <c r="BD116" s="3">
        <v>46036</v>
      </c>
      <c r="BE116" s="1">
        <v>3.5</v>
      </c>
      <c r="BF116" s="3">
        <v>46042</v>
      </c>
      <c r="BG116" s="1">
        <v>3.4830000000000001</v>
      </c>
      <c r="BH116" s="3">
        <v>46042</v>
      </c>
      <c r="BI116" s="1">
        <v>3.4540000000000002</v>
      </c>
      <c r="BJ116" s="3">
        <v>46042</v>
      </c>
      <c r="BK116" s="1">
        <v>3.415</v>
      </c>
      <c r="BL116" s="3">
        <v>46042</v>
      </c>
      <c r="BM116" s="1">
        <v>3.3</v>
      </c>
      <c r="BN116" s="3">
        <v>46042</v>
      </c>
      <c r="BO116" s="1">
        <v>3.286</v>
      </c>
      <c r="BP116" s="3">
        <v>46042</v>
      </c>
      <c r="BQ116" s="1">
        <v>3.3530000000000002</v>
      </c>
      <c r="BR116" s="3">
        <v>46042</v>
      </c>
      <c r="BS116" s="1">
        <v>3.4350000000000001</v>
      </c>
      <c r="BT116" s="3">
        <v>46042</v>
      </c>
      <c r="BU116" s="1">
        <v>3.5150000000000001</v>
      </c>
      <c r="BV116" s="3">
        <v>46042</v>
      </c>
      <c r="BW116" s="1">
        <v>3.5950000000000002</v>
      </c>
      <c r="BY116" s="3">
        <v>46038</v>
      </c>
      <c r="BZ116" s="1">
        <v>6.5</v>
      </c>
      <c r="CA116" s="3">
        <v>46036</v>
      </c>
      <c r="CB116" s="1">
        <v>6.39</v>
      </c>
      <c r="CC116" s="3">
        <v>46042</v>
      </c>
      <c r="CD116" s="1">
        <v>6.3440000000000003</v>
      </c>
      <c r="CE116" s="3">
        <v>46042</v>
      </c>
      <c r="CF116" s="1">
        <v>6.1779999999999999</v>
      </c>
      <c r="CG116" s="3">
        <v>46042</v>
      </c>
      <c r="CH116" s="1">
        <v>6.04</v>
      </c>
      <c r="CI116" s="3">
        <v>46042</v>
      </c>
      <c r="CJ116" s="1">
        <v>5.85</v>
      </c>
      <c r="CK116" s="3">
        <v>46042</v>
      </c>
      <c r="CL116" s="1">
        <v>5.65</v>
      </c>
      <c r="CM116" s="3">
        <v>46042</v>
      </c>
      <c r="CN116" s="1">
        <v>5.585</v>
      </c>
      <c r="CO116" s="3">
        <v>46041</v>
      </c>
      <c r="CP116" s="1">
        <v>5.585</v>
      </c>
      <c r="CQ116" s="3">
        <v>46041</v>
      </c>
      <c r="CR116" s="1">
        <v>5.5949999999999998</v>
      </c>
      <c r="CS116" s="3">
        <v>46041</v>
      </c>
      <c r="CT116" s="1">
        <v>5.6025</v>
      </c>
    </row>
    <row r="117" spans="31:98" x14ac:dyDescent="0.2">
      <c r="AE117" s="3">
        <v>46041</v>
      </c>
      <c r="AF117" s="1">
        <v>4</v>
      </c>
      <c r="AG117" s="3">
        <v>46035</v>
      </c>
      <c r="AH117" s="1">
        <v>3.96</v>
      </c>
      <c r="AI117" s="3">
        <v>46041</v>
      </c>
      <c r="AJ117" s="2">
        <v>3.8250000000000002</v>
      </c>
      <c r="AK117" s="3">
        <v>46041</v>
      </c>
      <c r="AL117" s="2">
        <v>3.66</v>
      </c>
      <c r="AM117" s="3">
        <v>46041</v>
      </c>
      <c r="AN117" s="2">
        <v>3.5150000000000001</v>
      </c>
      <c r="AO117" s="3">
        <v>46041</v>
      </c>
      <c r="AP117" s="2">
        <v>3.375</v>
      </c>
      <c r="AQ117" s="3">
        <v>46041</v>
      </c>
      <c r="AR117" s="2">
        <v>3.3650000000000002</v>
      </c>
      <c r="AS117" s="3">
        <v>46041</v>
      </c>
      <c r="AT117" s="2">
        <v>3.3925000000000001</v>
      </c>
      <c r="AU117" s="3">
        <v>46041</v>
      </c>
      <c r="AV117" s="2">
        <v>3.43</v>
      </c>
      <c r="AW117" s="3">
        <v>46041</v>
      </c>
      <c r="AX117" s="2">
        <v>3.4775</v>
      </c>
      <c r="AY117" s="3">
        <v>46041</v>
      </c>
      <c r="AZ117" s="2">
        <v>3.5274999999999999</v>
      </c>
      <c r="BB117" s="3">
        <v>46035</v>
      </c>
      <c r="BC117" s="1">
        <v>3.5</v>
      </c>
      <c r="BD117" s="3">
        <v>46035</v>
      </c>
      <c r="BE117" s="1">
        <v>3.5</v>
      </c>
      <c r="BF117" s="3">
        <v>46041</v>
      </c>
      <c r="BG117" s="1">
        <v>3.4830000000000001</v>
      </c>
      <c r="BH117" s="3">
        <v>46041</v>
      </c>
      <c r="BI117" s="1">
        <v>3.46</v>
      </c>
      <c r="BJ117" s="3">
        <v>46041</v>
      </c>
      <c r="BK117" s="1">
        <v>3.4279999999999999</v>
      </c>
      <c r="BL117" s="3">
        <v>46041</v>
      </c>
      <c r="BM117" s="1">
        <v>3.32</v>
      </c>
      <c r="BN117" s="3">
        <v>46041</v>
      </c>
      <c r="BO117" s="1">
        <v>3.2930000000000001</v>
      </c>
      <c r="BP117" s="3">
        <v>46041</v>
      </c>
      <c r="BQ117" s="1">
        <v>3.3580000000000001</v>
      </c>
      <c r="BR117" s="3">
        <v>46041</v>
      </c>
      <c r="BS117" s="1">
        <v>3.4430000000000001</v>
      </c>
      <c r="BT117" s="3">
        <v>46041</v>
      </c>
      <c r="BU117" s="1">
        <v>3.52</v>
      </c>
      <c r="BV117" s="3">
        <v>46041</v>
      </c>
      <c r="BW117" s="1">
        <v>3.593</v>
      </c>
      <c r="BY117" s="3">
        <v>46037</v>
      </c>
      <c r="BZ117" s="1">
        <v>6.5</v>
      </c>
      <c r="CA117" s="3">
        <v>46035</v>
      </c>
      <c r="CB117" s="1">
        <v>6.39</v>
      </c>
      <c r="CC117" s="3">
        <v>46041</v>
      </c>
      <c r="CD117" s="1">
        <v>6.33</v>
      </c>
      <c r="CE117" s="3">
        <v>46041</v>
      </c>
      <c r="CF117" s="1">
        <v>6.16</v>
      </c>
      <c r="CG117" s="3">
        <v>46041</v>
      </c>
      <c r="CH117" s="1">
        <v>6.02</v>
      </c>
      <c r="CI117" s="3">
        <v>46041</v>
      </c>
      <c r="CJ117" s="1">
        <v>5.84</v>
      </c>
      <c r="CK117" s="3">
        <v>46041</v>
      </c>
      <c r="CL117" s="1">
        <v>5.64</v>
      </c>
      <c r="CM117" s="3">
        <v>46041</v>
      </c>
      <c r="CN117" s="1">
        <v>5.585</v>
      </c>
      <c r="CO117" s="3">
        <v>46038</v>
      </c>
      <c r="CP117" s="1">
        <v>5.63</v>
      </c>
      <c r="CQ117" s="3">
        <v>46038</v>
      </c>
      <c r="CR117" s="1">
        <v>5.63</v>
      </c>
      <c r="CS117" s="3">
        <v>46038</v>
      </c>
      <c r="CT117" s="1">
        <v>5.6325000000000003</v>
      </c>
    </row>
    <row r="118" spans="31:98" x14ac:dyDescent="0.2">
      <c r="AE118" s="3">
        <v>46038</v>
      </c>
      <c r="AF118" s="1">
        <v>4</v>
      </c>
      <c r="AG118" s="3">
        <v>46034</v>
      </c>
      <c r="AH118" s="1">
        <v>3.96</v>
      </c>
      <c r="AI118" s="3">
        <v>46038</v>
      </c>
      <c r="AJ118" s="2">
        <v>3.8250000000000002</v>
      </c>
      <c r="AK118" s="3">
        <v>46038</v>
      </c>
      <c r="AL118" s="2">
        <v>3.6625000000000001</v>
      </c>
      <c r="AM118" s="3">
        <v>46038</v>
      </c>
      <c r="AN118" s="2">
        <v>3.5125000000000002</v>
      </c>
      <c r="AO118" s="3">
        <v>46038</v>
      </c>
      <c r="AP118" s="2">
        <v>3.36</v>
      </c>
      <c r="AQ118" s="3">
        <v>46038</v>
      </c>
      <c r="AR118" s="2">
        <v>3.3450000000000002</v>
      </c>
      <c r="AS118" s="3">
        <v>46038</v>
      </c>
      <c r="AT118" s="2">
        <v>3.38</v>
      </c>
      <c r="AU118" s="3">
        <v>46038</v>
      </c>
      <c r="AV118" s="2">
        <v>3.415</v>
      </c>
      <c r="AW118" s="3">
        <v>46038</v>
      </c>
      <c r="AX118" s="2">
        <v>3.4550000000000001</v>
      </c>
      <c r="AY118" s="3">
        <v>46038</v>
      </c>
      <c r="AZ118" s="2">
        <v>3.5049999999999999</v>
      </c>
      <c r="BB118" s="3">
        <v>46034</v>
      </c>
      <c r="BC118" s="1">
        <v>3.5</v>
      </c>
      <c r="BD118" s="3">
        <v>46034</v>
      </c>
      <c r="BE118" s="1">
        <v>3.51</v>
      </c>
      <c r="BF118" s="3">
        <v>46038</v>
      </c>
      <c r="BG118" s="1">
        <v>3.4830000000000001</v>
      </c>
      <c r="BH118" s="3">
        <v>46038</v>
      </c>
      <c r="BI118" s="1">
        <v>3.4590000000000001</v>
      </c>
      <c r="BJ118" s="3">
        <v>46038</v>
      </c>
      <c r="BK118" s="1">
        <v>3.43</v>
      </c>
      <c r="BL118" s="3">
        <v>46038</v>
      </c>
      <c r="BM118" s="1">
        <v>3.323</v>
      </c>
      <c r="BN118" s="3">
        <v>46038</v>
      </c>
      <c r="BO118" s="1">
        <v>3.3029999999999999</v>
      </c>
      <c r="BP118" s="3">
        <v>46038</v>
      </c>
      <c r="BQ118" s="1">
        <v>3.3650000000000002</v>
      </c>
      <c r="BR118" s="3">
        <v>46038</v>
      </c>
      <c r="BS118" s="1">
        <v>3.4430000000000001</v>
      </c>
      <c r="BT118" s="3">
        <v>46038</v>
      </c>
      <c r="BU118" s="1">
        <v>3.5249999999999999</v>
      </c>
      <c r="BV118" s="3">
        <v>46038</v>
      </c>
      <c r="BW118" s="1">
        <v>3.5979999999999999</v>
      </c>
      <c r="BY118" s="3">
        <v>46036</v>
      </c>
      <c r="BZ118" s="1">
        <v>6.5</v>
      </c>
      <c r="CA118" s="3">
        <v>46034</v>
      </c>
      <c r="CB118" s="1">
        <v>6.39</v>
      </c>
      <c r="CC118" s="3">
        <v>46038</v>
      </c>
      <c r="CD118" s="1">
        <v>6.35</v>
      </c>
      <c r="CE118" s="3">
        <v>46038</v>
      </c>
      <c r="CF118" s="1">
        <v>6.17</v>
      </c>
      <c r="CG118" s="3">
        <v>46038</v>
      </c>
      <c r="CH118" s="1">
        <v>6.03</v>
      </c>
      <c r="CI118" s="3">
        <v>46038</v>
      </c>
      <c r="CJ118" s="1">
        <v>5.85</v>
      </c>
      <c r="CK118" s="3">
        <v>46038</v>
      </c>
      <c r="CL118" s="1">
        <v>5.68</v>
      </c>
      <c r="CM118" s="3">
        <v>46038</v>
      </c>
      <c r="CN118" s="1">
        <v>5.6150000000000002</v>
      </c>
      <c r="CO118" s="3">
        <v>46037</v>
      </c>
      <c r="CP118" s="1">
        <v>5.59</v>
      </c>
      <c r="CQ118" s="3">
        <v>46037</v>
      </c>
      <c r="CR118" s="1">
        <v>5.59</v>
      </c>
      <c r="CS118" s="3">
        <v>46037</v>
      </c>
      <c r="CT118" s="1">
        <v>5.5925000000000002</v>
      </c>
    </row>
    <row r="119" spans="31:98" x14ac:dyDescent="0.2">
      <c r="AE119" s="3">
        <v>46037</v>
      </c>
      <c r="AF119" s="1">
        <v>4</v>
      </c>
      <c r="AG119" s="3">
        <v>46031</v>
      </c>
      <c r="AH119" s="1">
        <v>3.95</v>
      </c>
      <c r="AI119" s="3">
        <v>46037</v>
      </c>
      <c r="AJ119" s="2">
        <v>3.835</v>
      </c>
      <c r="AK119" s="3">
        <v>46037</v>
      </c>
      <c r="AL119" s="2">
        <v>3.6859999999999999</v>
      </c>
      <c r="AM119" s="3">
        <v>46037</v>
      </c>
      <c r="AN119" s="2">
        <v>3.5649999999999999</v>
      </c>
      <c r="AO119" s="3">
        <v>46037</v>
      </c>
      <c r="AP119" s="2">
        <v>3.42</v>
      </c>
      <c r="AQ119" s="3">
        <v>46037</v>
      </c>
      <c r="AR119" s="2">
        <v>3.4</v>
      </c>
      <c r="AS119" s="3">
        <v>46037</v>
      </c>
      <c r="AT119" s="2">
        <v>3.4249999999999998</v>
      </c>
      <c r="AU119" s="3">
        <v>46037</v>
      </c>
      <c r="AV119" s="2">
        <v>3.4550000000000001</v>
      </c>
      <c r="AW119" s="3">
        <v>46037</v>
      </c>
      <c r="AX119" s="2">
        <v>3.49</v>
      </c>
      <c r="AY119" s="3">
        <v>46037</v>
      </c>
      <c r="AZ119" s="2">
        <v>3.5350000000000001</v>
      </c>
      <c r="BB119" s="3">
        <v>46031</v>
      </c>
      <c r="BC119" s="1">
        <v>3.5</v>
      </c>
      <c r="BD119" s="3">
        <v>46031</v>
      </c>
      <c r="BE119" s="1">
        <v>3.51</v>
      </c>
      <c r="BF119" s="3">
        <v>46037</v>
      </c>
      <c r="BG119" s="1">
        <v>3.488</v>
      </c>
      <c r="BH119" s="3">
        <v>46037</v>
      </c>
      <c r="BI119" s="1">
        <v>3.464</v>
      </c>
      <c r="BJ119" s="3">
        <v>46037</v>
      </c>
      <c r="BK119" s="1">
        <v>3.4329999999999998</v>
      </c>
      <c r="BL119" s="3">
        <v>46037</v>
      </c>
      <c r="BM119" s="1">
        <v>3.3380000000000001</v>
      </c>
      <c r="BN119" s="3">
        <v>46037</v>
      </c>
      <c r="BO119" s="1">
        <v>3.3180000000000001</v>
      </c>
      <c r="BP119" s="3">
        <v>46037</v>
      </c>
      <c r="BQ119" s="1">
        <v>3.3730000000000002</v>
      </c>
      <c r="BR119" s="3">
        <v>46037</v>
      </c>
      <c r="BS119" s="1">
        <v>3.4430000000000001</v>
      </c>
      <c r="BT119" s="3">
        <v>46037</v>
      </c>
      <c r="BU119" s="1">
        <v>3.5179999999999998</v>
      </c>
      <c r="BV119" s="3">
        <v>46037</v>
      </c>
      <c r="BW119" s="1">
        <v>3.5880000000000001</v>
      </c>
      <c r="BY119" s="3">
        <v>46035</v>
      </c>
      <c r="BZ119" s="1">
        <v>6.5</v>
      </c>
      <c r="CA119" s="3">
        <v>46031</v>
      </c>
      <c r="CB119" s="1">
        <v>6.41</v>
      </c>
      <c r="CC119" s="3">
        <v>46037</v>
      </c>
      <c r="CD119" s="1">
        <v>6.3330000000000002</v>
      </c>
      <c r="CE119" s="3">
        <v>46037</v>
      </c>
      <c r="CF119" s="1">
        <v>6.157</v>
      </c>
      <c r="CG119" s="3">
        <v>46037</v>
      </c>
      <c r="CH119" s="1">
        <v>6.02</v>
      </c>
      <c r="CI119" s="3">
        <v>46037</v>
      </c>
      <c r="CJ119" s="1">
        <v>5.84</v>
      </c>
      <c r="CK119" s="3">
        <v>46037</v>
      </c>
      <c r="CL119" s="1">
        <v>5.65</v>
      </c>
      <c r="CM119" s="3">
        <v>46037</v>
      </c>
      <c r="CN119" s="1">
        <v>5.585</v>
      </c>
      <c r="CO119" s="3">
        <v>46036</v>
      </c>
      <c r="CP119" s="1">
        <v>5.55</v>
      </c>
      <c r="CQ119" s="3">
        <v>46036</v>
      </c>
      <c r="CR119" s="1">
        <v>5.5650000000000004</v>
      </c>
      <c r="CS119" s="3">
        <v>46036</v>
      </c>
      <c r="CT119" s="1">
        <v>5.57</v>
      </c>
    </row>
    <row r="120" spans="31:98" x14ac:dyDescent="0.2">
      <c r="AE120" s="3">
        <v>46036</v>
      </c>
      <c r="AF120" s="1">
        <v>4</v>
      </c>
      <c r="AG120" s="3">
        <v>46030</v>
      </c>
      <c r="AH120" s="1">
        <v>3.94</v>
      </c>
      <c r="AI120" s="3">
        <v>46036</v>
      </c>
      <c r="AJ120" s="2">
        <v>3.8675000000000002</v>
      </c>
      <c r="AK120" s="3">
        <v>46036</v>
      </c>
      <c r="AL120" s="2">
        <v>3.7124999999999999</v>
      </c>
      <c r="AM120" s="3">
        <v>46036</v>
      </c>
      <c r="AN120" s="2">
        <v>3.6</v>
      </c>
      <c r="AO120" s="3">
        <v>46036</v>
      </c>
      <c r="AP120" s="2">
        <v>3.4674999999999998</v>
      </c>
      <c r="AQ120" s="3">
        <v>46036</v>
      </c>
      <c r="AR120" s="2">
        <v>3.4350000000000001</v>
      </c>
      <c r="AS120" s="3">
        <v>46036</v>
      </c>
      <c r="AT120" s="2">
        <v>3.4550000000000001</v>
      </c>
      <c r="AU120" s="3">
        <v>46036</v>
      </c>
      <c r="AV120" s="2">
        <v>3.4824999999999999</v>
      </c>
      <c r="AW120" s="3">
        <v>46036</v>
      </c>
      <c r="AX120" s="2">
        <v>3.5150000000000001</v>
      </c>
      <c r="AY120" s="3">
        <v>46036</v>
      </c>
      <c r="AZ120" s="2">
        <v>3.56</v>
      </c>
      <c r="BB120" s="3">
        <v>46030</v>
      </c>
      <c r="BC120" s="1">
        <v>3.5</v>
      </c>
      <c r="BD120" s="3">
        <v>46030</v>
      </c>
      <c r="BE120" s="1">
        <v>3.51</v>
      </c>
      <c r="BF120" s="3">
        <v>46036</v>
      </c>
      <c r="BG120" s="1">
        <v>3.488</v>
      </c>
      <c r="BH120" s="3">
        <v>46036</v>
      </c>
      <c r="BI120" s="1">
        <v>3.4630000000000001</v>
      </c>
      <c r="BJ120" s="3">
        <v>46036</v>
      </c>
      <c r="BK120" s="1">
        <v>3.4449999999999998</v>
      </c>
      <c r="BL120" s="3">
        <v>46036</v>
      </c>
      <c r="BM120" s="1">
        <v>3.35</v>
      </c>
      <c r="BN120" s="3">
        <v>46036</v>
      </c>
      <c r="BO120" s="1">
        <v>3.3450000000000002</v>
      </c>
      <c r="BP120" s="3">
        <v>46036</v>
      </c>
      <c r="BQ120" s="1">
        <v>3.3929999999999998</v>
      </c>
      <c r="BR120" s="3">
        <v>46036</v>
      </c>
      <c r="BS120" s="1">
        <v>3.46</v>
      </c>
      <c r="BT120" s="3">
        <v>46036</v>
      </c>
      <c r="BU120" s="1">
        <v>3.53</v>
      </c>
      <c r="BV120" s="3">
        <v>46036</v>
      </c>
      <c r="BW120" s="1">
        <v>3.6</v>
      </c>
      <c r="BY120" s="3">
        <v>46034</v>
      </c>
      <c r="BZ120" s="1">
        <v>6.5</v>
      </c>
      <c r="CA120" s="3">
        <v>46030</v>
      </c>
      <c r="CB120" s="1">
        <v>6.43</v>
      </c>
      <c r="CC120" s="3">
        <v>46036</v>
      </c>
      <c r="CD120" s="1">
        <v>6.34</v>
      </c>
      <c r="CE120" s="3">
        <v>46036</v>
      </c>
      <c r="CF120" s="1">
        <v>6.17</v>
      </c>
      <c r="CG120" s="3">
        <v>46036</v>
      </c>
      <c r="CH120" s="1">
        <v>6.04</v>
      </c>
      <c r="CI120" s="3">
        <v>46036</v>
      </c>
      <c r="CJ120" s="1">
        <v>5.82</v>
      </c>
      <c r="CK120" s="3">
        <v>46036</v>
      </c>
      <c r="CL120" s="1">
        <v>5.63</v>
      </c>
      <c r="CM120" s="3">
        <v>46036</v>
      </c>
      <c r="CN120" s="1">
        <v>5.56</v>
      </c>
      <c r="CO120" s="3">
        <v>46035</v>
      </c>
      <c r="CP120" s="1">
        <v>5.4850000000000003</v>
      </c>
      <c r="CQ120" s="3">
        <v>46035</v>
      </c>
      <c r="CR120" s="1">
        <v>5.4950000000000001</v>
      </c>
      <c r="CS120" s="3">
        <v>46035</v>
      </c>
      <c r="CT120" s="1">
        <v>5.5149999999999997</v>
      </c>
    </row>
    <row r="121" spans="31:98" x14ac:dyDescent="0.2">
      <c r="AE121" s="3">
        <v>46035</v>
      </c>
      <c r="AF121" s="1">
        <v>4</v>
      </c>
      <c r="AG121" s="3">
        <v>46029</v>
      </c>
      <c r="AH121" s="1">
        <v>3.98</v>
      </c>
      <c r="AI121" s="3">
        <v>46035</v>
      </c>
      <c r="AJ121" s="2">
        <v>3.7974999999999999</v>
      </c>
      <c r="AK121" s="3">
        <v>46035</v>
      </c>
      <c r="AL121" s="2">
        <v>3.6524999999999999</v>
      </c>
      <c r="AM121" s="3">
        <v>46035</v>
      </c>
      <c r="AN121" s="2">
        <v>3.5525000000000002</v>
      </c>
      <c r="AO121" s="3">
        <v>46035</v>
      </c>
      <c r="AP121" s="2">
        <v>3.4175</v>
      </c>
      <c r="AQ121" s="3">
        <v>46035</v>
      </c>
      <c r="AR121" s="2">
        <v>3.3849999999999998</v>
      </c>
      <c r="AS121" s="3">
        <v>46035</v>
      </c>
      <c r="AT121" s="2">
        <v>3.4075000000000002</v>
      </c>
      <c r="AU121" s="3">
        <v>46035</v>
      </c>
      <c r="AV121" s="2">
        <v>3.4350000000000001</v>
      </c>
      <c r="AW121" s="3">
        <v>46035</v>
      </c>
      <c r="AX121" s="2">
        <v>3.4674999999999998</v>
      </c>
      <c r="AY121" s="3">
        <v>46035</v>
      </c>
      <c r="AZ121" s="2">
        <v>3.5150000000000001</v>
      </c>
      <c r="BB121" s="3">
        <v>46029</v>
      </c>
      <c r="BC121" s="1">
        <v>3.5</v>
      </c>
      <c r="BD121" s="3">
        <v>46029</v>
      </c>
      <c r="BE121" s="1">
        <v>3.51</v>
      </c>
      <c r="BF121" s="3">
        <v>46035</v>
      </c>
      <c r="BG121" s="1">
        <v>3.4849999999999999</v>
      </c>
      <c r="BH121" s="3">
        <v>46035</v>
      </c>
      <c r="BI121" s="1">
        <v>3.4590000000000001</v>
      </c>
      <c r="BJ121" s="3">
        <v>46035</v>
      </c>
      <c r="BK121" s="1">
        <v>3.4350000000000001</v>
      </c>
      <c r="BL121" s="3">
        <v>46035</v>
      </c>
      <c r="BM121" s="1">
        <v>3.3330000000000002</v>
      </c>
      <c r="BN121" s="3">
        <v>46035</v>
      </c>
      <c r="BO121" s="1">
        <v>3.33</v>
      </c>
      <c r="BP121" s="3">
        <v>46035</v>
      </c>
      <c r="BQ121" s="1">
        <v>3.39</v>
      </c>
      <c r="BR121" s="3">
        <v>46035</v>
      </c>
      <c r="BS121" s="1">
        <v>3.4529999999999998</v>
      </c>
      <c r="BT121" s="3">
        <v>46035</v>
      </c>
      <c r="BU121" s="1">
        <v>3.5179999999999998</v>
      </c>
      <c r="BV121" s="3">
        <v>46035</v>
      </c>
      <c r="BW121" s="1">
        <v>3.5880000000000001</v>
      </c>
      <c r="BY121" s="3">
        <v>46031</v>
      </c>
      <c r="BZ121" s="1">
        <v>6.5</v>
      </c>
      <c r="CA121" s="3">
        <v>46029</v>
      </c>
      <c r="CB121" s="1">
        <v>6.44</v>
      </c>
      <c r="CC121" s="3">
        <v>46035</v>
      </c>
      <c r="CD121" s="1">
        <v>6.29</v>
      </c>
      <c r="CE121" s="3">
        <v>46035</v>
      </c>
      <c r="CF121" s="1">
        <v>6.11</v>
      </c>
      <c r="CG121" s="3">
        <v>46035</v>
      </c>
      <c r="CH121" s="1">
        <v>6</v>
      </c>
      <c r="CI121" s="3">
        <v>46035</v>
      </c>
      <c r="CJ121" s="1">
        <v>5.76</v>
      </c>
      <c r="CK121" s="3">
        <v>46035</v>
      </c>
      <c r="CL121" s="1">
        <v>5.56</v>
      </c>
      <c r="CM121" s="3">
        <v>46035</v>
      </c>
      <c r="CN121" s="1">
        <v>5.4850000000000003</v>
      </c>
      <c r="CO121" s="3">
        <v>46034</v>
      </c>
      <c r="CP121" s="1">
        <v>5.41</v>
      </c>
      <c r="CQ121" s="3">
        <v>46034</v>
      </c>
      <c r="CR121" s="1">
        <v>5.42</v>
      </c>
      <c r="CS121" s="3">
        <v>46034</v>
      </c>
      <c r="CT121" s="1">
        <v>5.44</v>
      </c>
    </row>
    <row r="122" spans="31:98" x14ac:dyDescent="0.2">
      <c r="AE122" s="3">
        <v>46034</v>
      </c>
      <c r="AF122" s="1">
        <v>4</v>
      </c>
      <c r="AG122" s="3">
        <v>46027</v>
      </c>
      <c r="AH122" s="1">
        <v>3.95</v>
      </c>
      <c r="AI122" s="3">
        <v>46034</v>
      </c>
      <c r="AJ122" s="2">
        <v>3.7850000000000001</v>
      </c>
      <c r="AK122" s="3">
        <v>46034</v>
      </c>
      <c r="AL122" s="2">
        <v>3.65</v>
      </c>
      <c r="AM122" s="3">
        <v>46034</v>
      </c>
      <c r="AN122" s="2">
        <v>3.55</v>
      </c>
      <c r="AO122" s="3">
        <v>46034</v>
      </c>
      <c r="AP122" s="2">
        <v>3.42</v>
      </c>
      <c r="AQ122" s="3">
        <v>46034</v>
      </c>
      <c r="AR122" s="2">
        <v>3.3875000000000002</v>
      </c>
      <c r="AS122" s="3">
        <v>46034</v>
      </c>
      <c r="AT122" s="2">
        <v>3.4075000000000002</v>
      </c>
      <c r="AU122" s="3">
        <v>46034</v>
      </c>
      <c r="AV122" s="2">
        <v>3.4350000000000001</v>
      </c>
      <c r="AW122" s="3">
        <v>46034</v>
      </c>
      <c r="AX122" s="2">
        <v>3.4725000000000001</v>
      </c>
      <c r="AY122" s="3">
        <v>46034</v>
      </c>
      <c r="AZ122" s="2">
        <v>3.5175000000000001</v>
      </c>
      <c r="BB122" s="3">
        <v>46028</v>
      </c>
      <c r="BC122" s="1">
        <v>3.5</v>
      </c>
      <c r="BD122" s="3">
        <v>46028</v>
      </c>
      <c r="BE122" s="1">
        <v>3.52</v>
      </c>
      <c r="BF122" s="3">
        <v>46034</v>
      </c>
      <c r="BG122" s="1">
        <v>3.48</v>
      </c>
      <c r="BH122" s="3">
        <v>46034</v>
      </c>
      <c r="BI122" s="1">
        <v>3.4510000000000001</v>
      </c>
      <c r="BJ122" s="3">
        <v>46034</v>
      </c>
      <c r="BK122" s="1">
        <v>3.42</v>
      </c>
      <c r="BL122" s="3">
        <v>46034</v>
      </c>
      <c r="BM122" s="1">
        <v>3.3079999999999998</v>
      </c>
      <c r="BN122" s="3">
        <v>46034</v>
      </c>
      <c r="BO122" s="1">
        <v>3.298</v>
      </c>
      <c r="BP122" s="3">
        <v>46034</v>
      </c>
      <c r="BQ122" s="1">
        <v>3.355</v>
      </c>
      <c r="BR122" s="3">
        <v>46034</v>
      </c>
      <c r="BS122" s="1">
        <v>3.41</v>
      </c>
      <c r="BT122" s="3">
        <v>46034</v>
      </c>
      <c r="BU122" s="1">
        <v>3.47</v>
      </c>
      <c r="BV122" s="3">
        <v>46034</v>
      </c>
      <c r="BW122" s="1">
        <v>3.54</v>
      </c>
      <c r="BY122" s="3">
        <v>46030</v>
      </c>
      <c r="BZ122" s="1">
        <v>6.5</v>
      </c>
      <c r="CA122" s="3">
        <v>46028</v>
      </c>
      <c r="CB122" s="1">
        <v>6.46</v>
      </c>
      <c r="CC122" s="3">
        <v>46034</v>
      </c>
      <c r="CD122" s="1">
        <v>6.2</v>
      </c>
      <c r="CE122" s="3">
        <v>46034</v>
      </c>
      <c r="CF122" s="1">
        <v>6.05</v>
      </c>
      <c r="CG122" s="3">
        <v>46034</v>
      </c>
      <c r="CH122" s="1">
        <v>5.95</v>
      </c>
      <c r="CI122" s="3">
        <v>46034</v>
      </c>
      <c r="CJ122" s="1">
        <v>5.7</v>
      </c>
      <c r="CK122" s="3">
        <v>46034</v>
      </c>
      <c r="CL122" s="1">
        <v>5.49</v>
      </c>
      <c r="CM122" s="3">
        <v>46034</v>
      </c>
      <c r="CN122" s="1">
        <v>5.41</v>
      </c>
      <c r="CO122" s="3">
        <v>46031</v>
      </c>
      <c r="CP122" s="1">
        <v>5.49</v>
      </c>
      <c r="CQ122" s="3">
        <v>46031</v>
      </c>
      <c r="CR122" s="1">
        <v>5.5</v>
      </c>
      <c r="CS122" s="3">
        <v>46031</v>
      </c>
      <c r="CT122" s="1">
        <v>5.52</v>
      </c>
    </row>
    <row r="123" spans="31:98" x14ac:dyDescent="0.2">
      <c r="AE123" s="3">
        <v>46031</v>
      </c>
      <c r="AF123" s="1">
        <v>4</v>
      </c>
      <c r="AG123" s="3">
        <v>46024</v>
      </c>
      <c r="AH123" s="1">
        <v>3.97</v>
      </c>
      <c r="AI123" s="3">
        <v>46031</v>
      </c>
      <c r="AJ123" s="2">
        <v>3.79</v>
      </c>
      <c r="AK123" s="3">
        <v>46031</v>
      </c>
      <c r="AL123" s="2">
        <v>3.66</v>
      </c>
      <c r="AM123" s="3">
        <v>46031</v>
      </c>
      <c r="AN123" s="2">
        <v>3.58</v>
      </c>
      <c r="AO123" s="3">
        <v>46031</v>
      </c>
      <c r="AP123" s="2">
        <v>3.4249999999999998</v>
      </c>
      <c r="AQ123" s="3">
        <v>46031</v>
      </c>
      <c r="AR123" s="2">
        <v>3.3925000000000001</v>
      </c>
      <c r="AS123" s="3">
        <v>46031</v>
      </c>
      <c r="AT123" s="2">
        <v>3.415</v>
      </c>
      <c r="AU123" s="3">
        <v>46031</v>
      </c>
      <c r="AV123" s="2">
        <v>3.4424999999999999</v>
      </c>
      <c r="AW123" s="3">
        <v>46031</v>
      </c>
      <c r="AX123" s="2">
        <v>3.48</v>
      </c>
      <c r="AY123" s="3">
        <v>46031</v>
      </c>
      <c r="AZ123" s="2">
        <v>3.5249999999999999</v>
      </c>
      <c r="BB123" s="3">
        <v>46027</v>
      </c>
      <c r="BC123" s="1">
        <v>3.5</v>
      </c>
      <c r="BD123" s="3">
        <v>46027</v>
      </c>
      <c r="BE123" s="1">
        <v>3.52</v>
      </c>
      <c r="BF123" s="3">
        <v>46031</v>
      </c>
      <c r="BG123" s="1">
        <v>3.4750000000000001</v>
      </c>
      <c r="BH123" s="3">
        <v>46031</v>
      </c>
      <c r="BI123" s="1">
        <v>3.4449999999999998</v>
      </c>
      <c r="BJ123" s="3">
        <v>46031</v>
      </c>
      <c r="BK123" s="1">
        <v>3.415</v>
      </c>
      <c r="BL123" s="3">
        <v>46031</v>
      </c>
      <c r="BM123" s="1">
        <v>3.2949999999999999</v>
      </c>
      <c r="BN123" s="3">
        <v>46031</v>
      </c>
      <c r="BO123" s="1">
        <v>3.29</v>
      </c>
      <c r="BP123" s="3">
        <v>46031</v>
      </c>
      <c r="BQ123" s="1">
        <v>3.34</v>
      </c>
      <c r="BR123" s="3">
        <v>46031</v>
      </c>
      <c r="BS123" s="1">
        <v>3.395</v>
      </c>
      <c r="BT123" s="3">
        <v>46031</v>
      </c>
      <c r="BU123" s="1">
        <v>3.4550000000000001</v>
      </c>
      <c r="BV123" s="3">
        <v>46031</v>
      </c>
      <c r="BW123" s="1">
        <v>3.5150000000000001</v>
      </c>
      <c r="BY123" s="3">
        <v>46029</v>
      </c>
      <c r="BZ123" s="1">
        <v>6.5</v>
      </c>
      <c r="CA123" s="3">
        <v>46027</v>
      </c>
      <c r="CB123" s="1">
        <v>6.47</v>
      </c>
      <c r="CC123" s="3">
        <v>46031</v>
      </c>
      <c r="CD123" s="1">
        <v>6.2560000000000002</v>
      </c>
      <c r="CE123" s="3">
        <v>46031</v>
      </c>
      <c r="CF123" s="1">
        <v>6.1109999999999998</v>
      </c>
      <c r="CG123" s="3">
        <v>46031</v>
      </c>
      <c r="CH123" s="1">
        <v>6</v>
      </c>
      <c r="CI123" s="3">
        <v>46031</v>
      </c>
      <c r="CJ123" s="1">
        <v>5.75</v>
      </c>
      <c r="CK123" s="3">
        <v>46031</v>
      </c>
      <c r="CL123" s="1">
        <v>5.54</v>
      </c>
      <c r="CM123" s="3">
        <v>46031</v>
      </c>
      <c r="CN123" s="1">
        <v>5.49</v>
      </c>
      <c r="CO123" s="3">
        <v>46030</v>
      </c>
      <c r="CP123" s="1">
        <v>5.49</v>
      </c>
      <c r="CQ123" s="3">
        <v>46030</v>
      </c>
      <c r="CR123" s="1">
        <v>5.51</v>
      </c>
      <c r="CS123" s="3">
        <v>46030</v>
      </c>
      <c r="CT123" s="1">
        <v>5.5250000000000004</v>
      </c>
    </row>
    <row r="124" spans="31:98" x14ac:dyDescent="0.2">
      <c r="AE124" s="3">
        <v>46030</v>
      </c>
      <c r="AF124" s="1">
        <v>4</v>
      </c>
      <c r="AG124" s="3">
        <v>46022</v>
      </c>
      <c r="AH124" s="1">
        <v>3.99</v>
      </c>
      <c r="AI124" s="3">
        <v>46030</v>
      </c>
      <c r="AJ124" s="2">
        <v>3.7949999999999999</v>
      </c>
      <c r="AK124" s="3">
        <v>46030</v>
      </c>
      <c r="AL124" s="2">
        <v>3.6625000000000001</v>
      </c>
      <c r="AM124" s="3">
        <v>46030</v>
      </c>
      <c r="AN124" s="2">
        <v>3.5750000000000002</v>
      </c>
      <c r="AO124" s="3">
        <v>46030</v>
      </c>
      <c r="AP124" s="2">
        <v>3.4</v>
      </c>
      <c r="AQ124" s="3">
        <v>46030</v>
      </c>
      <c r="AR124" s="2">
        <v>3.3675000000000002</v>
      </c>
      <c r="AS124" s="3">
        <v>46030</v>
      </c>
      <c r="AT124" s="2">
        <v>3.39</v>
      </c>
      <c r="AU124" s="3">
        <v>46030</v>
      </c>
      <c r="AV124" s="2">
        <v>3.4175</v>
      </c>
      <c r="AW124" s="3">
        <v>46030</v>
      </c>
      <c r="AX124" s="2">
        <v>3.4550000000000001</v>
      </c>
      <c r="AY124" s="3">
        <v>46030</v>
      </c>
      <c r="AZ124" s="2">
        <v>3.5024999999999999</v>
      </c>
      <c r="BB124" s="3">
        <v>46024</v>
      </c>
      <c r="BC124" s="1">
        <v>3.5</v>
      </c>
      <c r="BD124" s="3">
        <v>46024</v>
      </c>
      <c r="BE124" s="1">
        <v>3.52</v>
      </c>
      <c r="BF124" s="3">
        <v>46030</v>
      </c>
      <c r="BG124" s="1">
        <v>3.4750000000000001</v>
      </c>
      <c r="BH124" s="3">
        <v>46030</v>
      </c>
      <c r="BI124" s="1">
        <v>3.4430000000000001</v>
      </c>
      <c r="BJ124" s="3">
        <v>46030</v>
      </c>
      <c r="BK124" s="1">
        <v>3.4</v>
      </c>
      <c r="BL124" s="3">
        <v>46030</v>
      </c>
      <c r="BM124" s="1">
        <v>3.29</v>
      </c>
      <c r="BN124" s="3">
        <v>46030</v>
      </c>
      <c r="BO124" s="1">
        <v>3.29</v>
      </c>
      <c r="BP124" s="3">
        <v>46030</v>
      </c>
      <c r="BQ124" s="1">
        <v>3.3330000000000002</v>
      </c>
      <c r="BR124" s="3">
        <v>46030</v>
      </c>
      <c r="BS124" s="1">
        <v>3.3929999999999998</v>
      </c>
      <c r="BT124" s="3">
        <v>46030</v>
      </c>
      <c r="BU124" s="1">
        <v>3.4580000000000002</v>
      </c>
      <c r="BV124" s="3">
        <v>46030</v>
      </c>
      <c r="BW124" s="1">
        <v>3.5179999999999998</v>
      </c>
      <c r="BY124" s="3">
        <v>46028</v>
      </c>
      <c r="BZ124" s="1">
        <v>6.5</v>
      </c>
      <c r="CA124" s="3">
        <v>46022</v>
      </c>
      <c r="CB124" s="1">
        <v>6.47</v>
      </c>
      <c r="CC124" s="3">
        <v>46030</v>
      </c>
      <c r="CD124" s="1">
        <v>6.2649999999999997</v>
      </c>
      <c r="CE124" s="3">
        <v>46030</v>
      </c>
      <c r="CF124" s="1">
        <v>6.1349999999999998</v>
      </c>
      <c r="CG124" s="3">
        <v>46030</v>
      </c>
      <c r="CH124" s="1">
        <v>6.02</v>
      </c>
      <c r="CI124" s="3">
        <v>46030</v>
      </c>
      <c r="CJ124" s="1">
        <v>5.76</v>
      </c>
      <c r="CK124" s="3">
        <v>46030</v>
      </c>
      <c r="CL124" s="1">
        <v>5.5549999999999997</v>
      </c>
      <c r="CM124" s="3">
        <v>46030</v>
      </c>
      <c r="CN124" s="1">
        <v>5.49</v>
      </c>
      <c r="CO124" s="3">
        <v>46029</v>
      </c>
      <c r="CP124" s="1">
        <v>5.4950000000000001</v>
      </c>
      <c r="CQ124" s="3">
        <v>46029</v>
      </c>
      <c r="CR124" s="1">
        <v>5.4950000000000001</v>
      </c>
      <c r="CS124" s="3">
        <v>46029</v>
      </c>
      <c r="CT124" s="1">
        <v>5.51</v>
      </c>
    </row>
    <row r="125" spans="31:98" x14ac:dyDescent="0.2">
      <c r="AE125" s="3">
        <v>46029</v>
      </c>
      <c r="AF125" s="1">
        <v>4</v>
      </c>
      <c r="AG125" s="3">
        <v>46021</v>
      </c>
      <c r="AH125" s="1">
        <v>3.99</v>
      </c>
      <c r="AI125" s="3">
        <v>46029</v>
      </c>
      <c r="AJ125" s="2">
        <v>3.7725</v>
      </c>
      <c r="AK125" s="3">
        <v>46029</v>
      </c>
      <c r="AL125" s="2">
        <v>3.6425000000000001</v>
      </c>
      <c r="AM125" s="3">
        <v>46029</v>
      </c>
      <c r="AN125" s="2">
        <v>3.5449999999999999</v>
      </c>
      <c r="AO125" s="3">
        <v>46029</v>
      </c>
      <c r="AP125" s="2">
        <v>3.36</v>
      </c>
      <c r="AQ125" s="3">
        <v>46029</v>
      </c>
      <c r="AR125" s="2">
        <v>3.32</v>
      </c>
      <c r="AS125" s="3">
        <v>46029</v>
      </c>
      <c r="AT125" s="2">
        <v>3.34</v>
      </c>
      <c r="AU125" s="3">
        <v>46029</v>
      </c>
      <c r="AV125" s="2">
        <v>3.3650000000000002</v>
      </c>
      <c r="AW125" s="3">
        <v>46029</v>
      </c>
      <c r="AX125" s="2">
        <v>3.4024999999999999</v>
      </c>
      <c r="AY125" s="3">
        <v>46029</v>
      </c>
      <c r="AZ125" s="2">
        <v>3.4550000000000001</v>
      </c>
      <c r="BB125" s="3">
        <v>46022</v>
      </c>
      <c r="BC125" s="1">
        <v>3.5</v>
      </c>
      <c r="BD125" s="3">
        <v>46022</v>
      </c>
      <c r="BE125" s="1">
        <v>3.52</v>
      </c>
      <c r="BF125" s="3">
        <v>46029</v>
      </c>
      <c r="BG125" s="1">
        <v>3.45</v>
      </c>
      <c r="BH125" s="3">
        <v>46029</v>
      </c>
      <c r="BI125" s="1">
        <v>3.4279999999999999</v>
      </c>
      <c r="BJ125" s="3">
        <v>46029</v>
      </c>
      <c r="BK125" s="1">
        <v>3.375</v>
      </c>
      <c r="BL125" s="3">
        <v>46029</v>
      </c>
      <c r="BM125" s="1">
        <v>3.31</v>
      </c>
      <c r="BN125" s="3">
        <v>46029</v>
      </c>
      <c r="BO125" s="1">
        <v>3.31</v>
      </c>
      <c r="BP125" s="3">
        <v>46029</v>
      </c>
      <c r="BQ125" s="1">
        <v>3.355</v>
      </c>
      <c r="BR125" s="3">
        <v>46029</v>
      </c>
      <c r="BS125" s="1">
        <v>3.42</v>
      </c>
      <c r="BT125" s="3">
        <v>46029</v>
      </c>
      <c r="BU125" s="1">
        <v>3.4849999999999999</v>
      </c>
      <c r="BV125" s="3">
        <v>46029</v>
      </c>
      <c r="BW125" s="1">
        <v>3.548</v>
      </c>
      <c r="BY125" s="3">
        <v>46027</v>
      </c>
      <c r="BZ125" s="1">
        <v>6.5</v>
      </c>
      <c r="CA125" s="3">
        <v>46021</v>
      </c>
      <c r="CB125" s="1">
        <v>6.47</v>
      </c>
      <c r="CC125" s="3">
        <v>46029</v>
      </c>
      <c r="CD125" s="1">
        <v>6.2919999999999998</v>
      </c>
      <c r="CE125" s="3">
        <v>46029</v>
      </c>
      <c r="CF125" s="1">
        <v>6.1509999999999998</v>
      </c>
      <c r="CG125" s="3">
        <v>46029</v>
      </c>
      <c r="CH125" s="1">
        <v>6.05</v>
      </c>
      <c r="CI125" s="3">
        <v>46029</v>
      </c>
      <c r="CJ125" s="1">
        <v>5.78</v>
      </c>
      <c r="CK125" s="3">
        <v>46029</v>
      </c>
      <c r="CL125" s="1">
        <v>5.56</v>
      </c>
      <c r="CM125" s="3">
        <v>46029</v>
      </c>
      <c r="CN125" s="1">
        <v>5.5</v>
      </c>
      <c r="CO125" s="3">
        <v>46028</v>
      </c>
      <c r="CP125" s="1">
        <v>5.5049999999999999</v>
      </c>
      <c r="CQ125" s="3">
        <v>46028</v>
      </c>
      <c r="CR125" s="1">
        <v>5.5049999999999999</v>
      </c>
      <c r="CS125" s="3">
        <v>46028</v>
      </c>
      <c r="CT125" s="1">
        <v>5.52</v>
      </c>
    </row>
    <row r="126" spans="31:98" x14ac:dyDescent="0.2">
      <c r="AE126" s="3">
        <v>46028</v>
      </c>
      <c r="AF126" s="1">
        <v>4</v>
      </c>
      <c r="AG126" s="3">
        <v>46020</v>
      </c>
      <c r="AH126" s="1">
        <v>4</v>
      </c>
      <c r="AI126" s="3">
        <v>46028</v>
      </c>
      <c r="AJ126" s="2">
        <v>3.7850000000000001</v>
      </c>
      <c r="AK126" s="3">
        <v>46028</v>
      </c>
      <c r="AL126" s="2">
        <v>3.665</v>
      </c>
      <c r="AM126" s="3">
        <v>46028</v>
      </c>
      <c r="AN126" s="2">
        <v>3.5550000000000002</v>
      </c>
      <c r="AO126" s="3">
        <v>46028</v>
      </c>
      <c r="AP126" s="2">
        <v>3.3650000000000002</v>
      </c>
      <c r="AQ126" s="3">
        <v>46028</v>
      </c>
      <c r="AR126" s="2">
        <v>3.33</v>
      </c>
      <c r="AS126" s="3">
        <v>46028</v>
      </c>
      <c r="AT126" s="2">
        <v>3.34</v>
      </c>
      <c r="AU126" s="3">
        <v>46028</v>
      </c>
      <c r="AV126" s="2">
        <v>3.3650000000000002</v>
      </c>
      <c r="AW126" s="3">
        <v>46028</v>
      </c>
      <c r="AX126" s="2">
        <v>3.4049999999999998</v>
      </c>
      <c r="AY126" s="3">
        <v>46028</v>
      </c>
      <c r="AZ126" s="2">
        <v>3.4550000000000001</v>
      </c>
      <c r="BB126" s="3">
        <v>46021</v>
      </c>
      <c r="BC126" s="1">
        <v>3.5</v>
      </c>
      <c r="BD126" s="3">
        <v>46021</v>
      </c>
      <c r="BE126" s="1">
        <v>3.52</v>
      </c>
      <c r="BF126" s="3">
        <v>46028</v>
      </c>
      <c r="BG126" s="1">
        <v>3.5</v>
      </c>
      <c r="BH126" s="3">
        <v>46028</v>
      </c>
      <c r="BI126" s="1">
        <v>3.4750000000000001</v>
      </c>
      <c r="BJ126" s="3">
        <v>46028</v>
      </c>
      <c r="BK126" s="1">
        <v>3.4350000000000001</v>
      </c>
      <c r="BL126" s="3">
        <v>46028</v>
      </c>
      <c r="BM126" s="1">
        <v>3.39</v>
      </c>
      <c r="BN126" s="3">
        <v>46028</v>
      </c>
      <c r="BO126" s="1">
        <v>3.39</v>
      </c>
      <c r="BP126" s="3">
        <v>46028</v>
      </c>
      <c r="BQ126" s="1">
        <v>3.448</v>
      </c>
      <c r="BR126" s="3">
        <v>46028</v>
      </c>
      <c r="BS126" s="1">
        <v>3.5129999999999999</v>
      </c>
      <c r="BT126" s="3">
        <v>46028</v>
      </c>
      <c r="BU126" s="1">
        <v>3.5779999999999998</v>
      </c>
      <c r="BV126" s="3">
        <v>46028</v>
      </c>
      <c r="BW126" s="1">
        <v>3.6429999999999998</v>
      </c>
      <c r="BY126" s="3">
        <v>46024</v>
      </c>
      <c r="BZ126" s="1">
        <v>6.5</v>
      </c>
      <c r="CA126" s="3">
        <v>46020</v>
      </c>
      <c r="CB126" s="1">
        <v>6.48</v>
      </c>
      <c r="CC126" s="3">
        <v>46028</v>
      </c>
      <c r="CD126" s="1">
        <v>6.31</v>
      </c>
      <c r="CE126" s="3">
        <v>46028</v>
      </c>
      <c r="CF126" s="1">
        <v>6.16</v>
      </c>
      <c r="CG126" s="3">
        <v>46028</v>
      </c>
      <c r="CH126" s="1">
        <v>6.05</v>
      </c>
      <c r="CI126" s="3">
        <v>46028</v>
      </c>
      <c r="CJ126" s="1">
        <v>5.78</v>
      </c>
      <c r="CK126" s="3">
        <v>46028</v>
      </c>
      <c r="CL126" s="1">
        <v>5.56</v>
      </c>
      <c r="CM126" s="3">
        <v>46028</v>
      </c>
      <c r="CN126" s="1">
        <v>5.51</v>
      </c>
      <c r="CO126" s="3">
        <v>46027</v>
      </c>
      <c r="CP126" s="1">
        <v>5.4950000000000001</v>
      </c>
      <c r="CQ126" s="3">
        <v>46027</v>
      </c>
      <c r="CR126" s="1">
        <v>5.4950000000000001</v>
      </c>
      <c r="CS126" s="3">
        <v>46027</v>
      </c>
      <c r="CT126" s="1">
        <v>5.5149999999999997</v>
      </c>
    </row>
    <row r="127" spans="31:98" x14ac:dyDescent="0.2">
      <c r="AE127" s="3">
        <v>46027</v>
      </c>
      <c r="AF127" s="1">
        <v>4</v>
      </c>
      <c r="AG127" s="3">
        <v>46014</v>
      </c>
      <c r="AH127" s="1">
        <v>4</v>
      </c>
      <c r="AI127" s="3">
        <v>46027</v>
      </c>
      <c r="AJ127" s="2">
        <v>3.7850000000000001</v>
      </c>
      <c r="AK127" s="3">
        <v>46027</v>
      </c>
      <c r="AL127" s="2">
        <v>3.6549999999999998</v>
      </c>
      <c r="AM127" s="3">
        <v>46027</v>
      </c>
      <c r="AN127" s="2">
        <v>3.55</v>
      </c>
      <c r="AO127" s="3">
        <v>46027</v>
      </c>
      <c r="AP127" s="2">
        <v>3.3624999999999998</v>
      </c>
      <c r="AQ127" s="3">
        <v>46027</v>
      </c>
      <c r="AR127" s="2">
        <v>3.3224999999999998</v>
      </c>
      <c r="AS127" s="3">
        <v>46027</v>
      </c>
      <c r="AT127" s="2">
        <v>3.34</v>
      </c>
      <c r="AU127" s="3">
        <v>46027</v>
      </c>
      <c r="AV127" s="2">
        <v>3.3650000000000002</v>
      </c>
      <c r="AW127" s="3">
        <v>46027</v>
      </c>
      <c r="AX127" s="2">
        <v>3.4049999999999998</v>
      </c>
      <c r="AY127" s="3">
        <v>46027</v>
      </c>
      <c r="AZ127" s="2">
        <v>3.4550000000000001</v>
      </c>
      <c r="BB127" s="3">
        <v>46020</v>
      </c>
      <c r="BC127" s="1">
        <v>3.5</v>
      </c>
      <c r="BD127" s="3">
        <v>46020</v>
      </c>
      <c r="BE127" s="1">
        <v>3.53</v>
      </c>
      <c r="BF127" s="3">
        <v>46027</v>
      </c>
      <c r="BG127" s="1">
        <v>3.4950000000000001</v>
      </c>
      <c r="BH127" s="3">
        <v>46027</v>
      </c>
      <c r="BI127" s="1">
        <v>3.4729999999999999</v>
      </c>
      <c r="BJ127" s="3">
        <v>46027</v>
      </c>
      <c r="BK127" s="1">
        <v>3.43</v>
      </c>
      <c r="BL127" s="3">
        <v>46027</v>
      </c>
      <c r="BM127" s="1">
        <v>3.38</v>
      </c>
      <c r="BN127" s="3">
        <v>46027</v>
      </c>
      <c r="BO127" s="1">
        <v>3.38</v>
      </c>
      <c r="BP127" s="3">
        <v>46027</v>
      </c>
      <c r="BQ127" s="1">
        <v>3.4449999999999998</v>
      </c>
      <c r="BR127" s="3">
        <v>46027</v>
      </c>
      <c r="BS127" s="1">
        <v>3.51</v>
      </c>
      <c r="BT127" s="3">
        <v>46027</v>
      </c>
      <c r="BU127" s="1">
        <v>3.573</v>
      </c>
      <c r="BV127" s="3">
        <v>46027</v>
      </c>
      <c r="BW127" s="1">
        <v>3.6429999999999998</v>
      </c>
      <c r="BY127" s="3">
        <v>46023</v>
      </c>
      <c r="BZ127" s="1">
        <v>6.5</v>
      </c>
      <c r="CA127" s="3">
        <v>46014</v>
      </c>
      <c r="CB127" s="1">
        <v>6.48</v>
      </c>
      <c r="CC127" s="3">
        <v>46027</v>
      </c>
      <c r="CD127" s="1">
        <v>6.3310000000000004</v>
      </c>
      <c r="CE127" s="3">
        <v>46027</v>
      </c>
      <c r="CF127" s="1">
        <v>6.1609999999999996</v>
      </c>
      <c r="CG127" s="3">
        <v>46027</v>
      </c>
      <c r="CH127" s="1">
        <v>6.05</v>
      </c>
      <c r="CI127" s="3">
        <v>46027</v>
      </c>
      <c r="CJ127" s="1">
        <v>5.79</v>
      </c>
      <c r="CK127" s="3">
        <v>46027</v>
      </c>
      <c r="CL127" s="1">
        <v>5.57</v>
      </c>
      <c r="CM127" s="3">
        <v>46027</v>
      </c>
      <c r="CN127" s="1">
        <v>5.52</v>
      </c>
      <c r="CO127" s="3">
        <v>46024</v>
      </c>
      <c r="CP127" s="1">
        <v>5.5</v>
      </c>
      <c r="CQ127" s="3">
        <v>46024</v>
      </c>
      <c r="CR127" s="1">
        <v>5.51</v>
      </c>
      <c r="CS127" s="3">
        <v>46024</v>
      </c>
      <c r="CT127" s="1">
        <v>5.54</v>
      </c>
    </row>
    <row r="128" spans="31:98" x14ac:dyDescent="0.2">
      <c r="AE128" s="3">
        <v>46024</v>
      </c>
      <c r="AF128" s="1">
        <v>4</v>
      </c>
      <c r="AG128" s="3">
        <v>46013</v>
      </c>
      <c r="AH128" s="1">
        <v>4.0199999999999996</v>
      </c>
      <c r="AI128" s="3">
        <v>46024</v>
      </c>
      <c r="AJ128" s="2">
        <v>3.79</v>
      </c>
      <c r="AK128" s="3">
        <v>46024</v>
      </c>
      <c r="AL128" s="2">
        <v>3.66</v>
      </c>
      <c r="AM128" s="3">
        <v>46024</v>
      </c>
      <c r="AN128" s="2">
        <v>3.5575000000000001</v>
      </c>
      <c r="AO128" s="3">
        <v>46024</v>
      </c>
      <c r="AP128" s="2">
        <v>3.37</v>
      </c>
      <c r="AQ128" s="3">
        <v>46024</v>
      </c>
      <c r="AR128" s="2">
        <v>3.33</v>
      </c>
      <c r="AS128" s="3">
        <v>46024</v>
      </c>
      <c r="AT128" s="2">
        <v>3.3475000000000001</v>
      </c>
      <c r="AU128" s="3">
        <v>46024</v>
      </c>
      <c r="AV128" s="2">
        <v>3.3725000000000001</v>
      </c>
      <c r="AW128" s="3">
        <v>46024</v>
      </c>
      <c r="AX128" s="2">
        <v>3.41</v>
      </c>
      <c r="AY128" s="3">
        <v>46024</v>
      </c>
      <c r="AZ128" s="2">
        <v>3.4649999999999999</v>
      </c>
      <c r="BB128" s="3">
        <v>46014</v>
      </c>
      <c r="BC128" s="1">
        <v>3.5</v>
      </c>
      <c r="BD128" s="3">
        <v>46014</v>
      </c>
      <c r="BE128" s="1">
        <v>3.53</v>
      </c>
      <c r="BF128" s="3">
        <v>46024</v>
      </c>
      <c r="BG128" s="1">
        <v>3.5</v>
      </c>
      <c r="BH128" s="3">
        <v>46024</v>
      </c>
      <c r="BI128" s="1">
        <v>3.4750000000000001</v>
      </c>
      <c r="BJ128" s="3">
        <v>46024</v>
      </c>
      <c r="BK128" s="1">
        <v>3.4430000000000001</v>
      </c>
      <c r="BL128" s="3">
        <v>46024</v>
      </c>
      <c r="BM128" s="1">
        <v>3.395</v>
      </c>
      <c r="BN128" s="3">
        <v>46024</v>
      </c>
      <c r="BO128" s="1">
        <v>3.403</v>
      </c>
      <c r="BP128" s="3">
        <v>46024</v>
      </c>
      <c r="BQ128" s="1">
        <v>3.4649999999999999</v>
      </c>
      <c r="BR128" s="3">
        <v>46024</v>
      </c>
      <c r="BS128" s="1">
        <v>3.5329999999999999</v>
      </c>
      <c r="BT128" s="3">
        <v>46024</v>
      </c>
      <c r="BU128" s="1">
        <v>3.6080000000000001</v>
      </c>
      <c r="BV128" s="3">
        <v>46024</v>
      </c>
      <c r="BW128" s="1">
        <v>3.6829999999999998</v>
      </c>
      <c r="BY128" s="3">
        <v>46022</v>
      </c>
      <c r="BZ128" s="1">
        <v>6.5</v>
      </c>
      <c r="CA128" s="3">
        <v>46013</v>
      </c>
      <c r="CB128" s="1">
        <v>6.49</v>
      </c>
      <c r="CC128" s="3">
        <v>46024</v>
      </c>
      <c r="CD128" s="1">
        <v>6.3769999999999998</v>
      </c>
      <c r="CE128" s="3">
        <v>46024</v>
      </c>
      <c r="CF128" s="1">
        <v>6.173</v>
      </c>
      <c r="CG128" s="3">
        <v>46024</v>
      </c>
      <c r="CH128" s="1">
        <v>6.05</v>
      </c>
      <c r="CI128" s="3">
        <v>46024</v>
      </c>
      <c r="CJ128" s="1">
        <v>5.79</v>
      </c>
      <c r="CK128" s="3">
        <v>46024</v>
      </c>
      <c r="CL128" s="1">
        <v>5.57</v>
      </c>
      <c r="CM128" s="3">
        <v>46024</v>
      </c>
      <c r="CN128" s="1">
        <v>5.5250000000000004</v>
      </c>
      <c r="CO128" s="3">
        <v>46022</v>
      </c>
      <c r="CP128" s="1">
        <v>5.5</v>
      </c>
      <c r="CQ128" s="3">
        <v>46022</v>
      </c>
      <c r="CR128" s="1">
        <v>5.51</v>
      </c>
      <c r="CS128" s="3">
        <v>46022</v>
      </c>
      <c r="CT128" s="1">
        <v>5.54</v>
      </c>
    </row>
    <row r="129" spans="31:98" x14ac:dyDescent="0.2">
      <c r="AE129" s="3">
        <v>46023</v>
      </c>
      <c r="AF129" s="1">
        <v>4</v>
      </c>
      <c r="AG129" s="3">
        <v>46010</v>
      </c>
      <c r="AH129" s="1">
        <v>4.0199999999999996</v>
      </c>
      <c r="AI129" s="3">
        <v>46023</v>
      </c>
      <c r="AJ129" s="2">
        <v>3.7696000000000001</v>
      </c>
      <c r="AK129" s="3">
        <v>46023</v>
      </c>
      <c r="AL129" s="2">
        <v>3.7280000000000002</v>
      </c>
      <c r="AM129" s="3">
        <v>46023</v>
      </c>
      <c r="AN129" s="2">
        <v>3.5550000000000002</v>
      </c>
      <c r="AO129" s="3">
        <v>46023</v>
      </c>
      <c r="AP129" s="2">
        <v>3.35</v>
      </c>
      <c r="AQ129" s="3">
        <v>46023</v>
      </c>
      <c r="AR129" s="2">
        <v>3.32</v>
      </c>
      <c r="AS129" s="3">
        <v>46023</v>
      </c>
      <c r="AT129" s="2">
        <v>3.3275000000000001</v>
      </c>
      <c r="AU129" s="3">
        <v>46023</v>
      </c>
      <c r="AV129" s="2">
        <v>3.355</v>
      </c>
      <c r="AW129" s="3">
        <v>46023</v>
      </c>
      <c r="AX129" s="2">
        <v>3.395</v>
      </c>
      <c r="AY129" s="3">
        <v>46023</v>
      </c>
      <c r="AZ129" s="2">
        <v>3.4449999999999998</v>
      </c>
      <c r="BB129" s="3">
        <v>46013</v>
      </c>
      <c r="BC129" s="1">
        <v>3.5</v>
      </c>
      <c r="BD129" s="3">
        <v>46013</v>
      </c>
      <c r="BE129" s="1">
        <v>3.53</v>
      </c>
      <c r="BF129" s="3">
        <v>46023</v>
      </c>
      <c r="BG129" s="1">
        <v>3.5</v>
      </c>
      <c r="BH129" s="3">
        <v>46023</v>
      </c>
      <c r="BI129" s="1">
        <v>3.47</v>
      </c>
      <c r="BJ129" s="3">
        <v>46023</v>
      </c>
      <c r="BK129" s="1">
        <v>3.4249999999999998</v>
      </c>
      <c r="BL129" s="3">
        <v>46023</v>
      </c>
      <c r="BM129" s="1">
        <v>3.3730000000000002</v>
      </c>
      <c r="BN129" s="3">
        <v>46023</v>
      </c>
      <c r="BO129" s="1">
        <v>3.3780000000000001</v>
      </c>
      <c r="BP129" s="3">
        <v>46023</v>
      </c>
      <c r="BQ129" s="1">
        <v>3.4430000000000001</v>
      </c>
      <c r="BR129" s="3">
        <v>46023</v>
      </c>
      <c r="BS129" s="1">
        <v>3.5179999999999998</v>
      </c>
      <c r="BT129" s="3">
        <v>46023</v>
      </c>
      <c r="BU129" s="1">
        <v>3.5979999999999999</v>
      </c>
      <c r="BV129" s="3">
        <v>46023</v>
      </c>
      <c r="BW129" s="1">
        <v>3.6779999999999999</v>
      </c>
      <c r="BY129" s="3">
        <v>46021</v>
      </c>
      <c r="BZ129" s="1">
        <v>6.5</v>
      </c>
      <c r="CA129" s="3">
        <v>46010</v>
      </c>
      <c r="CB129" s="1">
        <v>6.49</v>
      </c>
      <c r="CC129" s="3">
        <v>46023</v>
      </c>
      <c r="CD129" s="1">
        <v>6.3867000000000003</v>
      </c>
      <c r="CE129" s="3">
        <v>46023</v>
      </c>
      <c r="CF129" s="1">
        <v>6.1858000000000004</v>
      </c>
      <c r="CG129" s="3">
        <v>46023</v>
      </c>
      <c r="CH129" s="1">
        <v>6.0517000000000003</v>
      </c>
      <c r="CI129" s="3">
        <v>46023</v>
      </c>
      <c r="CJ129" s="1">
        <v>5.7926000000000002</v>
      </c>
      <c r="CK129" s="3">
        <v>46023</v>
      </c>
      <c r="CL129" s="1">
        <v>5.5713999999999997</v>
      </c>
      <c r="CM129" s="3">
        <v>46023</v>
      </c>
      <c r="CN129" s="1">
        <v>5.5549999999999997</v>
      </c>
      <c r="CO129" s="3">
        <v>46021</v>
      </c>
      <c r="CP129" s="1">
        <v>5.53</v>
      </c>
      <c r="CQ129" s="3">
        <v>46021</v>
      </c>
      <c r="CR129" s="1">
        <v>5.55</v>
      </c>
      <c r="CS129" s="3">
        <v>46021</v>
      </c>
      <c r="CT129" s="1">
        <v>5.58</v>
      </c>
    </row>
    <row r="130" spans="31:98" x14ac:dyDescent="0.2">
      <c r="AE130" s="3">
        <v>46022</v>
      </c>
      <c r="AF130" s="1">
        <v>4</v>
      </c>
      <c r="AG130" s="3">
        <v>46009</v>
      </c>
      <c r="AH130" s="1">
        <v>4.04</v>
      </c>
      <c r="AI130" s="3">
        <v>46022</v>
      </c>
      <c r="AJ130" s="2">
        <v>3.8450000000000002</v>
      </c>
      <c r="AK130" s="3">
        <v>46022</v>
      </c>
      <c r="AL130" s="2">
        <v>3.7149999999999999</v>
      </c>
      <c r="AM130" s="3">
        <v>46022</v>
      </c>
      <c r="AN130" s="2">
        <v>3.5550000000000002</v>
      </c>
      <c r="AO130" s="3">
        <v>46022</v>
      </c>
      <c r="AP130" s="2">
        <v>3.355</v>
      </c>
      <c r="AQ130" s="3">
        <v>46022</v>
      </c>
      <c r="AR130" s="2">
        <v>3.3075000000000001</v>
      </c>
      <c r="AS130" s="3">
        <v>46022</v>
      </c>
      <c r="AT130" s="2">
        <v>3.3275000000000001</v>
      </c>
      <c r="AU130" s="3">
        <v>46022</v>
      </c>
      <c r="AV130" s="2">
        <v>3.355</v>
      </c>
      <c r="AW130" s="3">
        <v>46022</v>
      </c>
      <c r="AX130" s="2">
        <v>3.395</v>
      </c>
      <c r="AY130" s="3">
        <v>46022</v>
      </c>
      <c r="AZ130" s="2">
        <v>3.4449999999999998</v>
      </c>
      <c r="BB130" s="3">
        <v>46010</v>
      </c>
      <c r="BC130" s="1">
        <v>3.5</v>
      </c>
      <c r="BD130" s="3">
        <v>46010</v>
      </c>
      <c r="BE130" s="1">
        <v>3.53</v>
      </c>
      <c r="BF130" s="3">
        <v>46022</v>
      </c>
      <c r="BG130" s="1">
        <v>3.4950000000000001</v>
      </c>
      <c r="BH130" s="3">
        <v>46022</v>
      </c>
      <c r="BI130" s="1">
        <v>3.47</v>
      </c>
      <c r="BJ130" s="3">
        <v>46022</v>
      </c>
      <c r="BK130" s="1">
        <v>3.4249999999999998</v>
      </c>
      <c r="BL130" s="3">
        <v>46022</v>
      </c>
      <c r="BM130" s="1">
        <v>3.3730000000000002</v>
      </c>
      <c r="BN130" s="3">
        <v>46022</v>
      </c>
      <c r="BO130" s="1">
        <v>3.3780000000000001</v>
      </c>
      <c r="BP130" s="3">
        <v>46022</v>
      </c>
      <c r="BQ130" s="1">
        <v>3.4430000000000001</v>
      </c>
      <c r="BR130" s="3">
        <v>46022</v>
      </c>
      <c r="BS130" s="1">
        <v>3.5179999999999998</v>
      </c>
      <c r="BT130" s="3">
        <v>46022</v>
      </c>
      <c r="BU130" s="1">
        <v>3.5979999999999999</v>
      </c>
      <c r="BV130" s="3">
        <v>46022</v>
      </c>
      <c r="BW130" s="1">
        <v>3.6779999999999999</v>
      </c>
      <c r="BY130" s="3">
        <v>46020</v>
      </c>
      <c r="BZ130" s="1">
        <v>6.5</v>
      </c>
      <c r="CA130" s="3">
        <v>46009</v>
      </c>
      <c r="CB130" s="1">
        <v>6.49</v>
      </c>
      <c r="CC130" s="3">
        <v>46022</v>
      </c>
      <c r="CD130" s="1">
        <v>6.3810000000000002</v>
      </c>
      <c r="CE130" s="3">
        <v>46022</v>
      </c>
      <c r="CF130" s="1">
        <v>6.181</v>
      </c>
      <c r="CG130" s="3">
        <v>46022</v>
      </c>
      <c r="CH130" s="1">
        <v>6.05</v>
      </c>
      <c r="CI130" s="3">
        <v>46022</v>
      </c>
      <c r="CJ130" s="1">
        <v>5.79</v>
      </c>
      <c r="CK130" s="3">
        <v>46022</v>
      </c>
      <c r="CL130" s="1">
        <v>5.57</v>
      </c>
      <c r="CM130" s="3">
        <v>46022</v>
      </c>
      <c r="CN130" s="1">
        <v>5.5250000000000004</v>
      </c>
      <c r="CO130" s="3">
        <v>46020</v>
      </c>
      <c r="CP130" s="1">
        <v>5.585</v>
      </c>
      <c r="CQ130" s="3">
        <v>46020</v>
      </c>
      <c r="CR130" s="1">
        <v>5.6050000000000004</v>
      </c>
      <c r="CS130" s="3">
        <v>46020</v>
      </c>
      <c r="CT130" s="1">
        <v>5.6349999999999998</v>
      </c>
    </row>
    <row r="131" spans="31:98" x14ac:dyDescent="0.2">
      <c r="AE131" s="3">
        <v>46021</v>
      </c>
      <c r="AF131" s="1">
        <v>4</v>
      </c>
      <c r="AG131" s="3">
        <v>46008</v>
      </c>
      <c r="AH131" s="1">
        <v>4.04</v>
      </c>
      <c r="AI131" s="3">
        <v>46021</v>
      </c>
      <c r="AJ131" s="2">
        <v>3.8650000000000002</v>
      </c>
      <c r="AK131" s="3">
        <v>46021</v>
      </c>
      <c r="AL131" s="2">
        <v>3.74</v>
      </c>
      <c r="AM131" s="3">
        <v>46021</v>
      </c>
      <c r="AN131" s="2">
        <v>3.5750000000000002</v>
      </c>
      <c r="AO131" s="3">
        <v>46021</v>
      </c>
      <c r="AP131" s="2">
        <v>3.3875000000000002</v>
      </c>
      <c r="AQ131" s="3">
        <v>46021</v>
      </c>
      <c r="AR131" s="2">
        <v>3.35</v>
      </c>
      <c r="AS131" s="3">
        <v>46021</v>
      </c>
      <c r="AT131" s="2">
        <v>3.3675000000000002</v>
      </c>
      <c r="AU131" s="3">
        <v>46021</v>
      </c>
      <c r="AV131" s="2">
        <v>3.3925000000000001</v>
      </c>
      <c r="AW131" s="3">
        <v>46021</v>
      </c>
      <c r="AX131" s="2">
        <v>3.4275000000000002</v>
      </c>
      <c r="AY131" s="3">
        <v>46021</v>
      </c>
      <c r="AZ131" s="2">
        <v>3.4725000000000001</v>
      </c>
      <c r="BB131" s="3">
        <v>46009</v>
      </c>
      <c r="BC131" s="1">
        <v>3.5</v>
      </c>
      <c r="BD131" s="3">
        <v>46009</v>
      </c>
      <c r="BE131" s="1">
        <v>3.54</v>
      </c>
      <c r="BF131" s="3">
        <v>46021</v>
      </c>
      <c r="BG131" s="1">
        <v>3.4950000000000001</v>
      </c>
      <c r="BH131" s="3">
        <v>46021</v>
      </c>
      <c r="BI131" s="1">
        <v>3.4750000000000001</v>
      </c>
      <c r="BJ131" s="3">
        <v>46021</v>
      </c>
      <c r="BK131" s="1">
        <v>3.4329999999999998</v>
      </c>
      <c r="BL131" s="3">
        <v>46021</v>
      </c>
      <c r="BM131" s="1">
        <v>3.4</v>
      </c>
      <c r="BN131" s="3">
        <v>46021</v>
      </c>
      <c r="BO131" s="1">
        <v>3.403</v>
      </c>
      <c r="BP131" s="3">
        <v>46021</v>
      </c>
      <c r="BQ131" s="1">
        <v>3.468</v>
      </c>
      <c r="BR131" s="3">
        <v>46021</v>
      </c>
      <c r="BS131" s="1">
        <v>3.5249999999999999</v>
      </c>
      <c r="BT131" s="3">
        <v>46021</v>
      </c>
      <c r="BU131" s="1">
        <v>3.5979999999999999</v>
      </c>
      <c r="BV131" s="3">
        <v>46021</v>
      </c>
      <c r="BW131" s="1">
        <v>3.6749999999999998</v>
      </c>
      <c r="BY131" s="3">
        <v>46017</v>
      </c>
      <c r="BZ131" s="1">
        <v>6.5</v>
      </c>
      <c r="CA131" s="3">
        <v>46008</v>
      </c>
      <c r="CB131" s="1">
        <v>6.5</v>
      </c>
      <c r="CC131" s="3">
        <v>46021</v>
      </c>
      <c r="CD131" s="1">
        <v>6.3780000000000001</v>
      </c>
      <c r="CE131" s="3">
        <v>46021</v>
      </c>
      <c r="CF131" s="1">
        <v>6.1849999999999996</v>
      </c>
      <c r="CG131" s="3">
        <v>46021</v>
      </c>
      <c r="CH131" s="1">
        <v>6.07</v>
      </c>
      <c r="CI131" s="3">
        <v>46021</v>
      </c>
      <c r="CJ131" s="1">
        <v>5.82</v>
      </c>
      <c r="CK131" s="3">
        <v>46021</v>
      </c>
      <c r="CL131" s="1">
        <v>5.61</v>
      </c>
      <c r="CM131" s="3">
        <v>46021</v>
      </c>
      <c r="CN131" s="1">
        <v>5.5650000000000004</v>
      </c>
      <c r="CO131" s="3">
        <v>46017</v>
      </c>
      <c r="CP131" s="1">
        <v>5.58</v>
      </c>
      <c r="CQ131" s="3">
        <v>46017</v>
      </c>
      <c r="CR131" s="1">
        <v>5.59</v>
      </c>
      <c r="CS131" s="3">
        <v>46017</v>
      </c>
      <c r="CT131" s="1">
        <v>5.6050000000000004</v>
      </c>
    </row>
    <row r="132" spans="31:98" x14ac:dyDescent="0.2">
      <c r="AE132" s="3">
        <v>46020</v>
      </c>
      <c r="AF132" s="1">
        <v>4</v>
      </c>
      <c r="AG132" s="3">
        <v>46007</v>
      </c>
      <c r="AH132" s="1">
        <v>4.03</v>
      </c>
      <c r="AI132" s="3">
        <v>46020</v>
      </c>
      <c r="AJ132" s="2">
        <v>3.88</v>
      </c>
      <c r="AK132" s="3">
        <v>46020</v>
      </c>
      <c r="AL132" s="2">
        <v>3.7524999999999999</v>
      </c>
      <c r="AM132" s="3">
        <v>46020</v>
      </c>
      <c r="AN132" s="2">
        <v>3.5825</v>
      </c>
      <c r="AO132" s="3">
        <v>46020</v>
      </c>
      <c r="AP132" s="2">
        <v>3.39</v>
      </c>
      <c r="AQ132" s="3">
        <v>46020</v>
      </c>
      <c r="AR132" s="2">
        <v>3.355</v>
      </c>
      <c r="AS132" s="3">
        <v>46020</v>
      </c>
      <c r="AT132" s="2">
        <v>3.3725000000000001</v>
      </c>
      <c r="AU132" s="3">
        <v>46020</v>
      </c>
      <c r="AV132" s="2">
        <v>3.3975</v>
      </c>
      <c r="AW132" s="3">
        <v>46020</v>
      </c>
      <c r="AX132" s="2">
        <v>3.4325000000000001</v>
      </c>
      <c r="AY132" s="3">
        <v>46020</v>
      </c>
      <c r="AZ132" s="2">
        <v>3.4750000000000001</v>
      </c>
      <c r="BB132" s="3">
        <v>46008</v>
      </c>
      <c r="BC132" s="1">
        <v>3.5</v>
      </c>
      <c r="BD132" s="3">
        <v>46008</v>
      </c>
      <c r="BE132" s="1">
        <v>3.54</v>
      </c>
      <c r="BF132" s="3">
        <v>46020</v>
      </c>
      <c r="BG132" s="1">
        <v>3.51</v>
      </c>
      <c r="BH132" s="3">
        <v>46020</v>
      </c>
      <c r="BI132" s="1">
        <v>3.4950000000000001</v>
      </c>
      <c r="BJ132" s="3">
        <v>46020</v>
      </c>
      <c r="BK132" s="1">
        <v>3.4649999999999999</v>
      </c>
      <c r="BL132" s="3">
        <v>46020</v>
      </c>
      <c r="BM132" s="1">
        <v>3.4249999999999998</v>
      </c>
      <c r="BN132" s="3">
        <v>46020</v>
      </c>
      <c r="BO132" s="1">
        <v>3.4180000000000001</v>
      </c>
      <c r="BP132" s="3">
        <v>46020</v>
      </c>
      <c r="BQ132" s="1">
        <v>3.4780000000000002</v>
      </c>
      <c r="BR132" s="3">
        <v>46020</v>
      </c>
      <c r="BS132" s="1">
        <v>3.5430000000000001</v>
      </c>
      <c r="BT132" s="3">
        <v>46020</v>
      </c>
      <c r="BU132" s="1">
        <v>3.613</v>
      </c>
      <c r="BV132" s="3">
        <v>46020</v>
      </c>
      <c r="BW132" s="1">
        <v>3.6930000000000001</v>
      </c>
      <c r="BY132" s="3">
        <v>46016</v>
      </c>
      <c r="BZ132" s="1">
        <v>6.5</v>
      </c>
      <c r="CA132" s="3">
        <v>46007</v>
      </c>
      <c r="CB132" s="1">
        <v>6.5</v>
      </c>
      <c r="CC132" s="3">
        <v>46020</v>
      </c>
      <c r="CD132" s="1">
        <v>6.3920000000000003</v>
      </c>
      <c r="CE132" s="3">
        <v>46020</v>
      </c>
      <c r="CF132" s="1">
        <v>6.1950000000000003</v>
      </c>
      <c r="CG132" s="3">
        <v>46020</v>
      </c>
      <c r="CH132" s="1">
        <v>6.08</v>
      </c>
      <c r="CI132" s="3">
        <v>46020</v>
      </c>
      <c r="CJ132" s="1">
        <v>5.85</v>
      </c>
      <c r="CK132" s="3">
        <v>46020</v>
      </c>
      <c r="CL132" s="1">
        <v>5.65</v>
      </c>
      <c r="CM132" s="3">
        <v>46020</v>
      </c>
      <c r="CN132" s="1">
        <v>5.61</v>
      </c>
      <c r="CO132" s="3">
        <v>46016</v>
      </c>
      <c r="CP132" s="1">
        <v>5.58</v>
      </c>
      <c r="CQ132" s="3">
        <v>46016</v>
      </c>
      <c r="CR132" s="1">
        <v>5.59</v>
      </c>
      <c r="CS132" s="3">
        <v>46016</v>
      </c>
      <c r="CT132" s="1">
        <v>5.6050000000000004</v>
      </c>
    </row>
    <row r="133" spans="31:98" x14ac:dyDescent="0.2">
      <c r="AE133" s="3">
        <v>46017</v>
      </c>
      <c r="AF133" s="1">
        <v>4</v>
      </c>
      <c r="AG133" s="3">
        <v>46006</v>
      </c>
      <c r="AH133" s="1">
        <v>4.04</v>
      </c>
      <c r="AI133" s="3">
        <v>46017</v>
      </c>
      <c r="AJ133" s="2">
        <v>3.8980999999999999</v>
      </c>
      <c r="AK133" s="3">
        <v>46017</v>
      </c>
      <c r="AL133" s="2">
        <v>3.7930000000000001</v>
      </c>
      <c r="AM133" s="3">
        <v>46017</v>
      </c>
      <c r="AN133" s="2">
        <v>3.5950000000000002</v>
      </c>
      <c r="AO133" s="3">
        <v>46017</v>
      </c>
      <c r="AP133" s="2">
        <v>3.4350000000000001</v>
      </c>
      <c r="AQ133" s="3">
        <v>46017</v>
      </c>
      <c r="AR133" s="2">
        <v>3.395</v>
      </c>
      <c r="AS133" s="3">
        <v>46017</v>
      </c>
      <c r="AT133" s="2">
        <v>3.4224999999999999</v>
      </c>
      <c r="AU133" s="3">
        <v>46017</v>
      </c>
      <c r="AV133" s="2">
        <v>3.45</v>
      </c>
      <c r="AW133" s="3">
        <v>46017</v>
      </c>
      <c r="AX133" s="2">
        <v>3.4849999999999999</v>
      </c>
      <c r="AY133" s="3">
        <v>46017</v>
      </c>
      <c r="AZ133" s="2">
        <v>3.5249999999999999</v>
      </c>
      <c r="BB133" s="3">
        <v>46007</v>
      </c>
      <c r="BC133" s="1">
        <v>3.5</v>
      </c>
      <c r="BD133" s="3">
        <v>46007</v>
      </c>
      <c r="BE133" s="1">
        <v>3.54</v>
      </c>
      <c r="BF133" s="3">
        <v>46017</v>
      </c>
      <c r="BG133" s="1">
        <v>3.5150000000000001</v>
      </c>
      <c r="BH133" s="3">
        <v>46017</v>
      </c>
      <c r="BI133" s="1">
        <v>3.504</v>
      </c>
      <c r="BJ133" s="3">
        <v>46017</v>
      </c>
      <c r="BK133" s="1">
        <v>3.4849999999999999</v>
      </c>
      <c r="BL133" s="3">
        <v>46017</v>
      </c>
      <c r="BM133" s="1">
        <v>3.4430000000000001</v>
      </c>
      <c r="BN133" s="3">
        <v>46017</v>
      </c>
      <c r="BO133" s="1">
        <v>3.4449999999999998</v>
      </c>
      <c r="BP133" s="3">
        <v>46017</v>
      </c>
      <c r="BQ133" s="1">
        <v>3.5129999999999999</v>
      </c>
      <c r="BR133" s="3">
        <v>46017</v>
      </c>
      <c r="BS133" s="1">
        <v>3.5750000000000002</v>
      </c>
      <c r="BT133" s="3">
        <v>46017</v>
      </c>
      <c r="BU133" s="1">
        <v>3.645</v>
      </c>
      <c r="BV133" s="3">
        <v>46017</v>
      </c>
      <c r="BW133" s="1">
        <v>3.73</v>
      </c>
      <c r="BY133" s="3">
        <v>46015</v>
      </c>
      <c r="BZ133" s="1">
        <v>6.5</v>
      </c>
      <c r="CA133" s="3">
        <v>46006</v>
      </c>
      <c r="CB133" s="1">
        <v>6.5</v>
      </c>
      <c r="CC133" s="3">
        <v>46017</v>
      </c>
      <c r="CD133" s="1">
        <v>6.4154</v>
      </c>
      <c r="CE133" s="3">
        <v>46017</v>
      </c>
      <c r="CF133" s="1">
        <v>6.2229000000000001</v>
      </c>
      <c r="CG133" s="3">
        <v>46017</v>
      </c>
      <c r="CH133" s="1">
        <v>6.1045999999999996</v>
      </c>
      <c r="CI133" s="3">
        <v>46017</v>
      </c>
      <c r="CJ133" s="1">
        <v>5.8665000000000003</v>
      </c>
      <c r="CK133" s="3">
        <v>46017</v>
      </c>
      <c r="CL133" s="1">
        <v>5.6632999999999996</v>
      </c>
      <c r="CM133" s="3">
        <v>46017</v>
      </c>
      <c r="CN133" s="1">
        <v>5.6150000000000002</v>
      </c>
      <c r="CO133" s="3">
        <v>46015</v>
      </c>
      <c r="CP133" s="1">
        <v>5.58</v>
      </c>
      <c r="CQ133" s="3">
        <v>46015</v>
      </c>
      <c r="CR133" s="1">
        <v>5.59</v>
      </c>
      <c r="CS133" s="3">
        <v>46015</v>
      </c>
      <c r="CT133" s="1">
        <v>5.6050000000000004</v>
      </c>
    </row>
    <row r="134" spans="31:98" x14ac:dyDescent="0.2">
      <c r="AE134" s="3">
        <v>46016</v>
      </c>
      <c r="AF134" s="1">
        <v>4</v>
      </c>
      <c r="AG134" s="3">
        <v>46003</v>
      </c>
      <c r="AH134" s="1">
        <v>4.0599999999999996</v>
      </c>
      <c r="AI134" s="3">
        <v>46016</v>
      </c>
      <c r="AJ134" s="2">
        <v>3.8961999999999999</v>
      </c>
      <c r="AK134" s="3">
        <v>46016</v>
      </c>
      <c r="AL134" s="2">
        <v>3.7930000000000001</v>
      </c>
      <c r="AM134" s="3">
        <v>46016</v>
      </c>
      <c r="AN134" s="2">
        <v>3.5950000000000002</v>
      </c>
      <c r="AO134" s="3">
        <v>46016</v>
      </c>
      <c r="AP134" s="2">
        <v>3.4350000000000001</v>
      </c>
      <c r="AQ134" s="3">
        <v>46016</v>
      </c>
      <c r="AR134" s="2">
        <v>3.395</v>
      </c>
      <c r="AS134" s="3">
        <v>46016</v>
      </c>
      <c r="AT134" s="2">
        <v>3.4224999999999999</v>
      </c>
      <c r="AU134" s="3">
        <v>46016</v>
      </c>
      <c r="AV134" s="2">
        <v>3.45</v>
      </c>
      <c r="AW134" s="3">
        <v>46016</v>
      </c>
      <c r="AX134" s="2">
        <v>3.4849999999999999</v>
      </c>
      <c r="AY134" s="3">
        <v>46016</v>
      </c>
      <c r="AZ134" s="2">
        <v>3.5249999999999999</v>
      </c>
      <c r="BB134" s="3">
        <v>46006</v>
      </c>
      <c r="BC134" s="1">
        <v>3.5</v>
      </c>
      <c r="BD134" s="3">
        <v>46006</v>
      </c>
      <c r="BE134" s="1">
        <v>3.54</v>
      </c>
      <c r="BF134" s="3">
        <v>46016</v>
      </c>
      <c r="BG134" s="1">
        <v>3.5150000000000001</v>
      </c>
      <c r="BH134" s="3">
        <v>46016</v>
      </c>
      <c r="BI134" s="1">
        <v>3.504</v>
      </c>
      <c r="BJ134" s="3">
        <v>46016</v>
      </c>
      <c r="BK134" s="1">
        <v>3.4849999999999999</v>
      </c>
      <c r="BL134" s="3">
        <v>46016</v>
      </c>
      <c r="BM134" s="1">
        <v>3.4430000000000001</v>
      </c>
      <c r="BN134" s="3">
        <v>46016</v>
      </c>
      <c r="BO134" s="1">
        <v>3.4449999999999998</v>
      </c>
      <c r="BP134" s="3">
        <v>46016</v>
      </c>
      <c r="BQ134" s="1">
        <v>3.5129999999999999</v>
      </c>
      <c r="BR134" s="3">
        <v>46016</v>
      </c>
      <c r="BS134" s="1">
        <v>3.5750000000000002</v>
      </c>
      <c r="BT134" s="3">
        <v>46016</v>
      </c>
      <c r="BU134" s="1">
        <v>3.645</v>
      </c>
      <c r="BV134" s="3">
        <v>46016</v>
      </c>
      <c r="BW134" s="1">
        <v>3.73</v>
      </c>
      <c r="BY134" s="3">
        <v>46014</v>
      </c>
      <c r="BZ134" s="1">
        <v>6.5</v>
      </c>
      <c r="CA134" s="3">
        <v>46003</v>
      </c>
      <c r="CB134" s="1">
        <v>6.5</v>
      </c>
      <c r="CC134" s="3">
        <v>46016</v>
      </c>
      <c r="CD134" s="1">
        <v>6.4103000000000003</v>
      </c>
      <c r="CE134" s="3">
        <v>46016</v>
      </c>
      <c r="CF134" s="1">
        <v>6.2184999999999997</v>
      </c>
      <c r="CG134" s="3">
        <v>46016</v>
      </c>
      <c r="CH134" s="1">
        <v>6.1029999999999998</v>
      </c>
      <c r="CI134" s="3">
        <v>46016</v>
      </c>
      <c r="CJ134" s="1">
        <v>5.8643000000000001</v>
      </c>
      <c r="CK134" s="3">
        <v>46016</v>
      </c>
      <c r="CL134" s="1">
        <v>5.6622000000000003</v>
      </c>
      <c r="CM134" s="3">
        <v>46016</v>
      </c>
      <c r="CN134" s="1">
        <v>5.6150000000000002</v>
      </c>
      <c r="CO134" s="3">
        <v>46014</v>
      </c>
      <c r="CP134" s="1">
        <v>5.58</v>
      </c>
      <c r="CQ134" s="3">
        <v>46014</v>
      </c>
      <c r="CR134" s="1">
        <v>5.59</v>
      </c>
      <c r="CS134" s="3">
        <v>46014</v>
      </c>
      <c r="CT134" s="1">
        <v>5.6050000000000004</v>
      </c>
    </row>
    <row r="135" spans="31:98" x14ac:dyDescent="0.2">
      <c r="AE135" s="3">
        <v>46015</v>
      </c>
      <c r="AF135" s="1">
        <v>4</v>
      </c>
      <c r="AG135" s="3">
        <v>46002</v>
      </c>
      <c r="AH135" s="1">
        <v>4.0599999999999996</v>
      </c>
      <c r="AI135" s="3">
        <v>46015</v>
      </c>
      <c r="AJ135" s="2">
        <v>3.9049999999999998</v>
      </c>
      <c r="AK135" s="3">
        <v>46015</v>
      </c>
      <c r="AL135" s="2">
        <v>3.7930000000000001</v>
      </c>
      <c r="AM135" s="3">
        <v>46015</v>
      </c>
      <c r="AN135" s="2">
        <v>3.5950000000000002</v>
      </c>
      <c r="AO135" s="3">
        <v>46015</v>
      </c>
      <c r="AP135" s="2">
        <v>3.4350000000000001</v>
      </c>
      <c r="AQ135" s="3">
        <v>46015</v>
      </c>
      <c r="AR135" s="2">
        <v>3.395</v>
      </c>
      <c r="AS135" s="3">
        <v>46015</v>
      </c>
      <c r="AT135" s="2">
        <v>3.4224999999999999</v>
      </c>
      <c r="AU135" s="3">
        <v>46015</v>
      </c>
      <c r="AV135" s="2">
        <v>3.45</v>
      </c>
      <c r="AW135" s="3">
        <v>46015</v>
      </c>
      <c r="AX135" s="2">
        <v>3.4849999999999999</v>
      </c>
      <c r="AY135" s="3">
        <v>46015</v>
      </c>
      <c r="AZ135" s="2">
        <v>3.5249999999999999</v>
      </c>
      <c r="BB135" s="3">
        <v>46003</v>
      </c>
      <c r="BC135" s="1">
        <v>3.5</v>
      </c>
      <c r="BD135" s="3">
        <v>46003</v>
      </c>
      <c r="BE135" s="1">
        <v>3.54</v>
      </c>
      <c r="BF135" s="3">
        <v>46015</v>
      </c>
      <c r="BG135" s="1">
        <v>3.5150000000000001</v>
      </c>
      <c r="BH135" s="3">
        <v>46015</v>
      </c>
      <c r="BI135" s="1">
        <v>3.5030000000000001</v>
      </c>
      <c r="BJ135" s="3">
        <v>46015</v>
      </c>
      <c r="BK135" s="1">
        <v>3.4849999999999999</v>
      </c>
      <c r="BL135" s="3">
        <v>46015</v>
      </c>
      <c r="BM135" s="1">
        <v>3.4430000000000001</v>
      </c>
      <c r="BN135" s="3">
        <v>46015</v>
      </c>
      <c r="BO135" s="1">
        <v>3.4449999999999998</v>
      </c>
      <c r="BP135" s="3">
        <v>46015</v>
      </c>
      <c r="BQ135" s="1">
        <v>3.5129999999999999</v>
      </c>
      <c r="BR135" s="3">
        <v>46015</v>
      </c>
      <c r="BS135" s="1">
        <v>3.5750000000000002</v>
      </c>
      <c r="BT135" s="3">
        <v>46015</v>
      </c>
      <c r="BU135" s="1">
        <v>3.645</v>
      </c>
      <c r="BV135" s="3">
        <v>46015</v>
      </c>
      <c r="BW135" s="1">
        <v>3.73</v>
      </c>
      <c r="BY135" s="3">
        <v>46013</v>
      </c>
      <c r="BZ135" s="1">
        <v>6.5</v>
      </c>
      <c r="CA135" s="3">
        <v>46002</v>
      </c>
      <c r="CB135" s="1">
        <v>6.5</v>
      </c>
      <c r="CC135" s="3">
        <v>46015</v>
      </c>
      <c r="CD135" s="1">
        <v>6.4</v>
      </c>
      <c r="CE135" s="3">
        <v>46015</v>
      </c>
      <c r="CF135" s="1">
        <v>6.21</v>
      </c>
      <c r="CG135" s="3">
        <v>46015</v>
      </c>
      <c r="CH135" s="1">
        <v>6.1</v>
      </c>
      <c r="CI135" s="3">
        <v>46015</v>
      </c>
      <c r="CJ135" s="1">
        <v>5.86</v>
      </c>
      <c r="CK135" s="3">
        <v>46015</v>
      </c>
      <c r="CL135" s="1">
        <v>5.66</v>
      </c>
      <c r="CM135" s="3">
        <v>46015</v>
      </c>
      <c r="CN135" s="1">
        <v>5.6150000000000002</v>
      </c>
      <c r="CO135" s="3">
        <v>46013</v>
      </c>
      <c r="CP135" s="1">
        <v>5.5949999999999998</v>
      </c>
      <c r="CQ135" s="3">
        <v>46013</v>
      </c>
      <c r="CR135" s="1">
        <v>5.6</v>
      </c>
      <c r="CS135" s="3">
        <v>46013</v>
      </c>
      <c r="CT135" s="1">
        <v>5.61</v>
      </c>
    </row>
    <row r="136" spans="31:98" x14ac:dyDescent="0.2">
      <c r="AE136" s="3">
        <v>46014</v>
      </c>
      <c r="AF136" s="1">
        <v>4</v>
      </c>
      <c r="AG136" s="3">
        <v>46001</v>
      </c>
      <c r="AH136" s="1">
        <v>4.05</v>
      </c>
      <c r="AI136" s="3">
        <v>46014</v>
      </c>
      <c r="AJ136" s="2">
        <v>3.9049999999999998</v>
      </c>
      <c r="AK136" s="3">
        <v>46014</v>
      </c>
      <c r="AL136" s="2">
        <v>3.7850000000000001</v>
      </c>
      <c r="AM136" s="3">
        <v>46014</v>
      </c>
      <c r="AN136" s="2">
        <v>3.605</v>
      </c>
      <c r="AO136" s="3">
        <v>46014</v>
      </c>
      <c r="AP136" s="2">
        <v>3.4375</v>
      </c>
      <c r="AQ136" s="3">
        <v>46014</v>
      </c>
      <c r="AR136" s="2">
        <v>3.4049999999999998</v>
      </c>
      <c r="AS136" s="3">
        <v>46014</v>
      </c>
      <c r="AT136" s="2">
        <v>3.4224999999999999</v>
      </c>
      <c r="AU136" s="3">
        <v>46014</v>
      </c>
      <c r="AV136" s="2">
        <v>3.45</v>
      </c>
      <c r="AW136" s="3">
        <v>46014</v>
      </c>
      <c r="AX136" s="2">
        <v>3.4849999999999999</v>
      </c>
      <c r="AY136" s="3">
        <v>46014</v>
      </c>
      <c r="AZ136" s="2">
        <v>3.5249999999999999</v>
      </c>
      <c r="BB136" s="3">
        <v>46002</v>
      </c>
      <c r="BC136" s="1">
        <v>3.5</v>
      </c>
      <c r="BD136" s="3">
        <v>46002</v>
      </c>
      <c r="BE136" s="1">
        <v>3.54</v>
      </c>
      <c r="BF136" s="3">
        <v>46014</v>
      </c>
      <c r="BG136" s="1">
        <v>3.51</v>
      </c>
      <c r="BH136" s="3">
        <v>46014</v>
      </c>
      <c r="BI136" s="1">
        <v>3.504</v>
      </c>
      <c r="BJ136" s="3">
        <v>46014</v>
      </c>
      <c r="BK136" s="1">
        <v>3.4849999999999999</v>
      </c>
      <c r="BL136" s="3">
        <v>46014</v>
      </c>
      <c r="BM136" s="1">
        <v>3.4430000000000001</v>
      </c>
      <c r="BN136" s="3">
        <v>46014</v>
      </c>
      <c r="BO136" s="1">
        <v>3.4449999999999998</v>
      </c>
      <c r="BP136" s="3">
        <v>46014</v>
      </c>
      <c r="BQ136" s="1">
        <v>3.5129999999999999</v>
      </c>
      <c r="BR136" s="3">
        <v>46014</v>
      </c>
      <c r="BS136" s="1">
        <v>3.5750000000000002</v>
      </c>
      <c r="BT136" s="3">
        <v>46014</v>
      </c>
      <c r="BU136" s="1">
        <v>3.645</v>
      </c>
      <c r="BV136" s="3">
        <v>46014</v>
      </c>
      <c r="BW136" s="1">
        <v>3.73</v>
      </c>
      <c r="BY136" s="3">
        <v>46010</v>
      </c>
      <c r="BZ136" s="1">
        <v>6.5</v>
      </c>
      <c r="CA136" s="3">
        <v>46001</v>
      </c>
      <c r="CB136" s="1">
        <v>6.5</v>
      </c>
      <c r="CC136" s="3">
        <v>46014</v>
      </c>
      <c r="CD136" s="1">
        <v>6.4</v>
      </c>
      <c r="CE136" s="3">
        <v>46014</v>
      </c>
      <c r="CF136" s="1">
        <v>6.21</v>
      </c>
      <c r="CG136" s="3">
        <v>46014</v>
      </c>
      <c r="CH136" s="1">
        <v>6.1</v>
      </c>
      <c r="CI136" s="3">
        <v>46014</v>
      </c>
      <c r="CJ136" s="1">
        <v>5.86</v>
      </c>
      <c r="CK136" s="3">
        <v>46014</v>
      </c>
      <c r="CL136" s="1">
        <v>5.66</v>
      </c>
      <c r="CM136" s="3">
        <v>46014</v>
      </c>
      <c r="CN136" s="1">
        <v>5.6150000000000002</v>
      </c>
      <c r="CO136" s="3">
        <v>46010</v>
      </c>
      <c r="CP136" s="1">
        <v>5.58</v>
      </c>
      <c r="CQ136" s="3">
        <v>46010</v>
      </c>
      <c r="CR136" s="1">
        <v>5.58</v>
      </c>
      <c r="CS136" s="3">
        <v>46010</v>
      </c>
      <c r="CT136" s="1">
        <v>5.59</v>
      </c>
    </row>
    <row r="137" spans="31:98" x14ac:dyDescent="0.2">
      <c r="AE137" s="3">
        <v>46013</v>
      </c>
      <c r="AF137" s="1">
        <v>4</v>
      </c>
      <c r="AG137" s="3">
        <v>46000</v>
      </c>
      <c r="AH137" s="1">
        <v>4.07</v>
      </c>
      <c r="AI137" s="3">
        <v>46013</v>
      </c>
      <c r="AJ137" s="2">
        <v>3.9049999999999998</v>
      </c>
      <c r="AK137" s="3">
        <v>46013</v>
      </c>
      <c r="AL137" s="2">
        <v>3.78</v>
      </c>
      <c r="AM137" s="3">
        <v>46013</v>
      </c>
      <c r="AN137" s="2">
        <v>3.59</v>
      </c>
      <c r="AO137" s="3">
        <v>46013</v>
      </c>
      <c r="AP137" s="2">
        <v>3.4224999999999999</v>
      </c>
      <c r="AQ137" s="3">
        <v>46013</v>
      </c>
      <c r="AR137" s="2">
        <v>3.39</v>
      </c>
      <c r="AS137" s="3">
        <v>46013</v>
      </c>
      <c r="AT137" s="2">
        <v>3.41</v>
      </c>
      <c r="AU137" s="3">
        <v>46013</v>
      </c>
      <c r="AV137" s="2">
        <v>3.44</v>
      </c>
      <c r="AW137" s="3">
        <v>46013</v>
      </c>
      <c r="AX137" s="2">
        <v>3.4750000000000001</v>
      </c>
      <c r="AY137" s="3">
        <v>46013</v>
      </c>
      <c r="AZ137" s="2">
        <v>3.5150000000000001</v>
      </c>
      <c r="BB137" s="3">
        <v>46001</v>
      </c>
      <c r="BC137" s="1">
        <v>3.5</v>
      </c>
      <c r="BD137" s="3">
        <v>46001</v>
      </c>
      <c r="BE137" s="1">
        <v>3.54</v>
      </c>
      <c r="BF137" s="3">
        <v>46013</v>
      </c>
      <c r="BG137" s="1">
        <v>3.52</v>
      </c>
      <c r="BH137" s="3">
        <v>46013</v>
      </c>
      <c r="BI137" s="1">
        <v>3.5150000000000001</v>
      </c>
      <c r="BJ137" s="3">
        <v>46013</v>
      </c>
      <c r="BK137" s="1">
        <v>3.4950000000000001</v>
      </c>
      <c r="BL137" s="3">
        <v>46013</v>
      </c>
      <c r="BM137" s="1">
        <v>3.46</v>
      </c>
      <c r="BN137" s="3">
        <v>46013</v>
      </c>
      <c r="BO137" s="1">
        <v>3.4649999999999999</v>
      </c>
      <c r="BP137" s="3">
        <v>46013</v>
      </c>
      <c r="BQ137" s="1">
        <v>3.54</v>
      </c>
      <c r="BR137" s="3">
        <v>46013</v>
      </c>
      <c r="BS137" s="1">
        <v>3.61</v>
      </c>
      <c r="BT137" s="3">
        <v>46013</v>
      </c>
      <c r="BU137" s="1">
        <v>3.68</v>
      </c>
      <c r="BV137" s="3">
        <v>46013</v>
      </c>
      <c r="BW137" s="1">
        <v>3.77</v>
      </c>
      <c r="BY137" s="3">
        <v>46008</v>
      </c>
      <c r="BZ137" s="1">
        <v>6.5</v>
      </c>
      <c r="CA137" s="3">
        <v>46000</v>
      </c>
      <c r="CB137" s="1">
        <v>6.5</v>
      </c>
      <c r="CC137" s="3">
        <v>46013</v>
      </c>
      <c r="CD137" s="1">
        <v>6.43</v>
      </c>
      <c r="CE137" s="3">
        <v>46013</v>
      </c>
      <c r="CF137" s="1">
        <v>6.2</v>
      </c>
      <c r="CG137" s="3">
        <v>46013</v>
      </c>
      <c r="CH137" s="1">
        <v>6.1</v>
      </c>
      <c r="CI137" s="3">
        <v>46013</v>
      </c>
      <c r="CJ137" s="1">
        <v>5.86</v>
      </c>
      <c r="CK137" s="3">
        <v>46013</v>
      </c>
      <c r="CL137" s="1">
        <v>5.66</v>
      </c>
      <c r="CM137" s="3">
        <v>46013</v>
      </c>
      <c r="CN137" s="1">
        <v>5.63</v>
      </c>
      <c r="CO137" s="3">
        <v>46009</v>
      </c>
      <c r="CP137" s="1">
        <v>5.65</v>
      </c>
      <c r="CQ137" s="3">
        <v>46009</v>
      </c>
      <c r="CR137" s="1">
        <v>5.66</v>
      </c>
      <c r="CS137" s="3">
        <v>46009</v>
      </c>
      <c r="CT137" s="1">
        <v>5.68</v>
      </c>
    </row>
    <row r="138" spans="31:98" x14ac:dyDescent="0.2">
      <c r="AE138" s="3">
        <v>46010</v>
      </c>
      <c r="AF138" s="1">
        <v>4</v>
      </c>
      <c r="AG138" s="3">
        <v>45999</v>
      </c>
      <c r="AH138" s="1">
        <v>4.07</v>
      </c>
      <c r="AI138" s="3">
        <v>46010</v>
      </c>
      <c r="AJ138" s="2">
        <v>3.9249999999999998</v>
      </c>
      <c r="AK138" s="3">
        <v>46010</v>
      </c>
      <c r="AL138" s="2">
        <v>3.8075000000000001</v>
      </c>
      <c r="AM138" s="3">
        <v>46010</v>
      </c>
      <c r="AN138" s="2">
        <v>3.6150000000000002</v>
      </c>
      <c r="AO138" s="3">
        <v>46010</v>
      </c>
      <c r="AP138" s="2">
        <v>3.45</v>
      </c>
      <c r="AQ138" s="3">
        <v>46010</v>
      </c>
      <c r="AR138" s="2">
        <v>3.415</v>
      </c>
      <c r="AS138" s="3">
        <v>46010</v>
      </c>
      <c r="AT138" s="2">
        <v>3.43</v>
      </c>
      <c r="AU138" s="3">
        <v>46010</v>
      </c>
      <c r="AV138" s="2">
        <v>3.46</v>
      </c>
      <c r="AW138" s="3">
        <v>46010</v>
      </c>
      <c r="AX138" s="2">
        <v>3.4950000000000001</v>
      </c>
      <c r="AY138" s="3">
        <v>46010</v>
      </c>
      <c r="AZ138" s="2">
        <v>3.5350000000000001</v>
      </c>
      <c r="BB138" s="3">
        <v>46000</v>
      </c>
      <c r="BC138" s="1">
        <v>3.5</v>
      </c>
      <c r="BD138" s="3">
        <v>46000</v>
      </c>
      <c r="BE138" s="1">
        <v>3.54</v>
      </c>
      <c r="BF138" s="3">
        <v>46010</v>
      </c>
      <c r="BG138" s="1">
        <v>3.53</v>
      </c>
      <c r="BH138" s="3">
        <v>46010</v>
      </c>
      <c r="BI138" s="1">
        <v>3.52</v>
      </c>
      <c r="BJ138" s="3">
        <v>46010</v>
      </c>
      <c r="BK138" s="1">
        <v>3.51</v>
      </c>
      <c r="BL138" s="3">
        <v>46010</v>
      </c>
      <c r="BM138" s="1">
        <v>3.4849999999999999</v>
      </c>
      <c r="BN138" s="3">
        <v>46010</v>
      </c>
      <c r="BO138" s="1">
        <v>3.488</v>
      </c>
      <c r="BP138" s="3">
        <v>46010</v>
      </c>
      <c r="BQ138" s="1">
        <v>3.548</v>
      </c>
      <c r="BR138" s="3">
        <v>46010</v>
      </c>
      <c r="BS138" s="1">
        <v>3.61</v>
      </c>
      <c r="BT138" s="3">
        <v>46010</v>
      </c>
      <c r="BU138" s="1">
        <v>3.665</v>
      </c>
      <c r="BV138" s="3">
        <v>46010</v>
      </c>
      <c r="BW138" s="1">
        <v>3.74</v>
      </c>
      <c r="BY138" s="3">
        <v>46007</v>
      </c>
      <c r="BZ138" s="1">
        <v>6.5</v>
      </c>
      <c r="CA138" s="3">
        <v>45999</v>
      </c>
      <c r="CB138" s="1">
        <v>6.5</v>
      </c>
      <c r="CC138" s="3">
        <v>46010</v>
      </c>
      <c r="CD138" s="1">
        <v>6.4260000000000002</v>
      </c>
      <c r="CE138" s="3">
        <v>46010</v>
      </c>
      <c r="CF138" s="1">
        <v>6.2519999999999998</v>
      </c>
      <c r="CG138" s="3">
        <v>46010</v>
      </c>
      <c r="CH138" s="1">
        <v>6.11</v>
      </c>
      <c r="CI138" s="3">
        <v>46010</v>
      </c>
      <c r="CJ138" s="1">
        <v>5.88</v>
      </c>
      <c r="CK138" s="3">
        <v>46010</v>
      </c>
      <c r="CL138" s="1">
        <v>5.69</v>
      </c>
      <c r="CM138" s="3">
        <v>46010</v>
      </c>
      <c r="CN138" s="1">
        <v>5.62</v>
      </c>
      <c r="CO138" s="3">
        <v>46008</v>
      </c>
      <c r="CP138" s="1">
        <v>5.59</v>
      </c>
      <c r="CQ138" s="3">
        <v>46008</v>
      </c>
      <c r="CR138" s="1">
        <v>5.58</v>
      </c>
      <c r="CS138" s="3">
        <v>46008</v>
      </c>
      <c r="CT138" s="1">
        <v>5.6</v>
      </c>
    </row>
    <row r="139" spans="31:98" x14ac:dyDescent="0.2">
      <c r="AE139" s="3">
        <v>46009</v>
      </c>
      <c r="AF139" s="1">
        <v>4</v>
      </c>
      <c r="AG139" s="3">
        <v>45996</v>
      </c>
      <c r="AH139" s="1">
        <v>4.07</v>
      </c>
      <c r="AI139" s="3">
        <v>46009</v>
      </c>
      <c r="AJ139" s="2">
        <v>3.9249999999999998</v>
      </c>
      <c r="AK139" s="3">
        <v>46009</v>
      </c>
      <c r="AL139" s="2">
        <v>3.8224999999999998</v>
      </c>
      <c r="AM139" s="3">
        <v>46009</v>
      </c>
      <c r="AN139" s="2">
        <v>3.6475</v>
      </c>
      <c r="AO139" s="3">
        <v>46009</v>
      </c>
      <c r="AP139" s="2">
        <v>3.4950000000000001</v>
      </c>
      <c r="AQ139" s="3">
        <v>46009</v>
      </c>
      <c r="AR139" s="2">
        <v>3.46</v>
      </c>
      <c r="AS139" s="3">
        <v>46009</v>
      </c>
      <c r="AT139" s="2">
        <v>3.4750000000000001</v>
      </c>
      <c r="AU139" s="3">
        <v>46009</v>
      </c>
      <c r="AV139" s="2">
        <v>3.5</v>
      </c>
      <c r="AW139" s="3">
        <v>46009</v>
      </c>
      <c r="AX139" s="2">
        <v>3.5350000000000001</v>
      </c>
      <c r="AY139" s="3">
        <v>46009</v>
      </c>
      <c r="AZ139" s="2">
        <v>3.5724999999999998</v>
      </c>
      <c r="BB139" s="3">
        <v>45999</v>
      </c>
      <c r="BC139" s="1">
        <v>3.5</v>
      </c>
      <c r="BD139" s="3">
        <v>45999</v>
      </c>
      <c r="BE139" s="1">
        <v>3.54</v>
      </c>
      <c r="BF139" s="3">
        <v>46009</v>
      </c>
      <c r="BG139" s="1">
        <v>3.5449999999999999</v>
      </c>
      <c r="BH139" s="3">
        <v>46009</v>
      </c>
      <c r="BI139" s="1">
        <v>3.5339999999999998</v>
      </c>
      <c r="BJ139" s="3">
        <v>46009</v>
      </c>
      <c r="BK139" s="1">
        <v>3.5230000000000001</v>
      </c>
      <c r="BL139" s="3">
        <v>46009</v>
      </c>
      <c r="BM139" s="1">
        <v>3.51</v>
      </c>
      <c r="BN139" s="3">
        <v>46009</v>
      </c>
      <c r="BO139" s="1">
        <v>3.51</v>
      </c>
      <c r="BP139" s="3">
        <v>46009</v>
      </c>
      <c r="BQ139" s="1">
        <v>3.5750000000000002</v>
      </c>
      <c r="BR139" s="3">
        <v>46009</v>
      </c>
      <c r="BS139" s="1">
        <v>3.63</v>
      </c>
      <c r="BT139" s="3">
        <v>46009</v>
      </c>
      <c r="BU139" s="1">
        <v>3.6880000000000002</v>
      </c>
      <c r="BV139" s="3">
        <v>46009</v>
      </c>
      <c r="BW139" s="1">
        <v>3.76</v>
      </c>
      <c r="BY139" s="3">
        <v>46006</v>
      </c>
      <c r="BZ139" s="1">
        <v>6.5</v>
      </c>
      <c r="CA139" s="3">
        <v>45996</v>
      </c>
      <c r="CB139" s="1">
        <v>6.5</v>
      </c>
      <c r="CC139" s="3">
        <v>46009</v>
      </c>
      <c r="CD139" s="1">
        <v>6.4269999999999996</v>
      </c>
      <c r="CE139" s="3">
        <v>46009</v>
      </c>
      <c r="CF139" s="1">
        <v>6.274</v>
      </c>
      <c r="CG139" s="3">
        <v>46009</v>
      </c>
      <c r="CH139" s="1">
        <v>6.14</v>
      </c>
      <c r="CI139" s="3">
        <v>46009</v>
      </c>
      <c r="CJ139" s="1">
        <v>5.95</v>
      </c>
      <c r="CK139" s="3">
        <v>46009</v>
      </c>
      <c r="CL139" s="1">
        <v>5.77</v>
      </c>
      <c r="CM139" s="3">
        <v>46009</v>
      </c>
      <c r="CN139" s="1">
        <v>5.68</v>
      </c>
      <c r="CO139" s="3">
        <v>46007</v>
      </c>
      <c r="CP139" s="1">
        <v>5.7249999999999996</v>
      </c>
      <c r="CQ139" s="3">
        <v>46007</v>
      </c>
      <c r="CR139" s="1">
        <v>5.71</v>
      </c>
      <c r="CS139" s="3">
        <v>46007</v>
      </c>
      <c r="CT139" s="1">
        <v>5.72</v>
      </c>
    </row>
    <row r="140" spans="31:98" x14ac:dyDescent="0.2">
      <c r="AE140" s="3">
        <v>46008</v>
      </c>
      <c r="AF140" s="1">
        <v>4</v>
      </c>
      <c r="AG140" s="3">
        <v>45995</v>
      </c>
      <c r="AH140" s="1">
        <v>4.12</v>
      </c>
      <c r="AI140" s="3">
        <v>46008</v>
      </c>
      <c r="AJ140" s="2">
        <v>3.915</v>
      </c>
      <c r="AK140" s="3">
        <v>46008</v>
      </c>
      <c r="AL140" s="2">
        <v>3.8050000000000002</v>
      </c>
      <c r="AM140" s="3">
        <v>46008</v>
      </c>
      <c r="AN140" s="2">
        <v>3.65</v>
      </c>
      <c r="AO140" s="3">
        <v>46008</v>
      </c>
      <c r="AP140" s="2">
        <v>3.52</v>
      </c>
      <c r="AQ140" s="3">
        <v>46008</v>
      </c>
      <c r="AR140" s="2">
        <v>3.4874999999999998</v>
      </c>
      <c r="AS140" s="3">
        <v>46008</v>
      </c>
      <c r="AT140" s="2">
        <v>3.5</v>
      </c>
      <c r="AU140" s="3">
        <v>46008</v>
      </c>
      <c r="AV140" s="2">
        <v>3.5249999999999999</v>
      </c>
      <c r="AW140" s="3">
        <v>46008</v>
      </c>
      <c r="AX140" s="2">
        <v>3.5575000000000001</v>
      </c>
      <c r="AY140" s="3">
        <v>46008</v>
      </c>
      <c r="AZ140" s="2">
        <v>3.5950000000000002</v>
      </c>
      <c r="BB140" s="3">
        <v>45996</v>
      </c>
      <c r="BC140" s="1">
        <v>3.5</v>
      </c>
      <c r="BD140" s="3">
        <v>45996</v>
      </c>
      <c r="BE140" s="1">
        <v>3.54</v>
      </c>
      <c r="BF140" s="3">
        <v>46008</v>
      </c>
      <c r="BG140" s="1">
        <v>3.5449999999999999</v>
      </c>
      <c r="BH140" s="3">
        <v>46008</v>
      </c>
      <c r="BI140" s="1">
        <v>3.544</v>
      </c>
      <c r="BJ140" s="3">
        <v>46008</v>
      </c>
      <c r="BK140" s="1">
        <v>3.5430000000000001</v>
      </c>
      <c r="BL140" s="3">
        <v>46008</v>
      </c>
      <c r="BM140" s="1">
        <v>3.5379999999999998</v>
      </c>
      <c r="BN140" s="3">
        <v>46008</v>
      </c>
      <c r="BO140" s="1">
        <v>3.55</v>
      </c>
      <c r="BP140" s="3">
        <v>46008</v>
      </c>
      <c r="BQ140" s="1">
        <v>3.605</v>
      </c>
      <c r="BR140" s="3">
        <v>46008</v>
      </c>
      <c r="BS140" s="1">
        <v>3.6680000000000001</v>
      </c>
      <c r="BT140" s="3">
        <v>46008</v>
      </c>
      <c r="BU140" s="1">
        <v>3.7330000000000001</v>
      </c>
      <c r="BV140" s="3">
        <v>46008</v>
      </c>
      <c r="BW140" s="1">
        <v>3.8</v>
      </c>
      <c r="BY140" s="3">
        <v>46003</v>
      </c>
      <c r="BZ140" s="1">
        <v>6.5</v>
      </c>
      <c r="CA140" s="3">
        <v>45995</v>
      </c>
      <c r="CB140" s="1">
        <v>6.5</v>
      </c>
      <c r="CC140" s="3">
        <v>46008</v>
      </c>
      <c r="CD140" s="1">
        <v>6.43</v>
      </c>
      <c r="CE140" s="3">
        <v>46008</v>
      </c>
      <c r="CF140" s="1">
        <v>6.27</v>
      </c>
      <c r="CG140" s="3">
        <v>46008</v>
      </c>
      <c r="CH140" s="1">
        <v>6.13</v>
      </c>
      <c r="CI140" s="3">
        <v>46008</v>
      </c>
      <c r="CJ140" s="1">
        <v>5.94</v>
      </c>
      <c r="CK140" s="3">
        <v>46008</v>
      </c>
      <c r="CL140" s="1">
        <v>5.76</v>
      </c>
      <c r="CM140" s="3">
        <v>46008</v>
      </c>
      <c r="CN140" s="1">
        <v>5.66</v>
      </c>
      <c r="CO140" s="3">
        <v>46006</v>
      </c>
      <c r="CP140" s="1">
        <v>5.835</v>
      </c>
      <c r="CQ140" s="3">
        <v>46006</v>
      </c>
      <c r="CR140" s="1">
        <v>5.79</v>
      </c>
      <c r="CS140" s="3">
        <v>46006</v>
      </c>
      <c r="CT140" s="1">
        <v>5.79</v>
      </c>
    </row>
    <row r="141" spans="31:98" x14ac:dyDescent="0.2">
      <c r="AE141" s="3">
        <v>46007</v>
      </c>
      <c r="AF141" s="1">
        <v>4</v>
      </c>
      <c r="AG141" s="3">
        <v>45994</v>
      </c>
      <c r="AH141" s="1">
        <v>4.1500000000000004</v>
      </c>
      <c r="AI141" s="3">
        <v>46007</v>
      </c>
      <c r="AJ141" s="2">
        <v>3.9224999999999999</v>
      </c>
      <c r="AK141" s="3">
        <v>46007</v>
      </c>
      <c r="AL141" s="2">
        <v>3.81</v>
      </c>
      <c r="AM141" s="3">
        <v>46007</v>
      </c>
      <c r="AN141" s="2">
        <v>3.66</v>
      </c>
      <c r="AO141" s="3">
        <v>46007</v>
      </c>
      <c r="AP141" s="2">
        <v>3.5474999999999999</v>
      </c>
      <c r="AQ141" s="3">
        <v>46007</v>
      </c>
      <c r="AR141" s="2">
        <v>3.52</v>
      </c>
      <c r="AS141" s="3">
        <v>46007</v>
      </c>
      <c r="AT141" s="2">
        <v>3.5350000000000001</v>
      </c>
      <c r="AU141" s="3">
        <v>46007</v>
      </c>
      <c r="AV141" s="2">
        <v>3.56</v>
      </c>
      <c r="AW141" s="3">
        <v>46007</v>
      </c>
      <c r="AX141" s="2">
        <v>3.5924999999999998</v>
      </c>
      <c r="AY141" s="3">
        <v>46007</v>
      </c>
      <c r="AZ141" s="2">
        <v>3.63</v>
      </c>
      <c r="BB141" s="3">
        <v>45995</v>
      </c>
      <c r="BC141" s="1">
        <v>3.5</v>
      </c>
      <c r="BD141" s="3">
        <v>45995</v>
      </c>
      <c r="BE141" s="1">
        <v>3.55</v>
      </c>
      <c r="BF141" s="3">
        <v>46007</v>
      </c>
      <c r="BG141" s="1">
        <v>3.5550000000000002</v>
      </c>
      <c r="BH141" s="3">
        <v>46007</v>
      </c>
      <c r="BI141" s="1">
        <v>3.5579999999999998</v>
      </c>
      <c r="BJ141" s="3">
        <v>46007</v>
      </c>
      <c r="BK141" s="1">
        <v>3.5550000000000002</v>
      </c>
      <c r="BL141" s="3">
        <v>46007</v>
      </c>
      <c r="BM141" s="1">
        <v>3.5579999999999998</v>
      </c>
      <c r="BN141" s="3">
        <v>46007</v>
      </c>
      <c r="BO141" s="1">
        <v>3.58</v>
      </c>
      <c r="BP141" s="3">
        <v>46007</v>
      </c>
      <c r="BQ141" s="1">
        <v>3.65</v>
      </c>
      <c r="BR141" s="3">
        <v>46007</v>
      </c>
      <c r="BS141" s="1">
        <v>3.72</v>
      </c>
      <c r="BT141" s="3">
        <v>46007</v>
      </c>
      <c r="BU141" s="1">
        <v>3.7930000000000001</v>
      </c>
      <c r="BV141" s="3">
        <v>46007</v>
      </c>
      <c r="BW141" s="1">
        <v>3.8580000000000001</v>
      </c>
      <c r="BY141" s="3">
        <v>46002</v>
      </c>
      <c r="BZ141" s="1">
        <v>6.5</v>
      </c>
      <c r="CA141" s="3">
        <v>45994</v>
      </c>
      <c r="CB141" s="1">
        <v>6.5</v>
      </c>
      <c r="CC141" s="3">
        <v>46007</v>
      </c>
      <c r="CD141" s="1">
        <v>6.43</v>
      </c>
      <c r="CE141" s="3">
        <v>46007</v>
      </c>
      <c r="CF141" s="1">
        <v>6.31</v>
      </c>
      <c r="CG141" s="3">
        <v>46007</v>
      </c>
      <c r="CH141" s="1">
        <v>6.22</v>
      </c>
      <c r="CI141" s="3">
        <v>46007</v>
      </c>
      <c r="CJ141" s="1">
        <v>6.06</v>
      </c>
      <c r="CK141" s="3">
        <v>46007</v>
      </c>
      <c r="CL141" s="1">
        <v>5.92</v>
      </c>
      <c r="CM141" s="3">
        <v>46007</v>
      </c>
      <c r="CN141" s="1">
        <v>5.78</v>
      </c>
      <c r="CO141" s="3">
        <v>46003</v>
      </c>
      <c r="CP141" s="1">
        <v>5.9050000000000002</v>
      </c>
      <c r="CQ141" s="3">
        <v>46003</v>
      </c>
      <c r="CR141" s="1">
        <v>5.87</v>
      </c>
      <c r="CS141" s="3">
        <v>46003</v>
      </c>
      <c r="CT141" s="1">
        <v>5.87</v>
      </c>
    </row>
    <row r="142" spans="31:98" x14ac:dyDescent="0.2">
      <c r="AE142" s="3">
        <v>46006</v>
      </c>
      <c r="AF142" s="1">
        <v>4</v>
      </c>
      <c r="AG142" s="3">
        <v>45993</v>
      </c>
      <c r="AH142" s="1">
        <v>4.1900000000000004</v>
      </c>
      <c r="AI142" s="3">
        <v>46006</v>
      </c>
      <c r="AJ142" s="2">
        <v>3.94</v>
      </c>
      <c r="AK142" s="3">
        <v>46006</v>
      </c>
      <c r="AL142" s="2">
        <v>3.85</v>
      </c>
      <c r="AM142" s="3">
        <v>46006</v>
      </c>
      <c r="AN142" s="2">
        <v>3.7275</v>
      </c>
      <c r="AO142" s="3">
        <v>46006</v>
      </c>
      <c r="AP142" s="2">
        <v>3.5924999999999998</v>
      </c>
      <c r="AQ142" s="3">
        <v>46006</v>
      </c>
      <c r="AR142" s="2">
        <v>3.5625</v>
      </c>
      <c r="AS142" s="3">
        <v>46006</v>
      </c>
      <c r="AT142" s="2">
        <v>3.5775000000000001</v>
      </c>
      <c r="AU142" s="3">
        <v>46006</v>
      </c>
      <c r="AV142" s="2">
        <v>3.6</v>
      </c>
      <c r="AW142" s="3">
        <v>46006</v>
      </c>
      <c r="AX142" s="2">
        <v>3.625</v>
      </c>
      <c r="AY142" s="3">
        <v>46006</v>
      </c>
      <c r="AZ142" s="2">
        <v>3.66</v>
      </c>
      <c r="BB142" s="3">
        <v>45994</v>
      </c>
      <c r="BC142" s="1">
        <v>3.5</v>
      </c>
      <c r="BD142" s="3">
        <v>45994</v>
      </c>
      <c r="BE142" s="1">
        <v>3.55</v>
      </c>
      <c r="BF142" s="3">
        <v>46006</v>
      </c>
      <c r="BG142" s="1">
        <v>3.5550000000000002</v>
      </c>
      <c r="BH142" s="3">
        <v>46006</v>
      </c>
      <c r="BI142" s="1">
        <v>3.56</v>
      </c>
      <c r="BJ142" s="3">
        <v>46006</v>
      </c>
      <c r="BK142" s="1">
        <v>3.5630000000000002</v>
      </c>
      <c r="BL142" s="3">
        <v>46006</v>
      </c>
      <c r="BM142" s="1">
        <v>3.593</v>
      </c>
      <c r="BN142" s="3">
        <v>46006</v>
      </c>
      <c r="BO142" s="1">
        <v>3.6179999999999999</v>
      </c>
      <c r="BP142" s="3">
        <v>46006</v>
      </c>
      <c r="BQ142" s="1">
        <v>3.698</v>
      </c>
      <c r="BR142" s="3">
        <v>46006</v>
      </c>
      <c r="BS142" s="1">
        <v>3.778</v>
      </c>
      <c r="BT142" s="3">
        <v>46006</v>
      </c>
      <c r="BU142" s="1">
        <v>3.8580000000000001</v>
      </c>
      <c r="BV142" s="3">
        <v>46006</v>
      </c>
      <c r="BW142" s="1">
        <v>3.9249999999999998</v>
      </c>
      <c r="BY142" s="3">
        <v>46001</v>
      </c>
      <c r="BZ142" s="1">
        <v>6.5</v>
      </c>
      <c r="CA142" s="3">
        <v>45993</v>
      </c>
      <c r="CB142" s="1">
        <v>6.5</v>
      </c>
      <c r="CC142" s="3">
        <v>46006</v>
      </c>
      <c r="CD142" s="1">
        <v>6.4550000000000001</v>
      </c>
      <c r="CE142" s="3">
        <v>46006</v>
      </c>
      <c r="CF142" s="1">
        <v>6.3890000000000002</v>
      </c>
      <c r="CG142" s="3">
        <v>46006</v>
      </c>
      <c r="CH142" s="1">
        <v>6.31</v>
      </c>
      <c r="CI142" s="3">
        <v>46006</v>
      </c>
      <c r="CJ142" s="1">
        <v>6.16</v>
      </c>
      <c r="CK142" s="3">
        <v>46006</v>
      </c>
      <c r="CL142" s="1">
        <v>6.04</v>
      </c>
      <c r="CM142" s="3">
        <v>46006</v>
      </c>
      <c r="CN142" s="1">
        <v>5.9050000000000002</v>
      </c>
      <c r="CO142" s="3">
        <v>46002</v>
      </c>
      <c r="CP142" s="1">
        <v>5.9249999999999998</v>
      </c>
      <c r="CQ142" s="3">
        <v>46002</v>
      </c>
      <c r="CR142" s="1">
        <v>5.89</v>
      </c>
      <c r="CS142" s="3">
        <v>46002</v>
      </c>
      <c r="CT142" s="1">
        <v>5.89</v>
      </c>
    </row>
    <row r="143" spans="31:98" x14ac:dyDescent="0.2">
      <c r="AE143" s="3">
        <v>46003</v>
      </c>
      <c r="AF143" s="1">
        <v>4</v>
      </c>
      <c r="AG143" s="3">
        <v>45992</v>
      </c>
      <c r="AH143" s="1">
        <v>4.2</v>
      </c>
      <c r="AI143" s="3">
        <v>46003</v>
      </c>
      <c r="AJ143" s="2">
        <v>3.98</v>
      </c>
      <c r="AK143" s="3">
        <v>46003</v>
      </c>
      <c r="AL143" s="2">
        <v>3.8525</v>
      </c>
      <c r="AM143" s="3">
        <v>46003</v>
      </c>
      <c r="AN143" s="2">
        <v>3.73</v>
      </c>
      <c r="AO143" s="3">
        <v>46003</v>
      </c>
      <c r="AP143" s="2">
        <v>3.5975000000000001</v>
      </c>
      <c r="AQ143" s="3">
        <v>46003</v>
      </c>
      <c r="AR143" s="2">
        <v>3.5674999999999999</v>
      </c>
      <c r="AS143" s="3">
        <v>46003</v>
      </c>
      <c r="AT143" s="2">
        <v>3.5825</v>
      </c>
      <c r="AU143" s="3">
        <v>46003</v>
      </c>
      <c r="AV143" s="2">
        <v>3.605</v>
      </c>
      <c r="AW143" s="3">
        <v>46003</v>
      </c>
      <c r="AX143" s="2">
        <v>3.6324999999999998</v>
      </c>
      <c r="AY143" s="3">
        <v>46003</v>
      </c>
      <c r="AZ143" s="2">
        <v>3.665</v>
      </c>
      <c r="BB143" s="3">
        <v>45993</v>
      </c>
      <c r="BC143" s="1">
        <v>3.5</v>
      </c>
      <c r="BD143" s="3">
        <v>45993</v>
      </c>
      <c r="BE143" s="1">
        <v>3.55</v>
      </c>
      <c r="BF143" s="3">
        <v>46003</v>
      </c>
      <c r="BG143" s="1">
        <v>3.56</v>
      </c>
      <c r="BH143" s="3">
        <v>46003</v>
      </c>
      <c r="BI143" s="1">
        <v>3.5630000000000002</v>
      </c>
      <c r="BJ143" s="3">
        <v>46003</v>
      </c>
      <c r="BK143" s="1">
        <v>3.5680000000000001</v>
      </c>
      <c r="BL143" s="3">
        <v>46003</v>
      </c>
      <c r="BM143" s="1">
        <v>3.605</v>
      </c>
      <c r="BN143" s="3">
        <v>46003</v>
      </c>
      <c r="BO143" s="1">
        <v>3.6429999999999998</v>
      </c>
      <c r="BP143" s="3">
        <v>46003</v>
      </c>
      <c r="BQ143" s="1">
        <v>3.7349999999999999</v>
      </c>
      <c r="BR143" s="3">
        <v>46003</v>
      </c>
      <c r="BS143" s="1">
        <v>3.8130000000000002</v>
      </c>
      <c r="BT143" s="3">
        <v>46003</v>
      </c>
      <c r="BU143" s="1">
        <v>3.8879999999999999</v>
      </c>
      <c r="BV143" s="3">
        <v>46003</v>
      </c>
      <c r="BW143" s="1">
        <v>3.9580000000000002</v>
      </c>
      <c r="BY143" s="3">
        <v>46000</v>
      </c>
      <c r="BZ143" s="1">
        <v>6.5</v>
      </c>
      <c r="CA143" s="3">
        <v>45992</v>
      </c>
      <c r="CB143" s="1">
        <v>6.5</v>
      </c>
      <c r="CC143" s="3">
        <v>46003</v>
      </c>
      <c r="CD143" s="1">
        <v>6.46</v>
      </c>
      <c r="CE143" s="3">
        <v>46003</v>
      </c>
      <c r="CF143" s="1">
        <v>6.39</v>
      </c>
      <c r="CG143" s="3">
        <v>46003</v>
      </c>
      <c r="CH143" s="1">
        <v>6.31</v>
      </c>
      <c r="CI143" s="3">
        <v>46003</v>
      </c>
      <c r="CJ143" s="1">
        <v>6.19</v>
      </c>
      <c r="CK143" s="3">
        <v>46003</v>
      </c>
      <c r="CL143" s="1">
        <v>6.08</v>
      </c>
      <c r="CM143" s="3">
        <v>46003</v>
      </c>
      <c r="CN143" s="1">
        <v>5.95</v>
      </c>
      <c r="CO143" s="3">
        <v>46001</v>
      </c>
      <c r="CP143" s="1">
        <v>5.93</v>
      </c>
      <c r="CQ143" s="3">
        <v>46001</v>
      </c>
      <c r="CR143" s="1">
        <v>5.89</v>
      </c>
      <c r="CS143" s="3">
        <v>46001</v>
      </c>
      <c r="CT143" s="1">
        <v>5.89</v>
      </c>
    </row>
    <row r="144" spans="31:98" x14ac:dyDescent="0.2">
      <c r="AE144" s="3">
        <v>46002</v>
      </c>
      <c r="AF144" s="1">
        <v>4</v>
      </c>
      <c r="AG144" s="3">
        <v>45989</v>
      </c>
      <c r="AH144" s="1">
        <v>4.22</v>
      </c>
      <c r="AI144" s="3">
        <v>46002</v>
      </c>
      <c r="AJ144" s="2">
        <v>3.98</v>
      </c>
      <c r="AK144" s="3">
        <v>46002</v>
      </c>
      <c r="AL144" s="2">
        <v>3.855</v>
      </c>
      <c r="AM144" s="3">
        <v>46002</v>
      </c>
      <c r="AN144" s="2">
        <v>3.7374999999999998</v>
      </c>
      <c r="AO144" s="3">
        <v>46002</v>
      </c>
      <c r="AP144" s="2">
        <v>3.585</v>
      </c>
      <c r="AQ144" s="3">
        <v>46002</v>
      </c>
      <c r="AR144" s="2">
        <v>3.5550000000000002</v>
      </c>
      <c r="AS144" s="3">
        <v>46002</v>
      </c>
      <c r="AT144" s="2">
        <v>3.57</v>
      </c>
      <c r="AU144" s="3">
        <v>46002</v>
      </c>
      <c r="AV144" s="2">
        <v>3.5924999999999998</v>
      </c>
      <c r="AW144" s="3">
        <v>46002</v>
      </c>
      <c r="AX144" s="2">
        <v>3.6175000000000002</v>
      </c>
      <c r="AY144" s="3">
        <v>46002</v>
      </c>
      <c r="AZ144" s="2">
        <v>3.65</v>
      </c>
      <c r="BB144" s="3">
        <v>45992</v>
      </c>
      <c r="BC144" s="1">
        <v>3.5</v>
      </c>
      <c r="BD144" s="3">
        <v>45992</v>
      </c>
      <c r="BE144" s="1">
        <v>3.55</v>
      </c>
      <c r="BF144" s="3">
        <v>46002</v>
      </c>
      <c r="BG144" s="1">
        <v>3.56</v>
      </c>
      <c r="BH144" s="3">
        <v>46002</v>
      </c>
      <c r="BI144" s="1">
        <v>3.5630000000000002</v>
      </c>
      <c r="BJ144" s="3">
        <v>46002</v>
      </c>
      <c r="BK144" s="1">
        <v>3.5649999999999999</v>
      </c>
      <c r="BL144" s="3">
        <v>46002</v>
      </c>
      <c r="BM144" s="1">
        <v>3.59</v>
      </c>
      <c r="BN144" s="3">
        <v>46002</v>
      </c>
      <c r="BO144" s="1">
        <v>3.63</v>
      </c>
      <c r="BP144" s="3">
        <v>46002</v>
      </c>
      <c r="BQ144" s="1">
        <v>3.718</v>
      </c>
      <c r="BR144" s="3">
        <v>46002</v>
      </c>
      <c r="BS144" s="1">
        <v>3.7930000000000001</v>
      </c>
      <c r="BT144" s="3">
        <v>46002</v>
      </c>
      <c r="BU144" s="1">
        <v>3.8679999999999999</v>
      </c>
      <c r="BV144" s="3">
        <v>46002</v>
      </c>
      <c r="BW144" s="1">
        <v>3.9380000000000002</v>
      </c>
      <c r="BY144" s="3">
        <v>45999</v>
      </c>
      <c r="BZ144" s="1">
        <v>6.5</v>
      </c>
      <c r="CA144" s="3">
        <v>45989</v>
      </c>
      <c r="CB144" s="1">
        <v>6.5</v>
      </c>
      <c r="CC144" s="3">
        <v>46002</v>
      </c>
      <c r="CD144" s="1">
        <v>6.4589999999999996</v>
      </c>
      <c r="CE144" s="3">
        <v>46002</v>
      </c>
      <c r="CF144" s="1">
        <v>6.3890000000000002</v>
      </c>
      <c r="CG144" s="3">
        <v>46002</v>
      </c>
      <c r="CH144" s="1">
        <v>6.31</v>
      </c>
      <c r="CI144" s="3">
        <v>46002</v>
      </c>
      <c r="CJ144" s="1">
        <v>6.19</v>
      </c>
      <c r="CK144" s="3">
        <v>46002</v>
      </c>
      <c r="CL144" s="1">
        <v>6.07</v>
      </c>
      <c r="CM144" s="3">
        <v>46002</v>
      </c>
      <c r="CN144" s="1">
        <v>5.96</v>
      </c>
      <c r="CO144" s="3">
        <v>46000</v>
      </c>
      <c r="CP144" s="1">
        <v>5.91</v>
      </c>
      <c r="CQ144" s="3">
        <v>46000</v>
      </c>
      <c r="CR144" s="1">
        <v>5.875</v>
      </c>
      <c r="CS144" s="3">
        <v>46000</v>
      </c>
      <c r="CT144" s="1">
        <v>5.875</v>
      </c>
    </row>
    <row r="145" spans="31:98" x14ac:dyDescent="0.2">
      <c r="AE145" s="3">
        <v>46001</v>
      </c>
      <c r="AF145" s="1">
        <v>4</v>
      </c>
      <c r="AG145" s="3">
        <v>45988</v>
      </c>
      <c r="AH145" s="1">
        <v>4.2</v>
      </c>
      <c r="AI145" s="3">
        <v>46001</v>
      </c>
      <c r="AJ145" s="2">
        <v>3.9849999999999999</v>
      </c>
      <c r="AK145" s="3">
        <v>46001</v>
      </c>
      <c r="AL145" s="2">
        <v>3.8675000000000002</v>
      </c>
      <c r="AM145" s="3">
        <v>46001</v>
      </c>
      <c r="AN145" s="2">
        <v>3.7625000000000002</v>
      </c>
      <c r="AO145" s="3">
        <v>46001</v>
      </c>
      <c r="AP145" s="2">
        <v>3.63</v>
      </c>
      <c r="AQ145" s="3">
        <v>46001</v>
      </c>
      <c r="AR145" s="2">
        <v>3.5924999999999998</v>
      </c>
      <c r="AS145" s="3">
        <v>46001</v>
      </c>
      <c r="AT145" s="2">
        <v>3.605</v>
      </c>
      <c r="AU145" s="3">
        <v>46001</v>
      </c>
      <c r="AV145" s="2">
        <v>3.6274999999999999</v>
      </c>
      <c r="AW145" s="3">
        <v>46001</v>
      </c>
      <c r="AX145" s="2">
        <v>3.6549999999999998</v>
      </c>
      <c r="AY145" s="3">
        <v>46001</v>
      </c>
      <c r="AZ145" s="2">
        <v>3.6850000000000001</v>
      </c>
      <c r="BB145" s="3">
        <v>45989</v>
      </c>
      <c r="BC145" s="1">
        <v>3.5</v>
      </c>
      <c r="BD145" s="3">
        <v>45989</v>
      </c>
      <c r="BE145" s="1">
        <v>3.56</v>
      </c>
      <c r="BF145" s="3">
        <v>46001</v>
      </c>
      <c r="BG145" s="1">
        <v>3.56</v>
      </c>
      <c r="BH145" s="3">
        <v>46001</v>
      </c>
      <c r="BI145" s="1">
        <v>3.5640000000000001</v>
      </c>
      <c r="BJ145" s="3">
        <v>46001</v>
      </c>
      <c r="BK145" s="1">
        <v>3.573</v>
      </c>
      <c r="BL145" s="3">
        <v>46001</v>
      </c>
      <c r="BM145" s="1">
        <v>3.61</v>
      </c>
      <c r="BN145" s="3">
        <v>46001</v>
      </c>
      <c r="BO145" s="1">
        <v>3.6480000000000001</v>
      </c>
      <c r="BP145" s="3">
        <v>46001</v>
      </c>
      <c r="BQ145" s="1">
        <v>3.7330000000000001</v>
      </c>
      <c r="BR145" s="3">
        <v>46001</v>
      </c>
      <c r="BS145" s="1">
        <v>3.81</v>
      </c>
      <c r="BT145" s="3">
        <v>46001</v>
      </c>
      <c r="BU145" s="1">
        <v>3.883</v>
      </c>
      <c r="BV145" s="3">
        <v>46001</v>
      </c>
      <c r="BW145" s="1">
        <v>3.968</v>
      </c>
      <c r="BY145" s="3">
        <v>45996</v>
      </c>
      <c r="BZ145" s="1">
        <v>6.5</v>
      </c>
      <c r="CA145" s="3">
        <v>45988</v>
      </c>
      <c r="CB145" s="1">
        <v>6.5</v>
      </c>
      <c r="CC145" s="3">
        <v>46001</v>
      </c>
      <c r="CD145" s="1">
        <v>6.47</v>
      </c>
      <c r="CE145" s="3">
        <v>46001</v>
      </c>
      <c r="CF145" s="1">
        <v>6.41</v>
      </c>
      <c r="CG145" s="3">
        <v>46001</v>
      </c>
      <c r="CH145" s="1">
        <v>6.34</v>
      </c>
      <c r="CI145" s="3">
        <v>46001</v>
      </c>
      <c r="CJ145" s="1">
        <v>6.2350000000000003</v>
      </c>
      <c r="CK145" s="3">
        <v>46001</v>
      </c>
      <c r="CL145" s="1">
        <v>6.12</v>
      </c>
      <c r="CM145" s="3">
        <v>46001</v>
      </c>
      <c r="CN145" s="1">
        <v>5.98</v>
      </c>
      <c r="CO145" s="3">
        <v>45999</v>
      </c>
      <c r="CP145" s="1">
        <v>5.89</v>
      </c>
      <c r="CQ145" s="3">
        <v>45999</v>
      </c>
      <c r="CR145" s="1">
        <v>5.86</v>
      </c>
      <c r="CS145" s="3">
        <v>45999</v>
      </c>
      <c r="CT145" s="1">
        <v>5.86</v>
      </c>
    </row>
    <row r="146" spans="31:98" x14ac:dyDescent="0.2">
      <c r="AE146" s="3">
        <v>46000</v>
      </c>
      <c r="AF146" s="1">
        <v>4</v>
      </c>
      <c r="AG146" s="3">
        <v>45987</v>
      </c>
      <c r="AH146" s="1">
        <v>4.22</v>
      </c>
      <c r="AI146" s="3">
        <v>46000</v>
      </c>
      <c r="AJ146" s="2">
        <v>3.9849999999999999</v>
      </c>
      <c r="AK146" s="3">
        <v>46000</v>
      </c>
      <c r="AL146" s="2">
        <v>3.85</v>
      </c>
      <c r="AM146" s="3">
        <v>46000</v>
      </c>
      <c r="AN146" s="2">
        <v>3.7250000000000001</v>
      </c>
      <c r="AO146" s="3">
        <v>46000</v>
      </c>
      <c r="AP146" s="2">
        <v>3.5874999999999999</v>
      </c>
      <c r="AQ146" s="3">
        <v>46000</v>
      </c>
      <c r="AR146" s="2">
        <v>3.55</v>
      </c>
      <c r="AS146" s="3">
        <v>46000</v>
      </c>
      <c r="AT146" s="2">
        <v>3.5525000000000002</v>
      </c>
      <c r="AU146" s="3">
        <v>46000</v>
      </c>
      <c r="AV146" s="2">
        <v>3.5775000000000001</v>
      </c>
      <c r="AW146" s="3">
        <v>46000</v>
      </c>
      <c r="AX146" s="2">
        <v>3.605</v>
      </c>
      <c r="AY146" s="3">
        <v>46000</v>
      </c>
      <c r="AZ146" s="2">
        <v>3.6375000000000002</v>
      </c>
      <c r="BB146" s="3">
        <v>45988</v>
      </c>
      <c r="BC146" s="1">
        <v>3.5</v>
      </c>
      <c r="BD146" s="3">
        <v>45988</v>
      </c>
      <c r="BE146" s="1">
        <v>3.56</v>
      </c>
      <c r="BF146" s="3">
        <v>46000</v>
      </c>
      <c r="BG146" s="1">
        <v>3.56</v>
      </c>
      <c r="BH146" s="3">
        <v>46000</v>
      </c>
      <c r="BI146" s="1">
        <v>3.5609999999999999</v>
      </c>
      <c r="BJ146" s="3">
        <v>46000</v>
      </c>
      <c r="BK146" s="1">
        <v>3.56</v>
      </c>
      <c r="BL146" s="3">
        <v>46000</v>
      </c>
      <c r="BM146" s="1">
        <v>3.57</v>
      </c>
      <c r="BN146" s="3">
        <v>46000</v>
      </c>
      <c r="BO146" s="1">
        <v>3.5950000000000002</v>
      </c>
      <c r="BP146" s="3">
        <v>46000</v>
      </c>
      <c r="BQ146" s="1">
        <v>3.6680000000000001</v>
      </c>
      <c r="BR146" s="3">
        <v>46000</v>
      </c>
      <c r="BS146" s="1">
        <v>3.7429999999999999</v>
      </c>
      <c r="BT146" s="3">
        <v>46000</v>
      </c>
      <c r="BU146" s="1">
        <v>3.8180000000000001</v>
      </c>
      <c r="BV146" s="3">
        <v>46000</v>
      </c>
      <c r="BW146" s="1">
        <v>3.8879999999999999</v>
      </c>
      <c r="BY146" s="3">
        <v>45995</v>
      </c>
      <c r="BZ146" s="1">
        <v>6.5</v>
      </c>
      <c r="CA146" s="3">
        <v>45987</v>
      </c>
      <c r="CB146" s="1">
        <v>6.5</v>
      </c>
      <c r="CC146" s="3">
        <v>46000</v>
      </c>
      <c r="CD146" s="1">
        <v>6.47</v>
      </c>
      <c r="CE146" s="3">
        <v>46000</v>
      </c>
      <c r="CF146" s="1">
        <v>6.41</v>
      </c>
      <c r="CG146" s="3">
        <v>46000</v>
      </c>
      <c r="CH146" s="1">
        <v>6.34</v>
      </c>
      <c r="CI146" s="3">
        <v>46000</v>
      </c>
      <c r="CJ146" s="1">
        <v>6.22</v>
      </c>
      <c r="CK146" s="3">
        <v>46000</v>
      </c>
      <c r="CL146" s="1">
        <v>6.09</v>
      </c>
      <c r="CM146" s="3">
        <v>46000</v>
      </c>
      <c r="CN146" s="1">
        <v>5.9550000000000001</v>
      </c>
      <c r="CO146" s="3">
        <v>45996</v>
      </c>
      <c r="CP146" s="1">
        <v>5.85</v>
      </c>
      <c r="CQ146" s="3">
        <v>45996</v>
      </c>
      <c r="CR146" s="1">
        <v>5.82</v>
      </c>
      <c r="CS146" s="3">
        <v>45996</v>
      </c>
      <c r="CT146" s="1">
        <v>5.82</v>
      </c>
    </row>
    <row r="147" spans="31:98" x14ac:dyDescent="0.2">
      <c r="AE147" s="3">
        <v>45999</v>
      </c>
      <c r="AF147" s="1">
        <v>4</v>
      </c>
      <c r="AG147" s="3">
        <v>45986</v>
      </c>
      <c r="AH147" s="1">
        <v>4.22</v>
      </c>
      <c r="AI147" s="3">
        <v>45999</v>
      </c>
      <c r="AJ147" s="2">
        <v>3.9874999999999998</v>
      </c>
      <c r="AK147" s="3">
        <v>45999</v>
      </c>
      <c r="AL147" s="2">
        <v>3.855</v>
      </c>
      <c r="AM147" s="3">
        <v>45999</v>
      </c>
      <c r="AN147" s="2">
        <v>3.7324999999999999</v>
      </c>
      <c r="AO147" s="3">
        <v>45999</v>
      </c>
      <c r="AP147" s="2">
        <v>3.6</v>
      </c>
      <c r="AQ147" s="3">
        <v>45999</v>
      </c>
      <c r="AR147" s="2">
        <v>3.5649999999999999</v>
      </c>
      <c r="AS147" s="3">
        <v>45999</v>
      </c>
      <c r="AT147" s="2">
        <v>3.5674999999999999</v>
      </c>
      <c r="AU147" s="3">
        <v>45999</v>
      </c>
      <c r="AV147" s="2">
        <v>3.5874999999999999</v>
      </c>
      <c r="AW147" s="3">
        <v>45999</v>
      </c>
      <c r="AX147" s="2">
        <v>3.6124999999999998</v>
      </c>
      <c r="AY147" s="3">
        <v>45999</v>
      </c>
      <c r="AZ147" s="2">
        <v>3.6425000000000001</v>
      </c>
      <c r="BB147" s="3">
        <v>45987</v>
      </c>
      <c r="BC147" s="1">
        <v>3.5</v>
      </c>
      <c r="BD147" s="3">
        <v>45987</v>
      </c>
      <c r="BE147" s="1">
        <v>3.56</v>
      </c>
      <c r="BF147" s="3">
        <v>45999</v>
      </c>
      <c r="BG147" s="1">
        <v>3.56</v>
      </c>
      <c r="BH147" s="3">
        <v>45999</v>
      </c>
      <c r="BI147" s="1">
        <v>3.556</v>
      </c>
      <c r="BJ147" s="3">
        <v>45999</v>
      </c>
      <c r="BK147" s="1">
        <v>3.5649999999999999</v>
      </c>
      <c r="BL147" s="3">
        <v>45999</v>
      </c>
      <c r="BM147" s="1">
        <v>3.5779999999999998</v>
      </c>
      <c r="BN147" s="3">
        <v>45999</v>
      </c>
      <c r="BO147" s="1">
        <v>3.6150000000000002</v>
      </c>
      <c r="BP147" s="3">
        <v>45999</v>
      </c>
      <c r="BQ147" s="1">
        <v>3.69</v>
      </c>
      <c r="BR147" s="3">
        <v>45999</v>
      </c>
      <c r="BS147" s="1">
        <v>3.7549999999999999</v>
      </c>
      <c r="BT147" s="3">
        <v>45999</v>
      </c>
      <c r="BU147" s="1">
        <v>3.82</v>
      </c>
      <c r="BV147" s="3">
        <v>45999</v>
      </c>
      <c r="BW147" s="1">
        <v>3.89</v>
      </c>
      <c r="BY147" s="3">
        <v>45994</v>
      </c>
      <c r="BZ147" s="1">
        <v>6.5</v>
      </c>
      <c r="CA147" s="3">
        <v>45986</v>
      </c>
      <c r="CB147" s="1">
        <v>6.5</v>
      </c>
      <c r="CC147" s="3">
        <v>45999</v>
      </c>
      <c r="CD147" s="1">
        <v>6.47</v>
      </c>
      <c r="CE147" s="3">
        <v>45999</v>
      </c>
      <c r="CF147" s="1">
        <v>6.41</v>
      </c>
      <c r="CG147" s="3">
        <v>45999</v>
      </c>
      <c r="CH147" s="1">
        <v>6.34</v>
      </c>
      <c r="CI147" s="3">
        <v>45999</v>
      </c>
      <c r="CJ147" s="1">
        <v>6.25</v>
      </c>
      <c r="CK147" s="3">
        <v>45999</v>
      </c>
      <c r="CL147" s="1">
        <v>6.1</v>
      </c>
      <c r="CM147" s="3">
        <v>45999</v>
      </c>
      <c r="CN147" s="1">
        <v>5.94</v>
      </c>
      <c r="CO147" s="3">
        <v>45995</v>
      </c>
      <c r="CP147" s="1">
        <v>5.82</v>
      </c>
      <c r="CQ147" s="3">
        <v>45995</v>
      </c>
      <c r="CR147" s="1">
        <v>5.79</v>
      </c>
      <c r="CS147" s="3">
        <v>45995</v>
      </c>
      <c r="CT147" s="1">
        <v>5.79</v>
      </c>
    </row>
    <row r="148" spans="31:98" x14ac:dyDescent="0.2">
      <c r="AE148" s="3">
        <v>45996</v>
      </c>
      <c r="AF148" s="1">
        <v>4</v>
      </c>
      <c r="AG148" s="3">
        <v>45985</v>
      </c>
      <c r="AH148" s="1">
        <v>4.2300000000000004</v>
      </c>
      <c r="AI148" s="3">
        <v>45996</v>
      </c>
      <c r="AJ148" s="2">
        <v>3.9849999999999999</v>
      </c>
      <c r="AK148" s="3">
        <v>45996</v>
      </c>
      <c r="AL148" s="2">
        <v>3.8450000000000002</v>
      </c>
      <c r="AM148" s="3">
        <v>45996</v>
      </c>
      <c r="AN148" s="2">
        <v>3.71</v>
      </c>
      <c r="AO148" s="3">
        <v>45996</v>
      </c>
      <c r="AP148" s="2">
        <v>3.5775000000000001</v>
      </c>
      <c r="AQ148" s="3">
        <v>45996</v>
      </c>
      <c r="AR148" s="2">
        <v>3.5375000000000001</v>
      </c>
      <c r="AS148" s="3">
        <v>45996</v>
      </c>
      <c r="AT148" s="2">
        <v>3.5350000000000001</v>
      </c>
      <c r="AU148" s="3">
        <v>45996</v>
      </c>
      <c r="AV148" s="2">
        <v>3.5550000000000002</v>
      </c>
      <c r="AW148" s="3">
        <v>45996</v>
      </c>
      <c r="AX148" s="2">
        <v>3.58</v>
      </c>
      <c r="AY148" s="3">
        <v>45996</v>
      </c>
      <c r="AZ148" s="2">
        <v>3.6074999999999999</v>
      </c>
      <c r="BB148" s="3">
        <v>45986</v>
      </c>
      <c r="BC148" s="1">
        <v>3.5</v>
      </c>
      <c r="BD148" s="3">
        <v>45986</v>
      </c>
      <c r="BE148" s="1">
        <v>3.56</v>
      </c>
      <c r="BF148" s="3">
        <v>45996</v>
      </c>
      <c r="BG148" s="1">
        <v>3.55</v>
      </c>
      <c r="BH148" s="3">
        <v>45996</v>
      </c>
      <c r="BI148" s="1">
        <v>3.55</v>
      </c>
      <c r="BJ148" s="3">
        <v>45996</v>
      </c>
      <c r="BK148" s="1">
        <v>3.548</v>
      </c>
      <c r="BL148" s="3">
        <v>45996</v>
      </c>
      <c r="BM148" s="1">
        <v>3.5449999999999999</v>
      </c>
      <c r="BN148" s="3">
        <v>45996</v>
      </c>
      <c r="BO148" s="1">
        <v>3.5630000000000002</v>
      </c>
      <c r="BP148" s="3">
        <v>45996</v>
      </c>
      <c r="BQ148" s="1">
        <v>3.625</v>
      </c>
      <c r="BR148" s="3">
        <v>45996</v>
      </c>
      <c r="BS148" s="1">
        <v>3.67</v>
      </c>
      <c r="BT148" s="3">
        <v>45996</v>
      </c>
      <c r="BU148" s="1">
        <v>3.74</v>
      </c>
      <c r="BV148" s="3">
        <v>45996</v>
      </c>
      <c r="BW148" s="1">
        <v>3.8029999999999999</v>
      </c>
      <c r="BY148" s="3">
        <v>45993</v>
      </c>
      <c r="BZ148" s="1">
        <v>6.5</v>
      </c>
      <c r="CA148" s="3">
        <v>45985</v>
      </c>
      <c r="CB148" s="1">
        <v>6.5</v>
      </c>
      <c r="CC148" s="3">
        <v>45996</v>
      </c>
      <c r="CD148" s="1">
        <v>6.4690000000000003</v>
      </c>
      <c r="CE148" s="3">
        <v>45996</v>
      </c>
      <c r="CF148" s="1">
        <v>6.4080000000000004</v>
      </c>
      <c r="CG148" s="3">
        <v>45996</v>
      </c>
      <c r="CH148" s="1">
        <v>6.34</v>
      </c>
      <c r="CI148" s="3">
        <v>45996</v>
      </c>
      <c r="CJ148" s="1">
        <v>6.24</v>
      </c>
      <c r="CK148" s="3">
        <v>45996</v>
      </c>
      <c r="CL148" s="1">
        <v>6.08</v>
      </c>
      <c r="CM148" s="3">
        <v>45996</v>
      </c>
      <c r="CN148" s="1">
        <v>5.92</v>
      </c>
      <c r="CO148" s="3">
        <v>45994</v>
      </c>
      <c r="CP148" s="1">
        <v>5.875</v>
      </c>
      <c r="CQ148" s="3">
        <v>45994</v>
      </c>
      <c r="CR148" s="1">
        <v>5.8650000000000002</v>
      </c>
      <c r="CS148" s="3">
        <v>45994</v>
      </c>
      <c r="CT148" s="1">
        <v>5.8650000000000002</v>
      </c>
    </row>
    <row r="149" spans="31:98" x14ac:dyDescent="0.2">
      <c r="AE149" s="3">
        <v>45995</v>
      </c>
      <c r="AF149" s="1">
        <v>4</v>
      </c>
      <c r="AG149" s="3">
        <v>45982</v>
      </c>
      <c r="AH149" s="1">
        <v>4.2300000000000004</v>
      </c>
      <c r="AI149" s="3">
        <v>45995</v>
      </c>
      <c r="AJ149" s="2">
        <v>3.9950000000000001</v>
      </c>
      <c r="AK149" s="3">
        <v>45995</v>
      </c>
      <c r="AL149" s="2">
        <v>3.85</v>
      </c>
      <c r="AM149" s="3">
        <v>45995</v>
      </c>
      <c r="AN149" s="2">
        <v>3.71</v>
      </c>
      <c r="AO149" s="3">
        <v>45995</v>
      </c>
      <c r="AP149" s="2">
        <v>3.5724999999999998</v>
      </c>
      <c r="AQ149" s="3">
        <v>45995</v>
      </c>
      <c r="AR149" s="2">
        <v>3.5325000000000002</v>
      </c>
      <c r="AS149" s="3">
        <v>45995</v>
      </c>
      <c r="AT149" s="2">
        <v>3.53</v>
      </c>
      <c r="AU149" s="3">
        <v>45995</v>
      </c>
      <c r="AV149" s="2">
        <v>3.5474999999999999</v>
      </c>
      <c r="AW149" s="3">
        <v>45995</v>
      </c>
      <c r="AX149" s="2">
        <v>3.5674999999999999</v>
      </c>
      <c r="AY149" s="3">
        <v>45995</v>
      </c>
      <c r="AZ149" s="2">
        <v>3.5924999999999998</v>
      </c>
      <c r="BB149" s="3">
        <v>45985</v>
      </c>
      <c r="BC149" s="1">
        <v>3.5</v>
      </c>
      <c r="BD149" s="3">
        <v>45985</v>
      </c>
      <c r="BE149" s="1">
        <v>3.56</v>
      </c>
      <c r="BF149" s="3">
        <v>45995</v>
      </c>
      <c r="BG149" s="1">
        <v>3.55</v>
      </c>
      <c r="BH149" s="3">
        <v>45995</v>
      </c>
      <c r="BI149" s="1">
        <v>3.55</v>
      </c>
      <c r="BJ149" s="3">
        <v>45995</v>
      </c>
      <c r="BK149" s="1">
        <v>3.5529999999999999</v>
      </c>
      <c r="BL149" s="3">
        <v>45995</v>
      </c>
      <c r="BM149" s="1">
        <v>3.5550000000000002</v>
      </c>
      <c r="BN149" s="3">
        <v>45995</v>
      </c>
      <c r="BO149" s="1">
        <v>3.5750000000000002</v>
      </c>
      <c r="BP149" s="3">
        <v>45995</v>
      </c>
      <c r="BQ149" s="1">
        <v>3.63</v>
      </c>
      <c r="BR149" s="3">
        <v>45995</v>
      </c>
      <c r="BS149" s="1">
        <v>3.6779999999999999</v>
      </c>
      <c r="BT149" s="3">
        <v>45995</v>
      </c>
      <c r="BU149" s="1">
        <v>3.7429999999999999</v>
      </c>
      <c r="BV149" s="3">
        <v>45995</v>
      </c>
      <c r="BW149" s="1">
        <v>3.7949999999999999</v>
      </c>
      <c r="BY149" s="3">
        <v>45992</v>
      </c>
      <c r="BZ149" s="1">
        <v>6.5</v>
      </c>
      <c r="CA149" s="3">
        <v>45982</v>
      </c>
      <c r="CB149" s="1">
        <v>6.5</v>
      </c>
      <c r="CC149" s="3">
        <v>45995</v>
      </c>
      <c r="CD149" s="1">
        <v>6.47</v>
      </c>
      <c r="CE149" s="3">
        <v>45995</v>
      </c>
      <c r="CF149" s="1">
        <v>6.41</v>
      </c>
      <c r="CG149" s="3">
        <v>45995</v>
      </c>
      <c r="CH149" s="1">
        <v>6.33</v>
      </c>
      <c r="CI149" s="3">
        <v>45995</v>
      </c>
      <c r="CJ149" s="1">
        <v>6.21</v>
      </c>
      <c r="CK149" s="3">
        <v>45995</v>
      </c>
      <c r="CL149" s="1">
        <v>6.06</v>
      </c>
      <c r="CM149" s="3">
        <v>45995</v>
      </c>
      <c r="CN149" s="1">
        <v>5.9</v>
      </c>
      <c r="CO149" s="3">
        <v>45993</v>
      </c>
      <c r="CP149" s="1">
        <v>5.94</v>
      </c>
      <c r="CQ149" s="3">
        <v>45993</v>
      </c>
      <c r="CR149" s="1">
        <v>5.93</v>
      </c>
      <c r="CS149" s="3">
        <v>45993</v>
      </c>
      <c r="CT149" s="1">
        <v>5.93</v>
      </c>
    </row>
    <row r="150" spans="31:98" x14ac:dyDescent="0.2">
      <c r="AE150" s="3">
        <v>45994</v>
      </c>
      <c r="AF150" s="1">
        <v>4</v>
      </c>
      <c r="AG150" s="3">
        <v>45981</v>
      </c>
      <c r="AH150" s="1">
        <v>4.25</v>
      </c>
      <c r="AI150" s="3">
        <v>45994</v>
      </c>
      <c r="AJ150" s="2">
        <v>3.9674999999999998</v>
      </c>
      <c r="AK150" s="3">
        <v>45994</v>
      </c>
      <c r="AL150" s="2">
        <v>3.8224999999999998</v>
      </c>
      <c r="AM150" s="3">
        <v>45994</v>
      </c>
      <c r="AN150" s="2">
        <v>3.6875</v>
      </c>
      <c r="AO150" s="3">
        <v>45994</v>
      </c>
      <c r="AP150" s="2">
        <v>3.5350000000000001</v>
      </c>
      <c r="AQ150" s="3">
        <v>45994</v>
      </c>
      <c r="AR150" s="2">
        <v>3.4950000000000001</v>
      </c>
      <c r="AS150" s="3">
        <v>45994</v>
      </c>
      <c r="AT150" s="2">
        <v>3.5074999999999998</v>
      </c>
      <c r="AU150" s="3">
        <v>45994</v>
      </c>
      <c r="AV150" s="2">
        <v>3.5249999999999999</v>
      </c>
      <c r="AW150" s="3">
        <v>45994</v>
      </c>
      <c r="AX150" s="2">
        <v>3.5474999999999999</v>
      </c>
      <c r="AY150" s="3">
        <v>45994</v>
      </c>
      <c r="AZ150" s="2">
        <v>3.5775000000000001</v>
      </c>
      <c r="BB150" s="3">
        <v>45982</v>
      </c>
      <c r="BC150" s="1">
        <v>3.5</v>
      </c>
      <c r="BD150" s="3">
        <v>45982</v>
      </c>
      <c r="BE150" s="1">
        <v>3.56</v>
      </c>
      <c r="BF150" s="3">
        <v>45994</v>
      </c>
      <c r="BG150" s="1">
        <v>3.57</v>
      </c>
      <c r="BH150" s="3">
        <v>45994</v>
      </c>
      <c r="BI150" s="1">
        <v>3.5840000000000001</v>
      </c>
      <c r="BJ150" s="3">
        <v>45994</v>
      </c>
      <c r="BK150" s="1">
        <v>3.59</v>
      </c>
      <c r="BL150" s="3">
        <v>45994</v>
      </c>
      <c r="BM150" s="1">
        <v>3.6179999999999999</v>
      </c>
      <c r="BN150" s="3">
        <v>45994</v>
      </c>
      <c r="BO150" s="1">
        <v>3.66</v>
      </c>
      <c r="BP150" s="3">
        <v>45994</v>
      </c>
      <c r="BQ150" s="1">
        <v>3.73</v>
      </c>
      <c r="BR150" s="3">
        <v>45994</v>
      </c>
      <c r="BS150" s="1">
        <v>3.7850000000000001</v>
      </c>
      <c r="BT150" s="3">
        <v>45994</v>
      </c>
      <c r="BU150" s="1">
        <v>3.8530000000000002</v>
      </c>
      <c r="BV150" s="3">
        <v>45994</v>
      </c>
      <c r="BW150" s="1">
        <v>3.9049999999999998</v>
      </c>
      <c r="BY150" s="3">
        <v>45989</v>
      </c>
      <c r="BZ150" s="1">
        <v>6.5</v>
      </c>
      <c r="CA150" s="3">
        <v>45981</v>
      </c>
      <c r="CB150" s="1">
        <v>6.5</v>
      </c>
      <c r="CC150" s="3">
        <v>45994</v>
      </c>
      <c r="CD150" s="1">
        <v>6.4710000000000001</v>
      </c>
      <c r="CE150" s="3">
        <v>45994</v>
      </c>
      <c r="CF150" s="1">
        <v>6.4119999999999999</v>
      </c>
      <c r="CG150" s="3">
        <v>45994</v>
      </c>
      <c r="CH150" s="1">
        <v>6.34</v>
      </c>
      <c r="CI150" s="3">
        <v>45994</v>
      </c>
      <c r="CJ150" s="1">
        <v>6.23</v>
      </c>
      <c r="CK150" s="3">
        <v>45994</v>
      </c>
      <c r="CL150" s="1">
        <v>6.1</v>
      </c>
      <c r="CM150" s="3">
        <v>45994</v>
      </c>
      <c r="CN150" s="1">
        <v>5.9550000000000001</v>
      </c>
      <c r="CO150" s="3">
        <v>45992</v>
      </c>
      <c r="CP150" s="1">
        <v>5.93</v>
      </c>
      <c r="CQ150" s="3">
        <v>45992</v>
      </c>
      <c r="CR150" s="1">
        <v>5.92</v>
      </c>
      <c r="CS150" s="3">
        <v>45992</v>
      </c>
      <c r="CT150" s="1">
        <v>5.92</v>
      </c>
    </row>
    <row r="151" spans="31:98" x14ac:dyDescent="0.2">
      <c r="AE151" s="3">
        <v>45993</v>
      </c>
      <c r="AF151" s="1">
        <v>4.25</v>
      </c>
      <c r="AG151" s="3">
        <v>45980</v>
      </c>
      <c r="AH151" s="1">
        <v>4.26</v>
      </c>
      <c r="AI151" s="3">
        <v>45993</v>
      </c>
      <c r="AJ151" s="2">
        <v>3.98</v>
      </c>
      <c r="AK151" s="3">
        <v>45993</v>
      </c>
      <c r="AL151" s="2">
        <v>3.8450000000000002</v>
      </c>
      <c r="AM151" s="3">
        <v>45993</v>
      </c>
      <c r="AN151" s="2">
        <v>3.7</v>
      </c>
      <c r="AO151" s="3">
        <v>45993</v>
      </c>
      <c r="AP151" s="2">
        <v>3.5425</v>
      </c>
      <c r="AQ151" s="3">
        <v>45993</v>
      </c>
      <c r="AR151" s="2">
        <v>3.5074999999999998</v>
      </c>
      <c r="AS151" s="3">
        <v>45993</v>
      </c>
      <c r="AT151" s="2">
        <v>3.5175000000000001</v>
      </c>
      <c r="AU151" s="3">
        <v>45993</v>
      </c>
      <c r="AV151" s="2">
        <v>3.5350000000000001</v>
      </c>
      <c r="AW151" s="3">
        <v>45993</v>
      </c>
      <c r="AX151" s="2">
        <v>3.5550000000000002</v>
      </c>
      <c r="AY151" s="3">
        <v>45993</v>
      </c>
      <c r="AZ151" s="2">
        <v>3.585</v>
      </c>
      <c r="BB151" s="3">
        <v>45981</v>
      </c>
      <c r="BC151" s="1">
        <v>3.5</v>
      </c>
      <c r="BD151" s="3">
        <v>45981</v>
      </c>
      <c r="BE151" s="1">
        <v>3.56</v>
      </c>
      <c r="BF151" s="3">
        <v>45993</v>
      </c>
      <c r="BG151" s="1">
        <v>3.57</v>
      </c>
      <c r="BH151" s="3">
        <v>45993</v>
      </c>
      <c r="BI151" s="1">
        <v>3.5840000000000001</v>
      </c>
      <c r="BJ151" s="3">
        <v>45993</v>
      </c>
      <c r="BK151" s="1">
        <v>3.5979999999999999</v>
      </c>
      <c r="BL151" s="3">
        <v>45993</v>
      </c>
      <c r="BM151" s="1">
        <v>3.63</v>
      </c>
      <c r="BN151" s="3">
        <v>45993</v>
      </c>
      <c r="BO151" s="1">
        <v>3.673</v>
      </c>
      <c r="BP151" s="3">
        <v>45993</v>
      </c>
      <c r="BQ151" s="1">
        <v>3.7429999999999999</v>
      </c>
      <c r="BR151" s="3">
        <v>45993</v>
      </c>
      <c r="BS151" s="1">
        <v>3.8079999999999998</v>
      </c>
      <c r="BT151" s="3">
        <v>45993</v>
      </c>
      <c r="BU151" s="1">
        <v>3.8730000000000002</v>
      </c>
      <c r="BV151" s="3">
        <v>45993</v>
      </c>
      <c r="BW151" s="1">
        <v>3.92</v>
      </c>
      <c r="BY151" s="3">
        <v>45988</v>
      </c>
      <c r="BZ151" s="1">
        <v>6.5</v>
      </c>
      <c r="CA151" s="3">
        <v>45980</v>
      </c>
      <c r="CB151" s="1">
        <v>6.5</v>
      </c>
      <c r="CC151" s="3">
        <v>45993</v>
      </c>
      <c r="CD151" s="1">
        <v>6.4710000000000001</v>
      </c>
      <c r="CE151" s="3">
        <v>45993</v>
      </c>
      <c r="CF151" s="1">
        <v>6.4109999999999996</v>
      </c>
      <c r="CG151" s="3">
        <v>45993</v>
      </c>
      <c r="CH151" s="1">
        <v>6.35</v>
      </c>
      <c r="CI151" s="3">
        <v>45993</v>
      </c>
      <c r="CJ151" s="1">
        <v>6.24</v>
      </c>
      <c r="CK151" s="3">
        <v>45993</v>
      </c>
      <c r="CL151" s="1">
        <v>6.13</v>
      </c>
      <c r="CM151" s="3">
        <v>45993</v>
      </c>
      <c r="CN151" s="1">
        <v>6</v>
      </c>
      <c r="CO151" s="3">
        <v>45989</v>
      </c>
      <c r="CP151" s="1">
        <v>5.9450000000000003</v>
      </c>
      <c r="CQ151" s="3">
        <v>45989</v>
      </c>
      <c r="CR151" s="1">
        <v>5.9349999999999996</v>
      </c>
      <c r="CS151" s="3">
        <v>45989</v>
      </c>
      <c r="CT151" s="1">
        <v>5.9349999999999996</v>
      </c>
    </row>
    <row r="152" spans="31:98" x14ac:dyDescent="0.2">
      <c r="AE152" s="3">
        <v>45992</v>
      </c>
      <c r="AF152" s="1">
        <v>4.25</v>
      </c>
      <c r="AG152" s="3">
        <v>45979</v>
      </c>
      <c r="AH152" s="1">
        <v>4.26</v>
      </c>
      <c r="AI152" s="3">
        <v>45992</v>
      </c>
      <c r="AJ152" s="2">
        <v>3.97</v>
      </c>
      <c r="AK152" s="3">
        <v>45992</v>
      </c>
      <c r="AL152" s="2">
        <v>3.8275000000000001</v>
      </c>
      <c r="AM152" s="3">
        <v>45992</v>
      </c>
      <c r="AN152" s="2">
        <v>3.6775000000000002</v>
      </c>
      <c r="AO152" s="3">
        <v>45992</v>
      </c>
      <c r="AP152" s="2">
        <v>3.51</v>
      </c>
      <c r="AQ152" s="3">
        <v>45992</v>
      </c>
      <c r="AR152" s="2">
        <v>3.4750000000000001</v>
      </c>
      <c r="AS152" s="3">
        <v>45992</v>
      </c>
      <c r="AT152" s="2">
        <v>3.4849999999999999</v>
      </c>
      <c r="AU152" s="3">
        <v>45992</v>
      </c>
      <c r="AV152" s="2">
        <v>3.5</v>
      </c>
      <c r="AW152" s="3">
        <v>45992</v>
      </c>
      <c r="AX152" s="2">
        <v>3.5249999999999999</v>
      </c>
      <c r="AY152" s="3">
        <v>45992</v>
      </c>
      <c r="AZ152" s="2">
        <v>3.5575000000000001</v>
      </c>
      <c r="BB152" s="3">
        <v>45980</v>
      </c>
      <c r="BC152" s="1">
        <v>3.5</v>
      </c>
      <c r="BD152" s="3">
        <v>45980</v>
      </c>
      <c r="BE152" s="1">
        <v>3.56</v>
      </c>
      <c r="BF152" s="3">
        <v>45992</v>
      </c>
      <c r="BG152" s="1">
        <v>3.5750000000000002</v>
      </c>
      <c r="BH152" s="3">
        <v>45992</v>
      </c>
      <c r="BI152" s="1">
        <v>3.5880000000000001</v>
      </c>
      <c r="BJ152" s="3">
        <v>45992</v>
      </c>
      <c r="BK152" s="1">
        <v>3.5979999999999999</v>
      </c>
      <c r="BL152" s="3">
        <v>45992</v>
      </c>
      <c r="BM152" s="1">
        <v>3.6280000000000001</v>
      </c>
      <c r="BN152" s="3">
        <v>45992</v>
      </c>
      <c r="BO152" s="1">
        <v>3.6549999999999998</v>
      </c>
      <c r="BP152" s="3">
        <v>45992</v>
      </c>
      <c r="BQ152" s="1">
        <v>3.72</v>
      </c>
      <c r="BR152" s="3">
        <v>45992</v>
      </c>
      <c r="BS152" s="1">
        <v>3.78</v>
      </c>
      <c r="BT152" s="3">
        <v>45992</v>
      </c>
      <c r="BU152" s="1">
        <v>3.8330000000000002</v>
      </c>
      <c r="BV152" s="3">
        <v>45992</v>
      </c>
      <c r="BW152" s="1">
        <v>3.88</v>
      </c>
      <c r="BY152" s="3">
        <v>45987</v>
      </c>
      <c r="BZ152" s="1">
        <v>6.5</v>
      </c>
      <c r="CA152" s="3">
        <v>45979</v>
      </c>
      <c r="CB152" s="1">
        <v>6.5</v>
      </c>
      <c r="CC152" s="3">
        <v>45992</v>
      </c>
      <c r="CD152" s="1">
        <v>6.4729999999999999</v>
      </c>
      <c r="CE152" s="3">
        <v>45992</v>
      </c>
      <c r="CF152" s="1">
        <v>6.4059999999999997</v>
      </c>
      <c r="CG152" s="3">
        <v>45992</v>
      </c>
      <c r="CH152" s="1">
        <v>6.35</v>
      </c>
      <c r="CI152" s="3">
        <v>45992</v>
      </c>
      <c r="CJ152" s="1">
        <v>6.24</v>
      </c>
      <c r="CK152" s="3">
        <v>45992</v>
      </c>
      <c r="CL152" s="1">
        <v>6.12</v>
      </c>
      <c r="CM152" s="3">
        <v>45992</v>
      </c>
      <c r="CN152" s="1">
        <v>5.99</v>
      </c>
      <c r="CO152" s="3">
        <v>45988</v>
      </c>
      <c r="CP152" s="1">
        <v>5.9050000000000002</v>
      </c>
      <c r="CQ152" s="3">
        <v>45988</v>
      </c>
      <c r="CR152" s="1">
        <v>5.8949999999999996</v>
      </c>
      <c r="CS152" s="3">
        <v>45988</v>
      </c>
      <c r="CT152" s="1">
        <v>5.8949999999999996</v>
      </c>
    </row>
    <row r="153" spans="31:98" x14ac:dyDescent="0.2">
      <c r="AE153" s="3">
        <v>45989</v>
      </c>
      <c r="AF153" s="1">
        <v>4.25</v>
      </c>
      <c r="AG153" s="3">
        <v>45978</v>
      </c>
      <c r="AH153" s="1">
        <v>4.2699999999999996</v>
      </c>
      <c r="AI153" s="3">
        <v>45989</v>
      </c>
      <c r="AJ153" s="2">
        <v>3.97</v>
      </c>
      <c r="AK153" s="3">
        <v>45989</v>
      </c>
      <c r="AL153" s="2">
        <v>3.8</v>
      </c>
      <c r="AM153" s="3">
        <v>45989</v>
      </c>
      <c r="AN153" s="2">
        <v>3.6475</v>
      </c>
      <c r="AO153" s="3">
        <v>45989</v>
      </c>
      <c r="AP153" s="2">
        <v>3.4874999999999998</v>
      </c>
      <c r="AQ153" s="3">
        <v>45989</v>
      </c>
      <c r="AR153" s="2">
        <v>3.4424999999999999</v>
      </c>
      <c r="AS153" s="3">
        <v>45989</v>
      </c>
      <c r="AT153" s="2">
        <v>3.45</v>
      </c>
      <c r="AU153" s="3">
        <v>45989</v>
      </c>
      <c r="AV153" s="2">
        <v>3.4649999999999999</v>
      </c>
      <c r="AW153" s="3">
        <v>45989</v>
      </c>
      <c r="AX153" s="2">
        <v>3.4874999999999998</v>
      </c>
      <c r="AY153" s="3">
        <v>45989</v>
      </c>
      <c r="AZ153" s="2">
        <v>3.52</v>
      </c>
      <c r="BB153" s="3">
        <v>45979</v>
      </c>
      <c r="BC153" s="1">
        <v>3.5</v>
      </c>
      <c r="BD153" s="3">
        <v>45979</v>
      </c>
      <c r="BE153" s="1">
        <v>3.55</v>
      </c>
      <c r="BF153" s="3">
        <v>45989</v>
      </c>
      <c r="BG153" s="1">
        <v>3.5750000000000002</v>
      </c>
      <c r="BH153" s="3">
        <v>45989</v>
      </c>
      <c r="BI153" s="1">
        <v>3.59</v>
      </c>
      <c r="BJ153" s="3">
        <v>45989</v>
      </c>
      <c r="BK153" s="1">
        <v>3.6</v>
      </c>
      <c r="BL153" s="3">
        <v>45989</v>
      </c>
      <c r="BM153" s="1">
        <v>3.6179999999999999</v>
      </c>
      <c r="BN153" s="3">
        <v>45989</v>
      </c>
      <c r="BO153" s="1">
        <v>3.6349999999999998</v>
      </c>
      <c r="BP153" s="3">
        <v>45989</v>
      </c>
      <c r="BQ153" s="1">
        <v>3.6930000000000001</v>
      </c>
      <c r="BR153" s="3">
        <v>45989</v>
      </c>
      <c r="BS153" s="1">
        <v>3.7429999999999999</v>
      </c>
      <c r="BT153" s="3">
        <v>45989</v>
      </c>
      <c r="BU153" s="1">
        <v>3.7949999999999999</v>
      </c>
      <c r="BV153" s="3">
        <v>45989</v>
      </c>
      <c r="BW153" s="1">
        <v>3.84</v>
      </c>
      <c r="BY153" s="3">
        <v>45986</v>
      </c>
      <c r="BZ153" s="1">
        <v>6.5</v>
      </c>
      <c r="CA153" s="3">
        <v>45978</v>
      </c>
      <c r="CB153" s="1">
        <v>6.5</v>
      </c>
      <c r="CC153" s="3">
        <v>45989</v>
      </c>
      <c r="CD153" s="1">
        <v>6.47</v>
      </c>
      <c r="CE153" s="3">
        <v>45989</v>
      </c>
      <c r="CF153" s="1">
        <v>6.4089999999999998</v>
      </c>
      <c r="CG153" s="3">
        <v>45989</v>
      </c>
      <c r="CH153" s="1">
        <v>6.35</v>
      </c>
      <c r="CI153" s="3">
        <v>45989</v>
      </c>
      <c r="CJ153" s="1">
        <v>6.25</v>
      </c>
      <c r="CK153" s="3">
        <v>45989</v>
      </c>
      <c r="CL153" s="1">
        <v>6.15</v>
      </c>
      <c r="CM153" s="3">
        <v>45989</v>
      </c>
      <c r="CN153" s="1">
        <v>6.0149999999999997</v>
      </c>
      <c r="CO153" s="3">
        <v>45987</v>
      </c>
      <c r="CP153" s="1">
        <v>5.9</v>
      </c>
      <c r="CQ153" s="3">
        <v>45987</v>
      </c>
      <c r="CR153" s="1">
        <v>5.89</v>
      </c>
      <c r="CS153" s="3">
        <v>45987</v>
      </c>
      <c r="CT153" s="1">
        <v>5.89</v>
      </c>
    </row>
    <row r="154" spans="31:98" x14ac:dyDescent="0.2">
      <c r="AE154" s="3">
        <v>45988</v>
      </c>
      <c r="AF154" s="1">
        <v>4.25</v>
      </c>
      <c r="AG154" s="3">
        <v>45975</v>
      </c>
      <c r="AH154" s="1">
        <v>4.2699999999999996</v>
      </c>
      <c r="AI154" s="3">
        <v>45988</v>
      </c>
      <c r="AJ154" s="2">
        <v>4.0549999999999997</v>
      </c>
      <c r="AK154" s="3">
        <v>45988</v>
      </c>
      <c r="AL154" s="2">
        <v>3.88</v>
      </c>
      <c r="AM154" s="3">
        <v>45988</v>
      </c>
      <c r="AN154" s="2">
        <v>3.7524999999999999</v>
      </c>
      <c r="AO154" s="3">
        <v>45988</v>
      </c>
      <c r="AP154" s="2">
        <v>3.59</v>
      </c>
      <c r="AQ154" s="3">
        <v>45988</v>
      </c>
      <c r="AR154" s="2">
        <v>3.5350000000000001</v>
      </c>
      <c r="AS154" s="3">
        <v>45988</v>
      </c>
      <c r="AT154" s="2">
        <v>3.5274999999999999</v>
      </c>
      <c r="AU154" s="3">
        <v>45988</v>
      </c>
      <c r="AV154" s="2">
        <v>3.54</v>
      </c>
      <c r="AW154" s="3">
        <v>45988</v>
      </c>
      <c r="AX154" s="2">
        <v>3.5575000000000001</v>
      </c>
      <c r="AY154" s="3">
        <v>45988</v>
      </c>
      <c r="AZ154" s="2">
        <v>3.59</v>
      </c>
      <c r="BB154" s="3">
        <v>45975</v>
      </c>
      <c r="BC154" s="1">
        <v>3.5</v>
      </c>
      <c r="BD154" s="3">
        <v>45975</v>
      </c>
      <c r="BE154" s="1">
        <v>3.55</v>
      </c>
      <c r="BF154" s="3">
        <v>45988</v>
      </c>
      <c r="BG154" s="1">
        <v>3.5750000000000002</v>
      </c>
      <c r="BH154" s="3">
        <v>45988</v>
      </c>
      <c r="BI154" s="1">
        <v>3.59</v>
      </c>
      <c r="BJ154" s="3">
        <v>45988</v>
      </c>
      <c r="BK154" s="1">
        <v>3.6030000000000002</v>
      </c>
      <c r="BL154" s="3">
        <v>45988</v>
      </c>
      <c r="BM154" s="1">
        <v>3.6230000000000002</v>
      </c>
      <c r="BN154" s="3">
        <v>45988</v>
      </c>
      <c r="BO154" s="1">
        <v>3.6429999999999998</v>
      </c>
      <c r="BP154" s="3">
        <v>45988</v>
      </c>
      <c r="BQ154" s="1">
        <v>3.6949999999999998</v>
      </c>
      <c r="BR154" s="3">
        <v>45988</v>
      </c>
      <c r="BS154" s="1">
        <v>3.758</v>
      </c>
      <c r="BT154" s="3">
        <v>45988</v>
      </c>
      <c r="BU154" s="1">
        <v>3.8130000000000002</v>
      </c>
      <c r="BV154" s="3">
        <v>45988</v>
      </c>
      <c r="BW154" s="1">
        <v>3.86</v>
      </c>
      <c r="BY154" s="3">
        <v>45985</v>
      </c>
      <c r="BZ154" s="1">
        <v>6.5</v>
      </c>
      <c r="CA154" s="3">
        <v>45975</v>
      </c>
      <c r="CB154" s="1">
        <v>6.5</v>
      </c>
      <c r="CC154" s="3">
        <v>45988</v>
      </c>
      <c r="CD154" s="1">
        <v>6.47</v>
      </c>
      <c r="CE154" s="3">
        <v>45988</v>
      </c>
      <c r="CF154" s="1">
        <v>6.41</v>
      </c>
      <c r="CG154" s="3">
        <v>45988</v>
      </c>
      <c r="CH154" s="1">
        <v>6.35</v>
      </c>
      <c r="CI154" s="3">
        <v>45988</v>
      </c>
      <c r="CJ154" s="1">
        <v>6.24</v>
      </c>
      <c r="CK154" s="3">
        <v>45988</v>
      </c>
      <c r="CL154" s="1">
        <v>6.12</v>
      </c>
      <c r="CM154" s="3">
        <v>45988</v>
      </c>
      <c r="CN154" s="1">
        <v>5.9850000000000003</v>
      </c>
      <c r="CO154" s="3">
        <v>45986</v>
      </c>
      <c r="CP154" s="1">
        <v>5.92</v>
      </c>
      <c r="CQ154" s="3">
        <v>45986</v>
      </c>
      <c r="CR154" s="1">
        <v>5.91</v>
      </c>
      <c r="CS154" s="3">
        <v>45986</v>
      </c>
      <c r="CT154" s="1">
        <v>5.91</v>
      </c>
    </row>
    <row r="155" spans="31:98" x14ac:dyDescent="0.2">
      <c r="AE155" s="3">
        <v>45987</v>
      </c>
      <c r="AF155" s="1">
        <v>4.25</v>
      </c>
      <c r="AG155" s="3">
        <v>45974</v>
      </c>
      <c r="AH155" s="1">
        <v>4.28</v>
      </c>
      <c r="AI155" s="3">
        <v>45987</v>
      </c>
      <c r="AJ155" s="2">
        <v>4.0549999999999997</v>
      </c>
      <c r="AK155" s="3">
        <v>45987</v>
      </c>
      <c r="AL155" s="2">
        <v>3.8774999999999999</v>
      </c>
      <c r="AM155" s="3">
        <v>45987</v>
      </c>
      <c r="AN155" s="2">
        <v>3.7549999999999999</v>
      </c>
      <c r="AO155" s="3">
        <v>45987</v>
      </c>
      <c r="AP155" s="2">
        <v>3.585</v>
      </c>
      <c r="AQ155" s="3">
        <v>45987</v>
      </c>
      <c r="AR155" s="2">
        <v>3.5325000000000002</v>
      </c>
      <c r="AS155" s="3">
        <v>45987</v>
      </c>
      <c r="AT155" s="2">
        <v>3.5325000000000002</v>
      </c>
      <c r="AU155" s="3">
        <v>45987</v>
      </c>
      <c r="AV155" s="2">
        <v>3.5449999999999999</v>
      </c>
      <c r="AW155" s="3">
        <v>45987</v>
      </c>
      <c r="AX155" s="2">
        <v>3.5625</v>
      </c>
      <c r="AY155" s="3">
        <v>45987</v>
      </c>
      <c r="AZ155" s="2">
        <v>3.5950000000000002</v>
      </c>
      <c r="BB155" s="3">
        <v>45974</v>
      </c>
      <c r="BC155" s="1">
        <v>3.5</v>
      </c>
      <c r="BD155" s="3">
        <v>45974</v>
      </c>
      <c r="BE155" s="1">
        <v>3.55</v>
      </c>
      <c r="BF155" s="3">
        <v>45987</v>
      </c>
      <c r="BG155" s="1">
        <v>3.57</v>
      </c>
      <c r="BH155" s="3">
        <v>45987</v>
      </c>
      <c r="BI155" s="1">
        <v>3.585</v>
      </c>
      <c r="BJ155" s="3">
        <v>45987</v>
      </c>
      <c r="BK155" s="1">
        <v>3.6</v>
      </c>
      <c r="BL155" s="3">
        <v>45987</v>
      </c>
      <c r="BM155" s="1">
        <v>3.6150000000000002</v>
      </c>
      <c r="BN155" s="3">
        <v>45987</v>
      </c>
      <c r="BO155" s="1">
        <v>3.63</v>
      </c>
      <c r="BP155" s="3">
        <v>45987</v>
      </c>
      <c r="BQ155" s="1">
        <v>3.6779999999999999</v>
      </c>
      <c r="BR155" s="3">
        <v>45987</v>
      </c>
      <c r="BS155" s="1">
        <v>3.73</v>
      </c>
      <c r="BT155" s="3">
        <v>45987</v>
      </c>
      <c r="BU155" s="1">
        <v>3.78</v>
      </c>
      <c r="BV155" s="3">
        <v>45987</v>
      </c>
      <c r="BW155" s="1">
        <v>3.823</v>
      </c>
      <c r="BY155" s="3">
        <v>45982</v>
      </c>
      <c r="BZ155" s="1">
        <v>6.5</v>
      </c>
      <c r="CA155" s="3">
        <v>45974</v>
      </c>
      <c r="CB155" s="1">
        <v>6.5</v>
      </c>
      <c r="CC155" s="3">
        <v>45987</v>
      </c>
      <c r="CD155" s="1">
        <v>6.4705000000000004</v>
      </c>
      <c r="CE155" s="3">
        <v>45987</v>
      </c>
      <c r="CF155" s="1">
        <v>6.4526000000000003</v>
      </c>
      <c r="CG155" s="3">
        <v>45987</v>
      </c>
      <c r="CH155" s="1">
        <v>6.3589000000000002</v>
      </c>
      <c r="CI155" s="3">
        <v>45987</v>
      </c>
      <c r="CJ155" s="1">
        <v>6.2655000000000003</v>
      </c>
      <c r="CK155" s="3">
        <v>45987</v>
      </c>
      <c r="CL155" s="1">
        <v>6.1231999999999998</v>
      </c>
      <c r="CM155" s="3">
        <v>45987</v>
      </c>
      <c r="CN155" s="1">
        <v>5.98</v>
      </c>
      <c r="CO155" s="3">
        <v>45985</v>
      </c>
      <c r="CP155" s="1">
        <v>5.94</v>
      </c>
      <c r="CQ155" s="3">
        <v>45985</v>
      </c>
      <c r="CR155" s="1">
        <v>5.93</v>
      </c>
      <c r="CS155" s="3">
        <v>45985</v>
      </c>
      <c r="CT155" s="1">
        <v>5.93</v>
      </c>
    </row>
    <row r="156" spans="31:98" x14ac:dyDescent="0.2">
      <c r="AE156" s="3">
        <v>45986</v>
      </c>
      <c r="AF156" s="1">
        <v>4.25</v>
      </c>
      <c r="AG156" s="3">
        <v>45973</v>
      </c>
      <c r="AH156" s="1">
        <v>4.28</v>
      </c>
      <c r="AI156" s="3">
        <v>45986</v>
      </c>
      <c r="AJ156" s="2">
        <v>4.04</v>
      </c>
      <c r="AK156" s="3">
        <v>45986</v>
      </c>
      <c r="AL156" s="2">
        <v>3.8525</v>
      </c>
      <c r="AM156" s="3">
        <v>45986</v>
      </c>
      <c r="AN156" s="2">
        <v>3.7174999999999998</v>
      </c>
      <c r="AO156" s="3">
        <v>45986</v>
      </c>
      <c r="AP156" s="2">
        <v>3.5375000000000001</v>
      </c>
      <c r="AQ156" s="3">
        <v>45986</v>
      </c>
      <c r="AR156" s="2">
        <v>3.48</v>
      </c>
      <c r="AS156" s="3">
        <v>45986</v>
      </c>
      <c r="AT156" s="2">
        <v>3.4624999999999999</v>
      </c>
      <c r="AU156" s="3">
        <v>45986</v>
      </c>
      <c r="AV156" s="2">
        <v>3.47</v>
      </c>
      <c r="AW156" s="3">
        <v>45986</v>
      </c>
      <c r="AX156" s="2">
        <v>3.4950000000000001</v>
      </c>
      <c r="AY156" s="3">
        <v>45986</v>
      </c>
      <c r="AZ156" s="2">
        <v>3.5325000000000002</v>
      </c>
      <c r="BB156" s="3">
        <v>45973</v>
      </c>
      <c r="BC156" s="1">
        <v>3.5</v>
      </c>
      <c r="BD156" s="3">
        <v>45973</v>
      </c>
      <c r="BE156" s="1">
        <v>3.55</v>
      </c>
      <c r="BF156" s="3">
        <v>45986</v>
      </c>
      <c r="BG156" s="1">
        <v>3.57</v>
      </c>
      <c r="BH156" s="3">
        <v>45986</v>
      </c>
      <c r="BI156" s="1">
        <v>3.5840000000000001</v>
      </c>
      <c r="BJ156" s="3">
        <v>45986</v>
      </c>
      <c r="BK156" s="1">
        <v>3.6</v>
      </c>
      <c r="BL156" s="3">
        <v>45986</v>
      </c>
      <c r="BM156" s="1">
        <v>3.613</v>
      </c>
      <c r="BN156" s="3">
        <v>45986</v>
      </c>
      <c r="BO156" s="1">
        <v>3.62</v>
      </c>
      <c r="BP156" s="3">
        <v>45986</v>
      </c>
      <c r="BQ156" s="1">
        <v>3.66</v>
      </c>
      <c r="BR156" s="3">
        <v>45986</v>
      </c>
      <c r="BS156" s="1">
        <v>3.7149999999999999</v>
      </c>
      <c r="BT156" s="3">
        <v>45986</v>
      </c>
      <c r="BU156" s="1">
        <v>3.758</v>
      </c>
      <c r="BV156" s="3">
        <v>45986</v>
      </c>
      <c r="BW156" s="1">
        <v>3.8029999999999999</v>
      </c>
      <c r="BY156" s="3">
        <v>45981</v>
      </c>
      <c r="BZ156" s="1">
        <v>6.5</v>
      </c>
      <c r="CA156" s="3">
        <v>45973</v>
      </c>
      <c r="CB156" s="1">
        <v>6.5</v>
      </c>
      <c r="CC156" s="3">
        <v>45986</v>
      </c>
      <c r="CD156" s="1">
        <v>6.47</v>
      </c>
      <c r="CE156" s="3">
        <v>45986</v>
      </c>
      <c r="CF156" s="1">
        <v>6.44</v>
      </c>
      <c r="CG156" s="3">
        <v>45986</v>
      </c>
      <c r="CH156" s="1">
        <v>6.36</v>
      </c>
      <c r="CI156" s="3">
        <v>45986</v>
      </c>
      <c r="CJ156" s="1">
        <v>6.26</v>
      </c>
      <c r="CK156" s="3">
        <v>45986</v>
      </c>
      <c r="CL156" s="1">
        <v>6.14</v>
      </c>
      <c r="CM156" s="3">
        <v>45986</v>
      </c>
      <c r="CN156" s="1">
        <v>6</v>
      </c>
      <c r="CO156" s="3">
        <v>45982</v>
      </c>
      <c r="CP156" s="1">
        <v>5.97</v>
      </c>
      <c r="CQ156" s="3">
        <v>45982</v>
      </c>
      <c r="CR156" s="1">
        <v>5.94</v>
      </c>
      <c r="CS156" s="3">
        <v>45982</v>
      </c>
      <c r="CT156" s="1">
        <v>5.94</v>
      </c>
    </row>
    <row r="157" spans="31:98" x14ac:dyDescent="0.2">
      <c r="AE157" s="3">
        <v>45985</v>
      </c>
      <c r="AF157" s="1">
        <v>4.25</v>
      </c>
      <c r="AG157" s="3">
        <v>45971</v>
      </c>
      <c r="AH157" s="1">
        <v>4.28</v>
      </c>
      <c r="AI157" s="3">
        <v>45985</v>
      </c>
      <c r="AJ157" s="2">
        <v>4.0250000000000004</v>
      </c>
      <c r="AK157" s="3">
        <v>45985</v>
      </c>
      <c r="AL157" s="2">
        <v>3.8574999999999999</v>
      </c>
      <c r="AM157" s="3">
        <v>45985</v>
      </c>
      <c r="AN157" s="2">
        <v>3.7324999999999999</v>
      </c>
      <c r="AO157" s="3">
        <v>45985</v>
      </c>
      <c r="AP157" s="2">
        <v>3.5724999999999998</v>
      </c>
      <c r="AQ157" s="3">
        <v>45985</v>
      </c>
      <c r="AR157" s="2">
        <v>3.5249999999999999</v>
      </c>
      <c r="AS157" s="3">
        <v>45985</v>
      </c>
      <c r="AT157" s="2">
        <v>3.52</v>
      </c>
      <c r="AU157" s="3">
        <v>45985</v>
      </c>
      <c r="AV157" s="2">
        <v>3.5350000000000001</v>
      </c>
      <c r="AW157" s="3">
        <v>45985</v>
      </c>
      <c r="AX157" s="2">
        <v>3.5649999999999999</v>
      </c>
      <c r="AY157" s="3">
        <v>45985</v>
      </c>
      <c r="AZ157" s="2">
        <v>3.605</v>
      </c>
      <c r="BB157" s="3">
        <v>45972</v>
      </c>
      <c r="BC157" s="1">
        <v>3.5</v>
      </c>
      <c r="BD157" s="3">
        <v>45972</v>
      </c>
      <c r="BE157" s="1">
        <v>3.55</v>
      </c>
      <c r="BF157" s="3">
        <v>45985</v>
      </c>
      <c r="BG157" s="1">
        <v>3.5750000000000002</v>
      </c>
      <c r="BH157" s="3">
        <v>45985</v>
      </c>
      <c r="BI157" s="1">
        <v>3.5880000000000001</v>
      </c>
      <c r="BJ157" s="3">
        <v>45985</v>
      </c>
      <c r="BK157" s="1">
        <v>3.6030000000000002</v>
      </c>
      <c r="BL157" s="3">
        <v>45985</v>
      </c>
      <c r="BM157" s="1">
        <v>3.6230000000000002</v>
      </c>
      <c r="BN157" s="3">
        <v>45985</v>
      </c>
      <c r="BO157" s="1">
        <v>3.64</v>
      </c>
      <c r="BP157" s="3">
        <v>45985</v>
      </c>
      <c r="BQ157" s="1">
        <v>3.7</v>
      </c>
      <c r="BR157" s="3">
        <v>45985</v>
      </c>
      <c r="BS157" s="1">
        <v>3.7549999999999999</v>
      </c>
      <c r="BT157" s="3">
        <v>45985</v>
      </c>
      <c r="BU157" s="1">
        <v>3.8050000000000002</v>
      </c>
      <c r="BV157" s="3">
        <v>45985</v>
      </c>
      <c r="BW157" s="1">
        <v>3.85</v>
      </c>
      <c r="BY157" s="3">
        <v>45980</v>
      </c>
      <c r="BZ157" s="1">
        <v>6.5</v>
      </c>
      <c r="CA157" s="3">
        <v>45972</v>
      </c>
      <c r="CB157" s="1">
        <v>6.5</v>
      </c>
      <c r="CC157" s="3">
        <v>45985</v>
      </c>
      <c r="CD157" s="1">
        <v>6.47</v>
      </c>
      <c r="CE157" s="3">
        <v>45985</v>
      </c>
      <c r="CF157" s="1">
        <v>6.44</v>
      </c>
      <c r="CG157" s="3">
        <v>45985</v>
      </c>
      <c r="CH157" s="1">
        <v>6.4</v>
      </c>
      <c r="CI157" s="3">
        <v>45985</v>
      </c>
      <c r="CJ157" s="1">
        <v>6.28</v>
      </c>
      <c r="CK157" s="3">
        <v>45985</v>
      </c>
      <c r="CL157" s="1">
        <v>6.15</v>
      </c>
      <c r="CM157" s="3">
        <v>45985</v>
      </c>
      <c r="CN157" s="1">
        <v>6.02</v>
      </c>
      <c r="CO157" s="3">
        <v>45981</v>
      </c>
      <c r="CP157" s="1">
        <v>6</v>
      </c>
      <c r="CQ157" s="3">
        <v>45981</v>
      </c>
      <c r="CR157" s="1">
        <v>5.96</v>
      </c>
      <c r="CS157" s="3">
        <v>45981</v>
      </c>
      <c r="CT157" s="1">
        <v>5.96</v>
      </c>
    </row>
    <row r="158" spans="31:98" x14ac:dyDescent="0.2">
      <c r="AE158" s="3">
        <v>45982</v>
      </c>
      <c r="AF158" s="1">
        <v>4.25</v>
      </c>
      <c r="AG158" s="3">
        <v>45968</v>
      </c>
      <c r="AH158" s="1">
        <v>4.3</v>
      </c>
      <c r="AI158" s="3">
        <v>45982</v>
      </c>
      <c r="AJ158" s="2">
        <v>4.08</v>
      </c>
      <c r="AK158" s="3">
        <v>45982</v>
      </c>
      <c r="AL158" s="2">
        <v>3.9449999999999998</v>
      </c>
      <c r="AM158" s="3">
        <v>45982</v>
      </c>
      <c r="AN158" s="2">
        <v>3.83</v>
      </c>
      <c r="AO158" s="3">
        <v>45982</v>
      </c>
      <c r="AP158" s="2">
        <v>3.6549999999999998</v>
      </c>
      <c r="AQ158" s="3">
        <v>45982</v>
      </c>
      <c r="AR158" s="2">
        <v>3.6150000000000002</v>
      </c>
      <c r="AS158" s="3">
        <v>45982</v>
      </c>
      <c r="AT158" s="2">
        <v>3.6175000000000002</v>
      </c>
      <c r="AU158" s="3">
        <v>45982</v>
      </c>
      <c r="AV158" s="2">
        <v>3.6375000000000002</v>
      </c>
      <c r="AW158" s="3">
        <v>45982</v>
      </c>
      <c r="AX158" s="2">
        <v>3.66</v>
      </c>
      <c r="AY158" s="3">
        <v>45982</v>
      </c>
      <c r="AZ158" s="2">
        <v>3.6924999999999999</v>
      </c>
      <c r="BB158" s="3">
        <v>45971</v>
      </c>
      <c r="BC158" s="1">
        <v>3.5</v>
      </c>
      <c r="BD158" s="3">
        <v>45971</v>
      </c>
      <c r="BE158" s="1">
        <v>3.55</v>
      </c>
      <c r="BF158" s="3">
        <v>45982</v>
      </c>
      <c r="BG158" s="1">
        <v>3.5750000000000002</v>
      </c>
      <c r="BH158" s="3">
        <v>45982</v>
      </c>
      <c r="BI158" s="1">
        <v>3.5880000000000001</v>
      </c>
      <c r="BJ158" s="3">
        <v>45982</v>
      </c>
      <c r="BK158" s="1">
        <v>3.6030000000000002</v>
      </c>
      <c r="BL158" s="3">
        <v>45982</v>
      </c>
      <c r="BM158" s="1">
        <v>3.613</v>
      </c>
      <c r="BN158" s="3">
        <v>45982</v>
      </c>
      <c r="BO158" s="1">
        <v>3.6349999999999998</v>
      </c>
      <c r="BP158" s="3">
        <v>45982</v>
      </c>
      <c r="BQ158" s="1">
        <v>3.6930000000000001</v>
      </c>
      <c r="BR158" s="3">
        <v>45982</v>
      </c>
      <c r="BS158" s="1">
        <v>3.75</v>
      </c>
      <c r="BT158" s="3">
        <v>45982</v>
      </c>
      <c r="BU158" s="1">
        <v>3.8029999999999999</v>
      </c>
      <c r="BV158" s="3">
        <v>45982</v>
      </c>
      <c r="BW158" s="1">
        <v>3.8479999999999999</v>
      </c>
      <c r="BY158" s="3">
        <v>45979</v>
      </c>
      <c r="BZ158" s="1">
        <v>6.5</v>
      </c>
      <c r="CA158" s="3">
        <v>45971</v>
      </c>
      <c r="CB158" s="1">
        <v>6.5</v>
      </c>
      <c r="CC158" s="3">
        <v>45982</v>
      </c>
      <c r="CD158" s="1">
        <v>6.4710000000000001</v>
      </c>
      <c r="CE158" s="3">
        <v>45982</v>
      </c>
      <c r="CF158" s="1">
        <v>6.4409999999999998</v>
      </c>
      <c r="CG158" s="3">
        <v>45982</v>
      </c>
      <c r="CH158" s="1">
        <v>6.41</v>
      </c>
      <c r="CI158" s="3">
        <v>45982</v>
      </c>
      <c r="CJ158" s="1">
        <v>6.29</v>
      </c>
      <c r="CK158" s="3">
        <v>45982</v>
      </c>
      <c r="CL158" s="1">
        <v>6.17</v>
      </c>
      <c r="CM158" s="3">
        <v>45982</v>
      </c>
      <c r="CN158" s="1">
        <v>6.04</v>
      </c>
      <c r="CO158" s="3">
        <v>45980</v>
      </c>
      <c r="CP158" s="1">
        <v>5.97</v>
      </c>
      <c r="CQ158" s="3">
        <v>45980</v>
      </c>
      <c r="CR158" s="1">
        <v>5.92</v>
      </c>
      <c r="CS158" s="3">
        <v>45980</v>
      </c>
      <c r="CT158" s="1">
        <v>5.92</v>
      </c>
    </row>
    <row r="159" spans="31:98" x14ac:dyDescent="0.2">
      <c r="AE159" s="3">
        <v>45981</v>
      </c>
      <c r="AF159" s="1">
        <v>4.25</v>
      </c>
      <c r="AG159" s="3">
        <v>45967</v>
      </c>
      <c r="AH159" s="1">
        <v>4.3</v>
      </c>
      <c r="AI159" s="3">
        <v>45981</v>
      </c>
      <c r="AJ159" s="2">
        <v>4.09</v>
      </c>
      <c r="AK159" s="3">
        <v>45981</v>
      </c>
      <c r="AL159" s="2">
        <v>3.96</v>
      </c>
      <c r="AM159" s="3">
        <v>45981</v>
      </c>
      <c r="AN159" s="2">
        <v>3.86</v>
      </c>
      <c r="AO159" s="3">
        <v>45981</v>
      </c>
      <c r="AP159" s="2">
        <v>3.69</v>
      </c>
      <c r="AQ159" s="3">
        <v>45981</v>
      </c>
      <c r="AR159" s="2">
        <v>3.6475</v>
      </c>
      <c r="AS159" s="3">
        <v>45981</v>
      </c>
      <c r="AT159" s="2">
        <v>3.6575000000000002</v>
      </c>
      <c r="AU159" s="3">
        <v>45981</v>
      </c>
      <c r="AV159" s="2">
        <v>3.6724999999999999</v>
      </c>
      <c r="AW159" s="3">
        <v>45981</v>
      </c>
      <c r="AX159" s="2">
        <v>3.6924999999999999</v>
      </c>
      <c r="AY159" s="3">
        <v>45981</v>
      </c>
      <c r="AZ159" s="2">
        <v>3.7250000000000001</v>
      </c>
      <c r="BB159" s="3">
        <v>45968</v>
      </c>
      <c r="BC159" s="1">
        <v>3.5</v>
      </c>
      <c r="BD159" s="3">
        <v>45968</v>
      </c>
      <c r="BE159" s="1">
        <v>3.55</v>
      </c>
      <c r="BF159" s="3">
        <v>45981</v>
      </c>
      <c r="BG159" s="1">
        <v>3.58</v>
      </c>
      <c r="BH159" s="3">
        <v>45981</v>
      </c>
      <c r="BI159" s="1">
        <v>3.59</v>
      </c>
      <c r="BJ159" s="3">
        <v>45981</v>
      </c>
      <c r="BK159" s="1">
        <v>3.613</v>
      </c>
      <c r="BL159" s="3">
        <v>45981</v>
      </c>
      <c r="BM159" s="1">
        <v>3.633</v>
      </c>
      <c r="BN159" s="3">
        <v>45981</v>
      </c>
      <c r="BO159" s="1">
        <v>3.6749999999999998</v>
      </c>
      <c r="BP159" s="3">
        <v>45981</v>
      </c>
      <c r="BQ159" s="1">
        <v>3.74</v>
      </c>
      <c r="BR159" s="3">
        <v>45981</v>
      </c>
      <c r="BS159" s="1">
        <v>3.798</v>
      </c>
      <c r="BT159" s="3">
        <v>45981</v>
      </c>
      <c r="BU159" s="1">
        <v>3.8479999999999999</v>
      </c>
      <c r="BV159" s="3">
        <v>45981</v>
      </c>
      <c r="BW159" s="1">
        <v>3.8929999999999998</v>
      </c>
      <c r="BY159" s="3">
        <v>45978</v>
      </c>
      <c r="BZ159" s="1">
        <v>6.5</v>
      </c>
      <c r="CA159" s="3">
        <v>45968</v>
      </c>
      <c r="CB159" s="1">
        <v>6.5</v>
      </c>
      <c r="CC159" s="3">
        <v>45981</v>
      </c>
      <c r="CD159" s="1">
        <v>6.49</v>
      </c>
      <c r="CE159" s="3">
        <v>45981</v>
      </c>
      <c r="CF159" s="1">
        <v>6.47</v>
      </c>
      <c r="CG159" s="3">
        <v>45981</v>
      </c>
      <c r="CH159" s="1">
        <v>6.45</v>
      </c>
      <c r="CI159" s="3">
        <v>45981</v>
      </c>
      <c r="CJ159" s="1">
        <v>6.3250000000000002</v>
      </c>
      <c r="CK159" s="3">
        <v>45981</v>
      </c>
      <c r="CL159" s="1">
        <v>6.19</v>
      </c>
      <c r="CM159" s="3">
        <v>45981</v>
      </c>
      <c r="CN159" s="1">
        <v>6.07</v>
      </c>
      <c r="CO159" s="3">
        <v>45979</v>
      </c>
      <c r="CP159" s="1">
        <v>5.9649999999999999</v>
      </c>
      <c r="CQ159" s="3">
        <v>45979</v>
      </c>
      <c r="CR159" s="1">
        <v>5.9349999999999996</v>
      </c>
      <c r="CS159" s="3">
        <v>45979</v>
      </c>
      <c r="CT159" s="1">
        <v>5.9349999999999996</v>
      </c>
    </row>
    <row r="160" spans="31:98" x14ac:dyDescent="0.2">
      <c r="AE160" s="3">
        <v>45980</v>
      </c>
      <c r="AF160" s="1">
        <v>4.25</v>
      </c>
      <c r="AG160" s="3">
        <v>45966</v>
      </c>
      <c r="AH160" s="1">
        <v>4.37</v>
      </c>
      <c r="AI160" s="3">
        <v>45980</v>
      </c>
      <c r="AJ160" s="2">
        <v>4.1100000000000003</v>
      </c>
      <c r="AK160" s="3">
        <v>45980</v>
      </c>
      <c r="AL160" s="2">
        <v>3.98</v>
      </c>
      <c r="AM160" s="3">
        <v>45980</v>
      </c>
      <c r="AN160" s="2">
        <v>3.88</v>
      </c>
      <c r="AO160" s="3">
        <v>45980</v>
      </c>
      <c r="AP160" s="2">
        <v>3.7075</v>
      </c>
      <c r="AQ160" s="3">
        <v>45980</v>
      </c>
      <c r="AR160" s="2">
        <v>3.6675</v>
      </c>
      <c r="AS160" s="3">
        <v>45980</v>
      </c>
      <c r="AT160" s="2">
        <v>3.6749999999999998</v>
      </c>
      <c r="AU160" s="3">
        <v>45980</v>
      </c>
      <c r="AV160" s="2">
        <v>3.69</v>
      </c>
      <c r="AW160" s="3">
        <v>45980</v>
      </c>
      <c r="AX160" s="2">
        <v>3.71</v>
      </c>
      <c r="AY160" s="3">
        <v>45980</v>
      </c>
      <c r="AZ160" s="2">
        <v>3.74</v>
      </c>
      <c r="BB160" s="3">
        <v>45967</v>
      </c>
      <c r="BC160" s="1">
        <v>3.5</v>
      </c>
      <c r="BD160" s="3">
        <v>45967</v>
      </c>
      <c r="BE160" s="1">
        <v>3.54</v>
      </c>
      <c r="BF160" s="3">
        <v>45980</v>
      </c>
      <c r="BG160" s="1">
        <v>3.58</v>
      </c>
      <c r="BH160" s="3">
        <v>45980</v>
      </c>
      <c r="BI160" s="1">
        <v>3.5880000000000001</v>
      </c>
      <c r="BJ160" s="3">
        <v>45980</v>
      </c>
      <c r="BK160" s="1">
        <v>3.5950000000000002</v>
      </c>
      <c r="BL160" s="3">
        <v>45980</v>
      </c>
      <c r="BM160" s="1">
        <v>3.62</v>
      </c>
      <c r="BN160" s="3">
        <v>45980</v>
      </c>
      <c r="BO160" s="1">
        <v>3.6680000000000001</v>
      </c>
      <c r="BP160" s="3">
        <v>45980</v>
      </c>
      <c r="BQ160" s="1">
        <v>3.7330000000000001</v>
      </c>
      <c r="BR160" s="3">
        <v>45980</v>
      </c>
      <c r="BS160" s="1">
        <v>3.7949999999999999</v>
      </c>
      <c r="BT160" s="3">
        <v>45980</v>
      </c>
      <c r="BU160" s="1">
        <v>3.8530000000000002</v>
      </c>
      <c r="BV160" s="3">
        <v>45980</v>
      </c>
      <c r="BW160" s="1">
        <v>3.9129999999999998</v>
      </c>
      <c r="BY160" s="3">
        <v>45975</v>
      </c>
      <c r="BZ160" s="1">
        <v>6.5</v>
      </c>
      <c r="CA160" s="3">
        <v>45967</v>
      </c>
      <c r="CB160" s="1">
        <v>6.5</v>
      </c>
      <c r="CC160" s="3">
        <v>45980</v>
      </c>
      <c r="CD160" s="1">
        <v>6.4829999999999997</v>
      </c>
      <c r="CE160" s="3">
        <v>45980</v>
      </c>
      <c r="CF160" s="1">
        <v>6.4450000000000003</v>
      </c>
      <c r="CG160" s="3">
        <v>45980</v>
      </c>
      <c r="CH160" s="1">
        <v>6.415</v>
      </c>
      <c r="CI160" s="3">
        <v>45980</v>
      </c>
      <c r="CJ160" s="1">
        <v>6.29</v>
      </c>
      <c r="CK160" s="3">
        <v>45980</v>
      </c>
      <c r="CL160" s="1">
        <v>6.16</v>
      </c>
      <c r="CM160" s="3">
        <v>45980</v>
      </c>
      <c r="CN160" s="1">
        <v>6.04</v>
      </c>
      <c r="CO160" s="3">
        <v>45978</v>
      </c>
      <c r="CP160" s="1">
        <v>5.9450000000000003</v>
      </c>
      <c r="CQ160" s="3">
        <v>45978</v>
      </c>
      <c r="CR160" s="1">
        <v>5.915</v>
      </c>
      <c r="CS160" s="3">
        <v>45978</v>
      </c>
      <c r="CT160" s="1">
        <v>5.915</v>
      </c>
    </row>
    <row r="161" spans="31:98" x14ac:dyDescent="0.2">
      <c r="AE161" s="3">
        <v>45979</v>
      </c>
      <c r="AF161" s="1">
        <v>4.25</v>
      </c>
      <c r="AG161" s="3">
        <v>45965</v>
      </c>
      <c r="AH161" s="1">
        <v>4.38</v>
      </c>
      <c r="AI161" s="3">
        <v>45979</v>
      </c>
      <c r="AJ161" s="2">
        <v>4.0999999999999996</v>
      </c>
      <c r="AK161" s="3">
        <v>45979</v>
      </c>
      <c r="AL161" s="2">
        <v>3.97</v>
      </c>
      <c r="AM161" s="3">
        <v>45979</v>
      </c>
      <c r="AN161" s="2">
        <v>3.87</v>
      </c>
      <c r="AO161" s="3">
        <v>45979</v>
      </c>
      <c r="AP161" s="2">
        <v>3.6924999999999999</v>
      </c>
      <c r="AQ161" s="3">
        <v>45979</v>
      </c>
      <c r="AR161" s="2">
        <v>3.6549999999999998</v>
      </c>
      <c r="AS161" s="3">
        <v>45979</v>
      </c>
      <c r="AT161" s="2">
        <v>3.6625000000000001</v>
      </c>
      <c r="AU161" s="3">
        <v>45979</v>
      </c>
      <c r="AV161" s="2">
        <v>3.6775000000000002</v>
      </c>
      <c r="AW161" s="3">
        <v>45979</v>
      </c>
      <c r="AX161" s="2">
        <v>3.6949999999999998</v>
      </c>
      <c r="AY161" s="3">
        <v>45979</v>
      </c>
      <c r="AZ161" s="2">
        <v>3.72</v>
      </c>
      <c r="BB161" s="3">
        <v>45966</v>
      </c>
      <c r="BC161" s="1">
        <v>3.5</v>
      </c>
      <c r="BD161" s="3">
        <v>45966</v>
      </c>
      <c r="BE161" s="1">
        <v>3.54</v>
      </c>
      <c r="BF161" s="3">
        <v>45979</v>
      </c>
      <c r="BG161" s="1">
        <v>3.58</v>
      </c>
      <c r="BH161" s="3">
        <v>45979</v>
      </c>
      <c r="BI161" s="1">
        <v>3.5859999999999999</v>
      </c>
      <c r="BJ161" s="3">
        <v>45979</v>
      </c>
      <c r="BK161" s="1">
        <v>3.59</v>
      </c>
      <c r="BL161" s="3">
        <v>45979</v>
      </c>
      <c r="BM161" s="1">
        <v>3.6150000000000002</v>
      </c>
      <c r="BN161" s="3">
        <v>45979</v>
      </c>
      <c r="BO161" s="1">
        <v>3.67</v>
      </c>
      <c r="BP161" s="3">
        <v>45979</v>
      </c>
      <c r="BQ161" s="1">
        <v>3.7530000000000001</v>
      </c>
      <c r="BR161" s="3">
        <v>45979</v>
      </c>
      <c r="BS161" s="1">
        <v>3.82</v>
      </c>
      <c r="BT161" s="3">
        <v>45979</v>
      </c>
      <c r="BU161" s="1">
        <v>3.8849999999999998</v>
      </c>
      <c r="BV161" s="3">
        <v>45979</v>
      </c>
      <c r="BW161" s="1">
        <v>3.9430000000000001</v>
      </c>
      <c r="BY161" s="3">
        <v>45974</v>
      </c>
      <c r="BZ161" s="1">
        <v>6.5</v>
      </c>
      <c r="CA161" s="3">
        <v>45966</v>
      </c>
      <c r="CB161" s="1">
        <v>6.5</v>
      </c>
      <c r="CC161" s="3">
        <v>45979</v>
      </c>
      <c r="CD161" s="1">
        <v>6.4619999999999997</v>
      </c>
      <c r="CE161" s="3">
        <v>45979</v>
      </c>
      <c r="CF161" s="1">
        <v>6.4290000000000003</v>
      </c>
      <c r="CG161" s="3">
        <v>45979</v>
      </c>
      <c r="CH161" s="1">
        <v>6.4</v>
      </c>
      <c r="CI161" s="3">
        <v>45979</v>
      </c>
      <c r="CJ161" s="1">
        <v>6.3</v>
      </c>
      <c r="CK161" s="3">
        <v>45979</v>
      </c>
      <c r="CL161" s="1">
        <v>6.16</v>
      </c>
      <c r="CM161" s="3">
        <v>45979</v>
      </c>
      <c r="CN161" s="1">
        <v>6.03</v>
      </c>
      <c r="CO161" s="3">
        <v>45975</v>
      </c>
      <c r="CP161" s="1">
        <v>5.9050000000000002</v>
      </c>
      <c r="CQ161" s="3">
        <v>45975</v>
      </c>
      <c r="CR161" s="1">
        <v>5.86</v>
      </c>
      <c r="CS161" s="3">
        <v>45975</v>
      </c>
      <c r="CT161" s="1">
        <v>5.86</v>
      </c>
    </row>
    <row r="162" spans="31:98" x14ac:dyDescent="0.2">
      <c r="AE162" s="3">
        <v>45978</v>
      </c>
      <c r="AF162" s="1">
        <v>4.25</v>
      </c>
      <c r="AG162" s="3">
        <v>45964</v>
      </c>
      <c r="AH162" s="1">
        <v>4.41</v>
      </c>
      <c r="AI162" s="3">
        <v>45978</v>
      </c>
      <c r="AJ162" s="2">
        <v>4.1275000000000004</v>
      </c>
      <c r="AK162" s="3">
        <v>45978</v>
      </c>
      <c r="AL162" s="2">
        <v>3.9950000000000001</v>
      </c>
      <c r="AM162" s="3">
        <v>45978</v>
      </c>
      <c r="AN162" s="2">
        <v>3.8925000000000001</v>
      </c>
      <c r="AO162" s="3">
        <v>45978</v>
      </c>
      <c r="AP162" s="2">
        <v>3.7075</v>
      </c>
      <c r="AQ162" s="3">
        <v>45978</v>
      </c>
      <c r="AR162" s="2">
        <v>3.665</v>
      </c>
      <c r="AS162" s="3">
        <v>45978</v>
      </c>
      <c r="AT162" s="2">
        <v>3.6749999999999998</v>
      </c>
      <c r="AU162" s="3">
        <v>45978</v>
      </c>
      <c r="AV162" s="2">
        <v>3.69</v>
      </c>
      <c r="AW162" s="3">
        <v>45978</v>
      </c>
      <c r="AX162" s="2">
        <v>3.7075</v>
      </c>
      <c r="AY162" s="3">
        <v>45978</v>
      </c>
      <c r="AZ162" s="2">
        <v>3.73</v>
      </c>
      <c r="BB162" s="3">
        <v>45965</v>
      </c>
      <c r="BC162" s="1">
        <v>3.5</v>
      </c>
      <c r="BD162" s="3">
        <v>45965</v>
      </c>
      <c r="BE162" s="1">
        <v>3.54</v>
      </c>
      <c r="BF162" s="3">
        <v>45978</v>
      </c>
      <c r="BG162" s="1">
        <v>3.58</v>
      </c>
      <c r="BH162" s="3">
        <v>45978</v>
      </c>
      <c r="BI162" s="1">
        <v>3.581</v>
      </c>
      <c r="BJ162" s="3">
        <v>45978</v>
      </c>
      <c r="BK162" s="1">
        <v>3.5880000000000001</v>
      </c>
      <c r="BL162" s="3">
        <v>45978</v>
      </c>
      <c r="BM162" s="1">
        <v>3.605</v>
      </c>
      <c r="BN162" s="3">
        <v>45978</v>
      </c>
      <c r="BO162" s="1">
        <v>3.67</v>
      </c>
      <c r="BP162" s="3">
        <v>45978</v>
      </c>
      <c r="BQ162" s="1">
        <v>3.76</v>
      </c>
      <c r="BR162" s="3">
        <v>45978</v>
      </c>
      <c r="BS162" s="1">
        <v>3.83</v>
      </c>
      <c r="BT162" s="3">
        <v>45978</v>
      </c>
      <c r="BU162" s="1">
        <v>3.89</v>
      </c>
      <c r="BV162" s="3">
        <v>45978</v>
      </c>
      <c r="BW162" s="1">
        <v>3.9430000000000001</v>
      </c>
      <c r="BY162" s="3">
        <v>45973</v>
      </c>
      <c r="BZ162" s="1">
        <v>6.5</v>
      </c>
      <c r="CA162" s="3">
        <v>45965</v>
      </c>
      <c r="CB162" s="1">
        <v>6.5</v>
      </c>
      <c r="CC162" s="3">
        <v>45978</v>
      </c>
      <c r="CD162" s="1">
        <v>6.4589999999999996</v>
      </c>
      <c r="CE162" s="3">
        <v>45978</v>
      </c>
      <c r="CF162" s="1">
        <v>6.4290000000000003</v>
      </c>
      <c r="CG162" s="3">
        <v>45978</v>
      </c>
      <c r="CH162" s="1">
        <v>6.4</v>
      </c>
      <c r="CI162" s="3">
        <v>45978</v>
      </c>
      <c r="CJ162" s="1">
        <v>6.29</v>
      </c>
      <c r="CK162" s="3">
        <v>45978</v>
      </c>
      <c r="CL162" s="1">
        <v>6.14</v>
      </c>
      <c r="CM162" s="3">
        <v>45978</v>
      </c>
      <c r="CN162" s="1">
        <v>6</v>
      </c>
      <c r="CO162" s="3">
        <v>45974</v>
      </c>
      <c r="CP162" s="1">
        <v>5.8849999999999998</v>
      </c>
      <c r="CQ162" s="3">
        <v>45974</v>
      </c>
      <c r="CR162" s="1">
        <v>5.84</v>
      </c>
      <c r="CS162" s="3">
        <v>45974</v>
      </c>
      <c r="CT162" s="1">
        <v>5.84</v>
      </c>
    </row>
    <row r="163" spans="31:98" x14ac:dyDescent="0.2">
      <c r="AE163" s="3">
        <v>45975</v>
      </c>
      <c r="AF163" s="1">
        <v>4.25</v>
      </c>
      <c r="AG163" s="3">
        <v>45961</v>
      </c>
      <c r="AH163" s="1">
        <v>4.46</v>
      </c>
      <c r="AI163" s="3">
        <v>45975</v>
      </c>
      <c r="AJ163" s="2">
        <v>4.1325000000000003</v>
      </c>
      <c r="AK163" s="3">
        <v>45975</v>
      </c>
      <c r="AL163" s="2">
        <v>4.0025000000000004</v>
      </c>
      <c r="AM163" s="3">
        <v>45975</v>
      </c>
      <c r="AN163" s="2">
        <v>3.9049999999999998</v>
      </c>
      <c r="AO163" s="3">
        <v>45975</v>
      </c>
      <c r="AP163" s="2">
        <v>3.7025000000000001</v>
      </c>
      <c r="AQ163" s="3">
        <v>45975</v>
      </c>
      <c r="AR163" s="2">
        <v>3.665</v>
      </c>
      <c r="AS163" s="3">
        <v>45975</v>
      </c>
      <c r="AT163" s="2">
        <v>3.6749999999999998</v>
      </c>
      <c r="AU163" s="3">
        <v>45975</v>
      </c>
      <c r="AV163" s="2">
        <v>3.6924999999999999</v>
      </c>
      <c r="AW163" s="3">
        <v>45975</v>
      </c>
      <c r="AX163" s="2">
        <v>3.7124999999999999</v>
      </c>
      <c r="AY163" s="3">
        <v>45975</v>
      </c>
      <c r="AZ163" s="2">
        <v>3.7349999999999999</v>
      </c>
      <c r="BB163" s="3">
        <v>45964</v>
      </c>
      <c r="BC163" s="1">
        <v>3.5</v>
      </c>
      <c r="BD163" s="3">
        <v>45964</v>
      </c>
      <c r="BE163" s="1">
        <v>3.54</v>
      </c>
      <c r="BF163" s="3">
        <v>45975</v>
      </c>
      <c r="BG163" s="1">
        <v>3.58</v>
      </c>
      <c r="BH163" s="3">
        <v>45975</v>
      </c>
      <c r="BI163" s="1">
        <v>3.581</v>
      </c>
      <c r="BJ163" s="3">
        <v>45975</v>
      </c>
      <c r="BK163" s="1">
        <v>3.5880000000000001</v>
      </c>
      <c r="BL163" s="3">
        <v>45975</v>
      </c>
      <c r="BM163" s="1">
        <v>3.605</v>
      </c>
      <c r="BN163" s="3">
        <v>45975</v>
      </c>
      <c r="BO163" s="1">
        <v>3.67</v>
      </c>
      <c r="BP163" s="3">
        <v>45975</v>
      </c>
      <c r="BQ163" s="1">
        <v>3.76</v>
      </c>
      <c r="BR163" s="3">
        <v>45975</v>
      </c>
      <c r="BS163" s="1">
        <v>3.83</v>
      </c>
      <c r="BT163" s="3">
        <v>45975</v>
      </c>
      <c r="BU163" s="1">
        <v>3.89</v>
      </c>
      <c r="BV163" s="3">
        <v>45975</v>
      </c>
      <c r="BW163" s="1">
        <v>3.9430000000000001</v>
      </c>
      <c r="BY163" s="3">
        <v>45972</v>
      </c>
      <c r="BZ163" s="1">
        <v>6.5</v>
      </c>
      <c r="CA163" s="3">
        <v>45964</v>
      </c>
      <c r="CB163" s="1">
        <v>6.5</v>
      </c>
      <c r="CC163" s="3">
        <v>45975</v>
      </c>
      <c r="CD163" s="1">
        <v>6.4770000000000003</v>
      </c>
      <c r="CE163" s="3">
        <v>45975</v>
      </c>
      <c r="CF163" s="1">
        <v>6.4329999999999998</v>
      </c>
      <c r="CG163" s="3">
        <v>45975</v>
      </c>
      <c r="CH163" s="1">
        <v>6.39</v>
      </c>
      <c r="CI163" s="3">
        <v>45975</v>
      </c>
      <c r="CJ163" s="1">
        <v>6.26</v>
      </c>
      <c r="CK163" s="3">
        <v>45975</v>
      </c>
      <c r="CL163" s="1">
        <v>6.1</v>
      </c>
      <c r="CM163" s="3">
        <v>45975</v>
      </c>
      <c r="CN163" s="1">
        <v>5.9550000000000001</v>
      </c>
      <c r="CO163" s="3">
        <v>45973</v>
      </c>
      <c r="CP163" s="1">
        <v>5.875</v>
      </c>
      <c r="CQ163" s="3">
        <v>45973</v>
      </c>
      <c r="CR163" s="1">
        <v>5.83</v>
      </c>
      <c r="CS163" s="3">
        <v>45973</v>
      </c>
      <c r="CT163" s="1">
        <v>5.83</v>
      </c>
    </row>
    <row r="164" spans="31:98" x14ac:dyDescent="0.2">
      <c r="AE164" s="3">
        <v>45974</v>
      </c>
      <c r="AF164" s="1">
        <v>4.25</v>
      </c>
      <c r="AG164" s="3">
        <v>45960</v>
      </c>
      <c r="AH164" s="1">
        <v>4.4800000000000004</v>
      </c>
      <c r="AI164" s="3">
        <v>45974</v>
      </c>
      <c r="AJ164" s="2">
        <v>4.1349999999999998</v>
      </c>
      <c r="AK164" s="3">
        <v>45974</v>
      </c>
      <c r="AL164" s="2">
        <v>4.0075000000000003</v>
      </c>
      <c r="AM164" s="3">
        <v>45974</v>
      </c>
      <c r="AN164" s="2">
        <v>3.9049999999999998</v>
      </c>
      <c r="AO164" s="3">
        <v>45974</v>
      </c>
      <c r="AP164" s="2">
        <v>3.7</v>
      </c>
      <c r="AQ164" s="3">
        <v>45974</v>
      </c>
      <c r="AR164" s="2">
        <v>3.66</v>
      </c>
      <c r="AS164" s="3">
        <v>45974</v>
      </c>
      <c r="AT164" s="2">
        <v>3.6724999999999999</v>
      </c>
      <c r="AU164" s="3">
        <v>45974</v>
      </c>
      <c r="AV164" s="2">
        <v>3.69</v>
      </c>
      <c r="AW164" s="3">
        <v>45974</v>
      </c>
      <c r="AX164" s="2">
        <v>3.7075</v>
      </c>
      <c r="AY164" s="3">
        <v>45974</v>
      </c>
      <c r="AZ164" s="2">
        <v>3.73</v>
      </c>
      <c r="BB164" s="3">
        <v>45961</v>
      </c>
      <c r="BC164" s="1">
        <v>3.5</v>
      </c>
      <c r="BD164" s="3">
        <v>45961</v>
      </c>
      <c r="BE164" s="1">
        <v>3.54</v>
      </c>
      <c r="BF164" s="3">
        <v>45974</v>
      </c>
      <c r="BG164" s="1">
        <v>3.5750000000000002</v>
      </c>
      <c r="BH164" s="3">
        <v>45974</v>
      </c>
      <c r="BI164" s="1">
        <v>3.5750000000000002</v>
      </c>
      <c r="BJ164" s="3">
        <v>45974</v>
      </c>
      <c r="BK164" s="1">
        <v>3.5750000000000002</v>
      </c>
      <c r="BL164" s="3">
        <v>45974</v>
      </c>
      <c r="BM164" s="1">
        <v>3.573</v>
      </c>
      <c r="BN164" s="3">
        <v>45974</v>
      </c>
      <c r="BO164" s="1">
        <v>3.6280000000000001</v>
      </c>
      <c r="BP164" s="3">
        <v>45974</v>
      </c>
      <c r="BQ164" s="1">
        <v>3.7029999999999998</v>
      </c>
      <c r="BR164" s="3">
        <v>45974</v>
      </c>
      <c r="BS164" s="1">
        <v>3.7679999999999998</v>
      </c>
      <c r="BT164" s="3">
        <v>45974</v>
      </c>
      <c r="BU164" s="1">
        <v>3.8250000000000002</v>
      </c>
      <c r="BV164" s="3">
        <v>45974</v>
      </c>
      <c r="BW164" s="1">
        <v>3.875</v>
      </c>
      <c r="BY164" s="3">
        <v>45971</v>
      </c>
      <c r="BZ164" s="1">
        <v>6.5</v>
      </c>
      <c r="CA164" s="3">
        <v>45961</v>
      </c>
      <c r="CB164" s="1">
        <v>6.5</v>
      </c>
      <c r="CC164" s="3">
        <v>45974</v>
      </c>
      <c r="CD164" s="1">
        <v>6.47</v>
      </c>
      <c r="CE164" s="3">
        <v>45974</v>
      </c>
      <c r="CF164" s="1">
        <v>6.4189999999999996</v>
      </c>
      <c r="CG164" s="3">
        <v>45974</v>
      </c>
      <c r="CH164" s="1">
        <v>6.38</v>
      </c>
      <c r="CI164" s="3">
        <v>45974</v>
      </c>
      <c r="CJ164" s="1">
        <v>6.24</v>
      </c>
      <c r="CK164" s="3">
        <v>45974</v>
      </c>
      <c r="CL164" s="1">
        <v>6.08</v>
      </c>
      <c r="CM164" s="3">
        <v>45974</v>
      </c>
      <c r="CN164" s="1">
        <v>5.9349999999999996</v>
      </c>
      <c r="CO164" s="3">
        <v>45972</v>
      </c>
      <c r="CP164" s="1">
        <v>5.84</v>
      </c>
      <c r="CQ164" s="3">
        <v>45972</v>
      </c>
      <c r="CR164" s="1">
        <v>5.7850000000000001</v>
      </c>
      <c r="CS164" s="3">
        <v>45972</v>
      </c>
      <c r="CT164" s="1">
        <v>5.7850000000000001</v>
      </c>
    </row>
    <row r="165" spans="31:98" x14ac:dyDescent="0.2">
      <c r="AE165" s="3">
        <v>45973</v>
      </c>
      <c r="AF165" s="1">
        <v>4.25</v>
      </c>
      <c r="AG165" s="3">
        <v>45959</v>
      </c>
      <c r="AH165" s="1">
        <v>4.49</v>
      </c>
      <c r="AI165" s="3">
        <v>45973</v>
      </c>
      <c r="AJ165" s="2">
        <v>4.1475</v>
      </c>
      <c r="AK165" s="3">
        <v>45973</v>
      </c>
      <c r="AL165" s="2">
        <v>4.0525000000000002</v>
      </c>
      <c r="AM165" s="3">
        <v>45973</v>
      </c>
      <c r="AN165" s="2">
        <v>3.9350000000000001</v>
      </c>
      <c r="AO165" s="3">
        <v>45973</v>
      </c>
      <c r="AP165" s="2">
        <v>3.73</v>
      </c>
      <c r="AQ165" s="3">
        <v>45973</v>
      </c>
      <c r="AR165" s="2">
        <v>3.6924999999999999</v>
      </c>
      <c r="AS165" s="3">
        <v>45973</v>
      </c>
      <c r="AT165" s="2">
        <v>3.7025000000000001</v>
      </c>
      <c r="AU165" s="3">
        <v>45973</v>
      </c>
      <c r="AV165" s="2">
        <v>3.7174999999999998</v>
      </c>
      <c r="AW165" s="3">
        <v>45973</v>
      </c>
      <c r="AX165" s="2">
        <v>3.7349999999999999</v>
      </c>
      <c r="AY165" s="3">
        <v>45973</v>
      </c>
      <c r="AZ165" s="2">
        <v>3.7524999999999999</v>
      </c>
      <c r="BB165" s="3">
        <v>45960</v>
      </c>
      <c r="BC165" s="1">
        <v>3.5</v>
      </c>
      <c r="BD165" s="3">
        <v>45960</v>
      </c>
      <c r="BE165" s="1">
        <v>3.53</v>
      </c>
      <c r="BF165" s="3">
        <v>45973</v>
      </c>
      <c r="BG165" s="1">
        <v>3.5750000000000002</v>
      </c>
      <c r="BH165" s="3">
        <v>45973</v>
      </c>
      <c r="BI165" s="1">
        <v>3.5750000000000002</v>
      </c>
      <c r="BJ165" s="3">
        <v>45973</v>
      </c>
      <c r="BK165" s="1">
        <v>3.5750000000000002</v>
      </c>
      <c r="BL165" s="3">
        <v>45973</v>
      </c>
      <c r="BM165" s="1">
        <v>3.58</v>
      </c>
      <c r="BN165" s="3">
        <v>45973</v>
      </c>
      <c r="BO165" s="1">
        <v>3.6349999999999998</v>
      </c>
      <c r="BP165" s="3">
        <v>45973</v>
      </c>
      <c r="BQ165" s="1">
        <v>3.7130000000000001</v>
      </c>
      <c r="BR165" s="3">
        <v>45973</v>
      </c>
      <c r="BS165" s="1">
        <v>3.7749999999999999</v>
      </c>
      <c r="BT165" s="3">
        <v>45973</v>
      </c>
      <c r="BU165" s="1">
        <v>3.835</v>
      </c>
      <c r="BV165" s="3">
        <v>45973</v>
      </c>
      <c r="BW165" s="1">
        <v>3.8849999999999998</v>
      </c>
      <c r="BY165" s="3">
        <v>45968</v>
      </c>
      <c r="BZ165" s="1">
        <v>6.5</v>
      </c>
      <c r="CA165" s="3">
        <v>45960</v>
      </c>
      <c r="CB165" s="1">
        <v>6.5</v>
      </c>
      <c r="CC165" s="3">
        <v>45973</v>
      </c>
      <c r="CD165" s="1">
        <v>6.47</v>
      </c>
      <c r="CE165" s="3">
        <v>45973</v>
      </c>
      <c r="CF165" s="1">
        <v>6.4249999999999998</v>
      </c>
      <c r="CG165" s="3">
        <v>45973</v>
      </c>
      <c r="CH165" s="1">
        <v>6.38</v>
      </c>
      <c r="CI165" s="3">
        <v>45973</v>
      </c>
      <c r="CJ165" s="1">
        <v>6.24</v>
      </c>
      <c r="CK165" s="3">
        <v>45973</v>
      </c>
      <c r="CL165" s="1">
        <v>6.08</v>
      </c>
      <c r="CM165" s="3">
        <v>45973</v>
      </c>
      <c r="CN165" s="1">
        <v>5.9349999999999996</v>
      </c>
      <c r="CO165" s="3">
        <v>45971</v>
      </c>
      <c r="CP165" s="1">
        <v>5.8049999999999997</v>
      </c>
      <c r="CQ165" s="3">
        <v>45971</v>
      </c>
      <c r="CR165" s="1">
        <v>5.75</v>
      </c>
      <c r="CS165" s="3">
        <v>45971</v>
      </c>
      <c r="CT165" s="1">
        <v>5.75</v>
      </c>
    </row>
    <row r="166" spans="31:98" x14ac:dyDescent="0.2">
      <c r="AE166" s="3">
        <v>45972</v>
      </c>
      <c r="AF166" s="1">
        <v>4.25</v>
      </c>
      <c r="AG166" s="3">
        <v>45958</v>
      </c>
      <c r="AH166" s="1">
        <v>4.49</v>
      </c>
      <c r="AI166" s="3">
        <v>45972</v>
      </c>
      <c r="AJ166" s="2">
        <v>4.16</v>
      </c>
      <c r="AK166" s="3">
        <v>45972</v>
      </c>
      <c r="AL166" s="2">
        <v>4.07</v>
      </c>
      <c r="AM166" s="3">
        <v>45972</v>
      </c>
      <c r="AN166" s="2">
        <v>3.95</v>
      </c>
      <c r="AO166" s="3">
        <v>45972</v>
      </c>
      <c r="AP166" s="2">
        <v>3.7475000000000001</v>
      </c>
      <c r="AQ166" s="3">
        <v>45972</v>
      </c>
      <c r="AR166" s="2">
        <v>3.7075</v>
      </c>
      <c r="AS166" s="3">
        <v>45972</v>
      </c>
      <c r="AT166" s="2">
        <v>3.72</v>
      </c>
      <c r="AU166" s="3">
        <v>45972</v>
      </c>
      <c r="AV166" s="2">
        <v>3.7374999999999998</v>
      </c>
      <c r="AW166" s="3">
        <v>45972</v>
      </c>
      <c r="AX166" s="2">
        <v>3.7549999999999999</v>
      </c>
      <c r="AY166" s="3">
        <v>45972</v>
      </c>
      <c r="AZ166" s="2">
        <v>3.7749999999999999</v>
      </c>
      <c r="BB166" s="3">
        <v>45959</v>
      </c>
      <c r="BC166" s="1">
        <v>3.5</v>
      </c>
      <c r="BD166" s="3">
        <v>45959</v>
      </c>
      <c r="BE166" s="1">
        <v>3.53</v>
      </c>
      <c r="BF166" s="3">
        <v>45972</v>
      </c>
      <c r="BG166" s="1">
        <v>3.57</v>
      </c>
      <c r="BH166" s="3">
        <v>45972</v>
      </c>
      <c r="BI166" s="1">
        <v>3.5710000000000002</v>
      </c>
      <c r="BJ166" s="3">
        <v>45972</v>
      </c>
      <c r="BK166" s="1">
        <v>3.5750000000000002</v>
      </c>
      <c r="BL166" s="3">
        <v>45972</v>
      </c>
      <c r="BM166" s="1">
        <v>3.5750000000000002</v>
      </c>
      <c r="BN166" s="3">
        <v>45972</v>
      </c>
      <c r="BO166" s="1">
        <v>3.63</v>
      </c>
      <c r="BP166" s="3">
        <v>45972</v>
      </c>
      <c r="BQ166" s="1">
        <v>3.6930000000000001</v>
      </c>
      <c r="BR166" s="3">
        <v>45972</v>
      </c>
      <c r="BS166" s="1">
        <v>3.7530000000000001</v>
      </c>
      <c r="BT166" s="3">
        <v>45972</v>
      </c>
      <c r="BU166" s="1">
        <v>3.81</v>
      </c>
      <c r="BV166" s="3">
        <v>45972</v>
      </c>
      <c r="BW166" s="1">
        <v>3.855</v>
      </c>
      <c r="BY166" s="3">
        <v>45967</v>
      </c>
      <c r="BZ166" s="1">
        <v>6.5</v>
      </c>
      <c r="CA166" s="3">
        <v>45959</v>
      </c>
      <c r="CB166" s="1">
        <v>6.5</v>
      </c>
      <c r="CC166" s="3">
        <v>45972</v>
      </c>
      <c r="CD166" s="1">
        <v>6.47</v>
      </c>
      <c r="CE166" s="3">
        <v>45972</v>
      </c>
      <c r="CF166" s="1">
        <v>6.42</v>
      </c>
      <c r="CG166" s="3">
        <v>45972</v>
      </c>
      <c r="CH166" s="1">
        <v>6.37</v>
      </c>
      <c r="CI166" s="3">
        <v>45972</v>
      </c>
      <c r="CJ166" s="1">
        <v>6.23</v>
      </c>
      <c r="CK166" s="3">
        <v>45972</v>
      </c>
      <c r="CL166" s="1">
        <v>6.06</v>
      </c>
      <c r="CM166" s="3">
        <v>45972</v>
      </c>
      <c r="CN166" s="1">
        <v>5.9</v>
      </c>
      <c r="CO166" s="3">
        <v>45968</v>
      </c>
      <c r="CP166" s="1">
        <v>5.89</v>
      </c>
      <c r="CQ166" s="3">
        <v>45968</v>
      </c>
      <c r="CR166" s="1">
        <v>5.835</v>
      </c>
      <c r="CS166" s="3">
        <v>45968</v>
      </c>
      <c r="CT166" s="1">
        <v>5.835</v>
      </c>
    </row>
    <row r="167" spans="31:98" x14ac:dyDescent="0.2">
      <c r="AE167" s="3">
        <v>45971</v>
      </c>
      <c r="AF167" s="1">
        <v>4.25</v>
      </c>
      <c r="AG167" s="3">
        <v>45957</v>
      </c>
      <c r="AH167" s="1">
        <v>4.49</v>
      </c>
      <c r="AI167" s="3">
        <v>45971</v>
      </c>
      <c r="AJ167" s="2">
        <v>4.16</v>
      </c>
      <c r="AK167" s="3">
        <v>45971</v>
      </c>
      <c r="AL167" s="2">
        <v>4.07</v>
      </c>
      <c r="AM167" s="3">
        <v>45971</v>
      </c>
      <c r="AN167" s="2">
        <v>3.95</v>
      </c>
      <c r="AO167" s="3">
        <v>45971</v>
      </c>
      <c r="AP167" s="2">
        <v>3.7475000000000001</v>
      </c>
      <c r="AQ167" s="3">
        <v>45971</v>
      </c>
      <c r="AR167" s="2">
        <v>3.7075</v>
      </c>
      <c r="AS167" s="3">
        <v>45971</v>
      </c>
      <c r="AT167" s="2">
        <v>3.72</v>
      </c>
      <c r="AU167" s="3">
        <v>45971</v>
      </c>
      <c r="AV167" s="2">
        <v>3.7374999999999998</v>
      </c>
      <c r="AW167" s="3">
        <v>45971</v>
      </c>
      <c r="AX167" s="2">
        <v>3.7549999999999999</v>
      </c>
      <c r="AY167" s="3">
        <v>45971</v>
      </c>
      <c r="AZ167" s="2">
        <v>3.7749999999999999</v>
      </c>
      <c r="BB167" s="3">
        <v>45957</v>
      </c>
      <c r="BC167" s="1">
        <v>3.5</v>
      </c>
      <c r="BD167" s="3">
        <v>45957</v>
      </c>
      <c r="BE167" s="1">
        <v>3.53</v>
      </c>
      <c r="BF167" s="3">
        <v>45971</v>
      </c>
      <c r="BG167" s="1">
        <v>3.57</v>
      </c>
      <c r="BH167" s="3">
        <v>45971</v>
      </c>
      <c r="BI167" s="1">
        <v>3.57</v>
      </c>
      <c r="BJ167" s="3">
        <v>45971</v>
      </c>
      <c r="BK167" s="1">
        <v>3.57</v>
      </c>
      <c r="BL167" s="3">
        <v>45971</v>
      </c>
      <c r="BM167" s="1">
        <v>3.5579999999999998</v>
      </c>
      <c r="BN167" s="3">
        <v>45971</v>
      </c>
      <c r="BO167" s="1">
        <v>3.6</v>
      </c>
      <c r="BP167" s="3">
        <v>45971</v>
      </c>
      <c r="BQ167" s="1">
        <v>3.665</v>
      </c>
      <c r="BR167" s="3">
        <v>45971</v>
      </c>
      <c r="BS167" s="1">
        <v>3.7149999999999999</v>
      </c>
      <c r="BT167" s="3">
        <v>45971</v>
      </c>
      <c r="BU167" s="1">
        <v>3.7650000000000001</v>
      </c>
      <c r="BV167" s="3">
        <v>45971</v>
      </c>
      <c r="BW167" s="1">
        <v>3.8050000000000002</v>
      </c>
      <c r="BY167" s="3">
        <v>45966</v>
      </c>
      <c r="BZ167" s="1">
        <v>6.5</v>
      </c>
      <c r="CA167" s="3">
        <v>45958</v>
      </c>
      <c r="CB167" s="1">
        <v>6.5</v>
      </c>
      <c r="CC167" s="3">
        <v>45971</v>
      </c>
      <c r="CD167" s="1">
        <v>6.48</v>
      </c>
      <c r="CE167" s="3">
        <v>45971</v>
      </c>
      <c r="CF167" s="1">
        <v>6.44</v>
      </c>
      <c r="CG167" s="3">
        <v>45971</v>
      </c>
      <c r="CH167" s="1">
        <v>6.38</v>
      </c>
      <c r="CI167" s="3">
        <v>45971</v>
      </c>
      <c r="CJ167" s="1">
        <v>6.22</v>
      </c>
      <c r="CK167" s="3">
        <v>45971</v>
      </c>
      <c r="CL167" s="1">
        <v>6.05</v>
      </c>
      <c r="CM167" s="3">
        <v>45971</v>
      </c>
      <c r="CN167" s="1">
        <v>5.88</v>
      </c>
      <c r="CO167" s="3">
        <v>45967</v>
      </c>
      <c r="CP167" s="1">
        <v>5.91</v>
      </c>
      <c r="CQ167" s="3">
        <v>45967</v>
      </c>
      <c r="CR167" s="1">
        <v>5.8550000000000004</v>
      </c>
      <c r="CS167" s="3">
        <v>45967</v>
      </c>
      <c r="CT167" s="1">
        <v>5.8550000000000004</v>
      </c>
    </row>
    <row r="168" spans="31:98" x14ac:dyDescent="0.2">
      <c r="AE168" s="3">
        <v>45968</v>
      </c>
      <c r="AF168" s="1">
        <v>4.25</v>
      </c>
      <c r="AG168" s="3">
        <v>45954</v>
      </c>
      <c r="AH168" s="1">
        <v>4.47</v>
      </c>
      <c r="AI168" s="3">
        <v>45968</v>
      </c>
      <c r="AJ168" s="2">
        <v>4.1749999999999998</v>
      </c>
      <c r="AK168" s="3">
        <v>45968</v>
      </c>
      <c r="AL168" s="2">
        <v>4.0824999999999996</v>
      </c>
      <c r="AM168" s="3">
        <v>45968</v>
      </c>
      <c r="AN168" s="2">
        <v>3.96</v>
      </c>
      <c r="AO168" s="3">
        <v>45968</v>
      </c>
      <c r="AP168" s="2">
        <v>3.7450000000000001</v>
      </c>
      <c r="AQ168" s="3">
        <v>45968</v>
      </c>
      <c r="AR168" s="2">
        <v>3.7</v>
      </c>
      <c r="AS168" s="3">
        <v>45968</v>
      </c>
      <c r="AT168" s="2">
        <v>3.7124999999999999</v>
      </c>
      <c r="AU168" s="3">
        <v>45968</v>
      </c>
      <c r="AV168" s="2">
        <v>3.7275</v>
      </c>
      <c r="AW168" s="3">
        <v>45968</v>
      </c>
      <c r="AX168" s="2">
        <v>3.7450000000000001</v>
      </c>
      <c r="AY168" s="3">
        <v>45968</v>
      </c>
      <c r="AZ168" s="2">
        <v>3.7650000000000001</v>
      </c>
      <c r="BB168" s="3">
        <v>45954</v>
      </c>
      <c r="BC168" s="1">
        <v>3.5</v>
      </c>
      <c r="BD168" s="3">
        <v>45954</v>
      </c>
      <c r="BE168" s="1">
        <v>3.52</v>
      </c>
      <c r="BF168" s="3">
        <v>45968</v>
      </c>
      <c r="BG168" s="1">
        <v>3.57</v>
      </c>
      <c r="BH168" s="3">
        <v>45968</v>
      </c>
      <c r="BI168" s="1">
        <v>3.57</v>
      </c>
      <c r="BJ168" s="3">
        <v>45968</v>
      </c>
      <c r="BK168" s="1">
        <v>3.5680000000000001</v>
      </c>
      <c r="BL168" s="3">
        <v>45968</v>
      </c>
      <c r="BM168" s="1">
        <v>3.5449999999999999</v>
      </c>
      <c r="BN168" s="3">
        <v>45968</v>
      </c>
      <c r="BO168" s="1">
        <v>3.5779999999999998</v>
      </c>
      <c r="BP168" s="3">
        <v>45968</v>
      </c>
      <c r="BQ168" s="1">
        <v>3.6379999999999999</v>
      </c>
      <c r="BR168" s="3">
        <v>45968</v>
      </c>
      <c r="BS168" s="1">
        <v>3.6880000000000002</v>
      </c>
      <c r="BT168" s="3">
        <v>45968</v>
      </c>
      <c r="BU168" s="1">
        <v>3.7349999999999999</v>
      </c>
      <c r="BV168" s="3">
        <v>45968</v>
      </c>
      <c r="BW168" s="1">
        <v>3.7730000000000001</v>
      </c>
      <c r="BY168" s="3">
        <v>45965</v>
      </c>
      <c r="BZ168" s="1">
        <v>6.5</v>
      </c>
      <c r="CA168" s="3">
        <v>45957</v>
      </c>
      <c r="CB168" s="1">
        <v>6.5</v>
      </c>
      <c r="CC168" s="3">
        <v>45968</v>
      </c>
      <c r="CD168" s="1">
        <v>6.4880000000000004</v>
      </c>
      <c r="CE168" s="3">
        <v>45968</v>
      </c>
      <c r="CF168" s="1">
        <v>6.4539999999999997</v>
      </c>
      <c r="CG168" s="3">
        <v>45968</v>
      </c>
      <c r="CH168" s="1">
        <v>6.39</v>
      </c>
      <c r="CI168" s="3">
        <v>45968</v>
      </c>
      <c r="CJ168" s="1">
        <v>6.23</v>
      </c>
      <c r="CK168" s="3">
        <v>45968</v>
      </c>
      <c r="CL168" s="1">
        <v>6.1</v>
      </c>
      <c r="CM168" s="3">
        <v>45968</v>
      </c>
      <c r="CN168" s="1">
        <v>5.9649999999999999</v>
      </c>
      <c r="CO168" s="3">
        <v>45966</v>
      </c>
      <c r="CP168" s="1">
        <v>5.9</v>
      </c>
      <c r="CQ168" s="3">
        <v>45966</v>
      </c>
      <c r="CR168" s="1">
        <v>5.8449999999999998</v>
      </c>
      <c r="CS168" s="3">
        <v>45966</v>
      </c>
      <c r="CT168" s="1">
        <v>5.8449999999999998</v>
      </c>
    </row>
    <row r="169" spans="31:98" x14ac:dyDescent="0.2">
      <c r="AE169" s="3">
        <v>45967</v>
      </c>
      <c r="AF169" s="1">
        <v>4.25</v>
      </c>
      <c r="AG169" s="3">
        <v>45953</v>
      </c>
      <c r="AH169" s="1">
        <v>4.49</v>
      </c>
      <c r="AI169" s="3">
        <v>45967</v>
      </c>
      <c r="AJ169" s="2">
        <v>4.1849999999999996</v>
      </c>
      <c r="AK169" s="3">
        <v>45967</v>
      </c>
      <c r="AL169" s="2">
        <v>4.0975000000000001</v>
      </c>
      <c r="AM169" s="3">
        <v>45967</v>
      </c>
      <c r="AN169" s="2">
        <v>3.9874999999999998</v>
      </c>
      <c r="AO169" s="3">
        <v>45967</v>
      </c>
      <c r="AP169" s="2">
        <v>3.77</v>
      </c>
      <c r="AQ169" s="3">
        <v>45967</v>
      </c>
      <c r="AR169" s="2">
        <v>3.73</v>
      </c>
      <c r="AS169" s="3">
        <v>45967</v>
      </c>
      <c r="AT169" s="2">
        <v>3.74</v>
      </c>
      <c r="AU169" s="3">
        <v>45967</v>
      </c>
      <c r="AV169" s="2">
        <v>3.7475000000000001</v>
      </c>
      <c r="AW169" s="3">
        <v>45967</v>
      </c>
      <c r="AX169" s="2">
        <v>3.7625000000000002</v>
      </c>
      <c r="AY169" s="3">
        <v>45967</v>
      </c>
      <c r="AZ169" s="2">
        <v>3.78</v>
      </c>
      <c r="BB169" s="3">
        <v>45953</v>
      </c>
      <c r="BC169" s="1">
        <v>3.5</v>
      </c>
      <c r="BD169" s="3">
        <v>45953</v>
      </c>
      <c r="BE169" s="1">
        <v>3.52</v>
      </c>
      <c r="BF169" s="3">
        <v>45967</v>
      </c>
      <c r="BG169" s="1">
        <v>3.5649999999999999</v>
      </c>
      <c r="BH169" s="3">
        <v>45967</v>
      </c>
      <c r="BI169" s="1">
        <v>3.5649999999999999</v>
      </c>
      <c r="BJ169" s="3">
        <v>45967</v>
      </c>
      <c r="BK169" s="1">
        <v>3.5630000000000002</v>
      </c>
      <c r="BL169" s="3">
        <v>45967</v>
      </c>
      <c r="BM169" s="1">
        <v>3.5529999999999999</v>
      </c>
      <c r="BN169" s="3">
        <v>45967</v>
      </c>
      <c r="BO169" s="1">
        <v>3.585</v>
      </c>
      <c r="BP169" s="3">
        <v>45967</v>
      </c>
      <c r="BQ169" s="1">
        <v>3.653</v>
      </c>
      <c r="BR169" s="3">
        <v>45967</v>
      </c>
      <c r="BS169" s="1">
        <v>3.698</v>
      </c>
      <c r="BT169" s="3">
        <v>45967</v>
      </c>
      <c r="BU169" s="1">
        <v>3.7429999999999999</v>
      </c>
      <c r="BV169" s="3">
        <v>45967</v>
      </c>
      <c r="BW169" s="1">
        <v>3.778</v>
      </c>
      <c r="BY169" s="3">
        <v>45964</v>
      </c>
      <c r="BZ169" s="1">
        <v>6.5</v>
      </c>
      <c r="CA169" s="3">
        <v>45952</v>
      </c>
      <c r="CB169" s="1">
        <v>6.5</v>
      </c>
      <c r="CC169" s="3">
        <v>45967</v>
      </c>
      <c r="CD169" s="1">
        <v>6.49</v>
      </c>
      <c r="CE169" s="3">
        <v>45967</v>
      </c>
      <c r="CF169" s="1">
        <v>6.46</v>
      </c>
      <c r="CG169" s="3">
        <v>45967</v>
      </c>
      <c r="CH169" s="1">
        <v>6.4</v>
      </c>
      <c r="CI169" s="3">
        <v>45967</v>
      </c>
      <c r="CJ169" s="1">
        <v>6.25</v>
      </c>
      <c r="CK169" s="3">
        <v>45967</v>
      </c>
      <c r="CL169" s="1">
        <v>6.12</v>
      </c>
      <c r="CM169" s="3">
        <v>45967</v>
      </c>
      <c r="CN169" s="1">
        <v>5.9850000000000003</v>
      </c>
      <c r="CO169" s="3">
        <v>45965</v>
      </c>
      <c r="CP169" s="1">
        <v>5.8849999999999998</v>
      </c>
      <c r="CQ169" s="3">
        <v>45965</v>
      </c>
      <c r="CR169" s="1">
        <v>5.8150000000000004</v>
      </c>
      <c r="CS169" s="3">
        <v>45965</v>
      </c>
      <c r="CT169" s="1">
        <v>5.8150000000000004</v>
      </c>
    </row>
    <row r="170" spans="31:98" x14ac:dyDescent="0.2">
      <c r="AE170" s="3">
        <v>45966</v>
      </c>
      <c r="AF170" s="1">
        <v>4.25</v>
      </c>
      <c r="AG170" s="3">
        <v>45952</v>
      </c>
      <c r="AH170" s="1">
        <v>4.49</v>
      </c>
      <c r="AI170" s="3">
        <v>45966</v>
      </c>
      <c r="AJ170" s="2">
        <v>4.2149999999999999</v>
      </c>
      <c r="AK170" s="3">
        <v>45966</v>
      </c>
      <c r="AL170" s="2">
        <v>4.125</v>
      </c>
      <c r="AM170" s="3">
        <v>45966</v>
      </c>
      <c r="AN170" s="2">
        <v>4.01</v>
      </c>
      <c r="AO170" s="3">
        <v>45966</v>
      </c>
      <c r="AP170" s="2">
        <v>3.7612999999999999</v>
      </c>
      <c r="AQ170" s="3">
        <v>45966</v>
      </c>
      <c r="AR170" s="2">
        <v>3.6749999999999998</v>
      </c>
      <c r="AS170" s="3">
        <v>45966</v>
      </c>
      <c r="AT170" s="2">
        <v>3.6749999999999998</v>
      </c>
      <c r="AU170" s="3">
        <v>45966</v>
      </c>
      <c r="AV170" s="2">
        <v>3.6825000000000001</v>
      </c>
      <c r="AW170" s="3">
        <v>45966</v>
      </c>
      <c r="AX170" s="2">
        <v>3.6974999999999998</v>
      </c>
      <c r="AY170" s="3">
        <v>45966</v>
      </c>
      <c r="AZ170" s="2">
        <v>3.7149999999999999</v>
      </c>
      <c r="BB170" s="3">
        <v>45952</v>
      </c>
      <c r="BC170" s="1">
        <v>3.5</v>
      </c>
      <c r="BD170" s="3">
        <v>45952</v>
      </c>
      <c r="BE170" s="1">
        <v>3.52</v>
      </c>
      <c r="BF170" s="3">
        <v>45966</v>
      </c>
      <c r="BG170" s="1">
        <v>3.5680000000000001</v>
      </c>
      <c r="BH170" s="3">
        <v>45966</v>
      </c>
      <c r="BI170" s="1">
        <v>3.5680000000000001</v>
      </c>
      <c r="BJ170" s="3">
        <v>45966</v>
      </c>
      <c r="BK170" s="1">
        <v>3.5680000000000001</v>
      </c>
      <c r="BL170" s="3">
        <v>45966</v>
      </c>
      <c r="BM170" s="1">
        <v>3.5649999999999999</v>
      </c>
      <c r="BN170" s="3">
        <v>45966</v>
      </c>
      <c r="BO170" s="1">
        <v>3.6</v>
      </c>
      <c r="BP170" s="3">
        <v>45966</v>
      </c>
      <c r="BQ170" s="1">
        <v>3.6629999999999998</v>
      </c>
      <c r="BR170" s="3">
        <v>45966</v>
      </c>
      <c r="BS170" s="1">
        <v>3.7130000000000001</v>
      </c>
      <c r="BT170" s="3">
        <v>45966</v>
      </c>
      <c r="BU170" s="1">
        <v>3.758</v>
      </c>
      <c r="BV170" s="3">
        <v>45966</v>
      </c>
      <c r="BW170" s="1">
        <v>3.7879999999999998</v>
      </c>
      <c r="BY170" s="3">
        <v>45961</v>
      </c>
      <c r="BZ170" s="1">
        <v>6.5</v>
      </c>
      <c r="CA170" s="3">
        <v>45951</v>
      </c>
      <c r="CB170" s="1">
        <v>6.5</v>
      </c>
      <c r="CC170" s="3">
        <v>45966</v>
      </c>
      <c r="CD170" s="1">
        <v>6.4889999999999999</v>
      </c>
      <c r="CE170" s="3">
        <v>45966</v>
      </c>
      <c r="CF170" s="1">
        <v>6.4580000000000002</v>
      </c>
      <c r="CG170" s="3">
        <v>45966</v>
      </c>
      <c r="CH170" s="1">
        <v>6.4</v>
      </c>
      <c r="CI170" s="3">
        <v>45966</v>
      </c>
      <c r="CJ170" s="1">
        <v>6.26</v>
      </c>
      <c r="CK170" s="3">
        <v>45966</v>
      </c>
      <c r="CL170" s="1">
        <v>6.13</v>
      </c>
      <c r="CM170" s="3">
        <v>45966</v>
      </c>
      <c r="CN170" s="1">
        <v>5.9749999999999996</v>
      </c>
      <c r="CO170" s="3">
        <v>45964</v>
      </c>
      <c r="CP170" s="1">
        <v>5.87</v>
      </c>
      <c r="CQ170" s="3">
        <v>45964</v>
      </c>
      <c r="CR170" s="1">
        <v>5.81</v>
      </c>
      <c r="CS170" s="3">
        <v>45964</v>
      </c>
      <c r="CT170" s="1">
        <v>5.81</v>
      </c>
    </row>
    <row r="171" spans="31:98" x14ac:dyDescent="0.2">
      <c r="AE171" s="3">
        <v>45965</v>
      </c>
      <c r="AF171" s="1">
        <v>4.5</v>
      </c>
      <c r="AG171" s="3">
        <v>45951</v>
      </c>
      <c r="AH171" s="1">
        <v>4.51</v>
      </c>
      <c r="AI171" s="3">
        <v>45965</v>
      </c>
      <c r="AJ171" s="2">
        <v>4.22</v>
      </c>
      <c r="AK171" s="3">
        <v>45965</v>
      </c>
      <c r="AL171" s="2">
        <v>4.1399999999999997</v>
      </c>
      <c r="AM171" s="3">
        <v>45965</v>
      </c>
      <c r="AN171" s="2">
        <v>4.0324999999999998</v>
      </c>
      <c r="AO171" s="3">
        <v>45965</v>
      </c>
      <c r="AP171" s="2">
        <v>3.7549999999999999</v>
      </c>
      <c r="AQ171" s="3">
        <v>45965</v>
      </c>
      <c r="AR171" s="2">
        <v>3.665</v>
      </c>
      <c r="AS171" s="3">
        <v>45965</v>
      </c>
      <c r="AT171" s="2">
        <v>3.665</v>
      </c>
      <c r="AU171" s="3">
        <v>45965</v>
      </c>
      <c r="AV171" s="2">
        <v>3.6724999999999999</v>
      </c>
      <c r="AW171" s="3">
        <v>45965</v>
      </c>
      <c r="AX171" s="2">
        <v>3.6850000000000001</v>
      </c>
      <c r="AY171" s="3">
        <v>45965</v>
      </c>
      <c r="AZ171" s="2">
        <v>3.7025000000000001</v>
      </c>
      <c r="BB171" s="3">
        <v>45951</v>
      </c>
      <c r="BC171" s="1">
        <v>3.5</v>
      </c>
      <c r="BD171" s="3">
        <v>45951</v>
      </c>
      <c r="BE171" s="1">
        <v>3.52</v>
      </c>
      <c r="BF171" s="3">
        <v>45965</v>
      </c>
      <c r="BG171" s="1">
        <v>3.5529999999999999</v>
      </c>
      <c r="BH171" s="3">
        <v>45965</v>
      </c>
      <c r="BI171" s="1">
        <v>3.544</v>
      </c>
      <c r="BJ171" s="3">
        <v>45965</v>
      </c>
      <c r="BK171" s="1">
        <v>3.5350000000000001</v>
      </c>
      <c r="BL171" s="3">
        <v>45965</v>
      </c>
      <c r="BM171" s="1">
        <v>3.5230000000000001</v>
      </c>
      <c r="BN171" s="3">
        <v>45965</v>
      </c>
      <c r="BO171" s="1">
        <v>3.5329999999999999</v>
      </c>
      <c r="BP171" s="3">
        <v>45965</v>
      </c>
      <c r="BQ171" s="1">
        <v>3.58</v>
      </c>
      <c r="BR171" s="3">
        <v>45965</v>
      </c>
      <c r="BS171" s="1">
        <v>3.63</v>
      </c>
      <c r="BT171" s="3">
        <v>45965</v>
      </c>
      <c r="BU171" s="1">
        <v>3.6629999999999998</v>
      </c>
      <c r="BV171" s="3">
        <v>45965</v>
      </c>
      <c r="BW171" s="1">
        <v>3.6949999999999998</v>
      </c>
      <c r="BY171" s="3">
        <v>45960</v>
      </c>
      <c r="BZ171" s="1">
        <v>6.5</v>
      </c>
      <c r="CA171" s="3">
        <v>45950</v>
      </c>
      <c r="CB171" s="1">
        <v>6.5</v>
      </c>
      <c r="CC171" s="3">
        <v>45965</v>
      </c>
      <c r="CD171" s="1">
        <v>6.49</v>
      </c>
      <c r="CE171" s="3">
        <v>45965</v>
      </c>
      <c r="CF171" s="1">
        <v>6.46</v>
      </c>
      <c r="CG171" s="3">
        <v>45965</v>
      </c>
      <c r="CH171" s="1">
        <v>6.4</v>
      </c>
      <c r="CI171" s="3">
        <v>45965</v>
      </c>
      <c r="CJ171" s="1">
        <v>6.24</v>
      </c>
      <c r="CK171" s="3">
        <v>45965</v>
      </c>
      <c r="CL171" s="1">
        <v>6.11</v>
      </c>
      <c r="CM171" s="3">
        <v>45965</v>
      </c>
      <c r="CN171" s="1">
        <v>5.9649999999999999</v>
      </c>
      <c r="CO171" s="3">
        <v>45961</v>
      </c>
      <c r="CP171" s="1">
        <v>5.8650000000000002</v>
      </c>
      <c r="CQ171" s="3">
        <v>45961</v>
      </c>
      <c r="CR171" s="1">
        <v>5.82</v>
      </c>
      <c r="CS171" s="3">
        <v>45961</v>
      </c>
      <c r="CT171" s="1">
        <v>5.82</v>
      </c>
    </row>
    <row r="172" spans="31:98" x14ac:dyDescent="0.2">
      <c r="AE172" s="3">
        <v>45964</v>
      </c>
      <c r="AF172" s="1">
        <v>4.5</v>
      </c>
      <c r="AG172" s="3">
        <v>45950</v>
      </c>
      <c r="AH172" s="1">
        <v>4.51</v>
      </c>
      <c r="AI172" s="3">
        <v>45964</v>
      </c>
      <c r="AJ172" s="2">
        <v>4.2474999999999996</v>
      </c>
      <c r="AK172" s="3">
        <v>45964</v>
      </c>
      <c r="AL172" s="2">
        <v>4.1500000000000004</v>
      </c>
      <c r="AM172" s="3">
        <v>45964</v>
      </c>
      <c r="AN172" s="2">
        <v>4.04</v>
      </c>
      <c r="AO172" s="3">
        <v>45964</v>
      </c>
      <c r="AP172" s="2">
        <v>3.7549999999999999</v>
      </c>
      <c r="AQ172" s="3">
        <v>45964</v>
      </c>
      <c r="AR172" s="2">
        <v>3.6724999999999999</v>
      </c>
      <c r="AS172" s="3">
        <v>45964</v>
      </c>
      <c r="AT172" s="2">
        <v>3.6749999999999998</v>
      </c>
      <c r="AU172" s="3">
        <v>45964</v>
      </c>
      <c r="AV172" s="2">
        <v>3.6825000000000001</v>
      </c>
      <c r="AW172" s="3">
        <v>45964</v>
      </c>
      <c r="AX172" s="2">
        <v>3.6949999999999998</v>
      </c>
      <c r="AY172" s="3">
        <v>45964</v>
      </c>
      <c r="AZ172" s="2">
        <v>3.7124999999999999</v>
      </c>
      <c r="BB172" s="3">
        <v>45950</v>
      </c>
      <c r="BC172" s="1">
        <v>3.5</v>
      </c>
      <c r="BD172" s="3">
        <v>45950</v>
      </c>
      <c r="BE172" s="1">
        <v>3.52</v>
      </c>
      <c r="BF172" s="3">
        <v>45964</v>
      </c>
      <c r="BG172" s="1">
        <v>3.5630000000000002</v>
      </c>
      <c r="BH172" s="3">
        <v>45964</v>
      </c>
      <c r="BI172" s="1">
        <v>3.5590000000000002</v>
      </c>
      <c r="BJ172" s="3">
        <v>45964</v>
      </c>
      <c r="BK172" s="1">
        <v>3.5579999999999998</v>
      </c>
      <c r="BL172" s="3">
        <v>45964</v>
      </c>
      <c r="BM172" s="1">
        <v>3.5550000000000002</v>
      </c>
      <c r="BN172" s="3">
        <v>45964</v>
      </c>
      <c r="BO172" s="1">
        <v>3.5649999999999999</v>
      </c>
      <c r="BP172" s="3">
        <v>45964</v>
      </c>
      <c r="BQ172" s="1">
        <v>3.62</v>
      </c>
      <c r="BR172" s="3">
        <v>45964</v>
      </c>
      <c r="BS172" s="1">
        <v>3.6680000000000001</v>
      </c>
      <c r="BT172" s="3">
        <v>45964</v>
      </c>
      <c r="BU172" s="1">
        <v>3.7</v>
      </c>
      <c r="BV172" s="3">
        <v>45964</v>
      </c>
      <c r="BW172" s="1">
        <v>3.7330000000000001</v>
      </c>
      <c r="BY172" s="3">
        <v>45959</v>
      </c>
      <c r="BZ172" s="1">
        <v>6.5</v>
      </c>
      <c r="CA172" s="3">
        <v>45947</v>
      </c>
      <c r="CB172" s="1">
        <v>6.5</v>
      </c>
      <c r="CC172" s="3">
        <v>45964</v>
      </c>
      <c r="CD172" s="1">
        <v>6.49</v>
      </c>
      <c r="CE172" s="3">
        <v>45964</v>
      </c>
      <c r="CF172" s="1">
        <v>6.46</v>
      </c>
      <c r="CG172" s="3">
        <v>45964</v>
      </c>
      <c r="CH172" s="1">
        <v>6.4</v>
      </c>
      <c r="CI172" s="3">
        <v>45964</v>
      </c>
      <c r="CJ172" s="1">
        <v>6.24</v>
      </c>
      <c r="CK172" s="3">
        <v>45964</v>
      </c>
      <c r="CL172" s="1">
        <v>6.11</v>
      </c>
      <c r="CM172" s="3">
        <v>45964</v>
      </c>
      <c r="CN172" s="1">
        <v>5.9550000000000001</v>
      </c>
      <c r="CO172" s="3">
        <v>45960</v>
      </c>
      <c r="CP172" s="1">
        <v>5.8650000000000002</v>
      </c>
      <c r="CQ172" s="3">
        <v>45960</v>
      </c>
      <c r="CR172" s="1">
        <v>5.81</v>
      </c>
      <c r="CS172" s="3">
        <v>45960</v>
      </c>
      <c r="CT172" s="1">
        <v>5.81</v>
      </c>
    </row>
    <row r="173" spans="31:98" x14ac:dyDescent="0.2">
      <c r="AE173" s="3">
        <v>45961</v>
      </c>
      <c r="AF173" s="1">
        <v>4.5</v>
      </c>
      <c r="AG173" s="3">
        <v>45947</v>
      </c>
      <c r="AH173" s="1">
        <v>4.5</v>
      </c>
      <c r="AI173" s="3">
        <v>45961</v>
      </c>
      <c r="AJ173" s="2">
        <v>4.26</v>
      </c>
      <c r="AK173" s="3">
        <v>45961</v>
      </c>
      <c r="AL173" s="2">
        <v>4.16</v>
      </c>
      <c r="AM173" s="3">
        <v>45961</v>
      </c>
      <c r="AN173" s="2">
        <v>4.0449999999999999</v>
      </c>
      <c r="AO173" s="3">
        <v>45961</v>
      </c>
      <c r="AP173" s="2">
        <v>3.7475000000000001</v>
      </c>
      <c r="AQ173" s="3">
        <v>45961</v>
      </c>
      <c r="AR173" s="2">
        <v>3.6625000000000001</v>
      </c>
      <c r="AS173" s="3">
        <v>45961</v>
      </c>
      <c r="AT173" s="2">
        <v>3.6675</v>
      </c>
      <c r="AU173" s="3">
        <v>45961</v>
      </c>
      <c r="AV173" s="2">
        <v>3.6775000000000002</v>
      </c>
      <c r="AW173" s="3">
        <v>45961</v>
      </c>
      <c r="AX173" s="2">
        <v>3.69</v>
      </c>
      <c r="AY173" s="3">
        <v>45961</v>
      </c>
      <c r="AZ173" s="2">
        <v>3.71</v>
      </c>
      <c r="BB173" s="3">
        <v>45947</v>
      </c>
      <c r="BC173" s="1">
        <v>3.5</v>
      </c>
      <c r="BD173" s="3">
        <v>45947</v>
      </c>
      <c r="BE173" s="1">
        <v>3.52</v>
      </c>
      <c r="BF173" s="3">
        <v>45961</v>
      </c>
      <c r="BG173" s="1">
        <v>3.5630000000000002</v>
      </c>
      <c r="BH173" s="3">
        <v>45961</v>
      </c>
      <c r="BI173" s="1">
        <v>3.5609999999999999</v>
      </c>
      <c r="BJ173" s="3">
        <v>45961</v>
      </c>
      <c r="BK173" s="1">
        <v>3.5649999999999999</v>
      </c>
      <c r="BL173" s="3">
        <v>45961</v>
      </c>
      <c r="BM173" s="1">
        <v>3.5750000000000002</v>
      </c>
      <c r="BN173" s="3">
        <v>45961</v>
      </c>
      <c r="BO173" s="1">
        <v>3.59</v>
      </c>
      <c r="BP173" s="3">
        <v>45961</v>
      </c>
      <c r="BQ173" s="1">
        <v>3.65</v>
      </c>
      <c r="BR173" s="3">
        <v>45961</v>
      </c>
      <c r="BS173" s="1">
        <v>3.69</v>
      </c>
      <c r="BT173" s="3">
        <v>45961</v>
      </c>
      <c r="BU173" s="1">
        <v>3.72</v>
      </c>
      <c r="BV173" s="3">
        <v>45961</v>
      </c>
      <c r="BW173" s="1">
        <v>3.7450000000000001</v>
      </c>
      <c r="BY173" s="3">
        <v>45958</v>
      </c>
      <c r="BZ173" s="1">
        <v>6.5</v>
      </c>
      <c r="CA173" s="3">
        <v>45946</v>
      </c>
      <c r="CB173" s="1">
        <v>6.5</v>
      </c>
      <c r="CC173" s="3">
        <v>45961</v>
      </c>
      <c r="CD173" s="1">
        <v>6.49</v>
      </c>
      <c r="CE173" s="3">
        <v>45961</v>
      </c>
      <c r="CF173" s="1">
        <v>6.46</v>
      </c>
      <c r="CG173" s="3">
        <v>45961</v>
      </c>
      <c r="CH173" s="1">
        <v>6.4</v>
      </c>
      <c r="CI173" s="3">
        <v>45961</v>
      </c>
      <c r="CJ173" s="1">
        <v>6.25</v>
      </c>
      <c r="CK173" s="3">
        <v>45961</v>
      </c>
      <c r="CL173" s="1">
        <v>6.12</v>
      </c>
      <c r="CM173" s="3">
        <v>45961</v>
      </c>
      <c r="CN173" s="1">
        <v>5.97</v>
      </c>
      <c r="CO173" s="3">
        <v>45959</v>
      </c>
      <c r="CP173" s="1">
        <v>5.8</v>
      </c>
      <c r="CQ173" s="3">
        <v>45959</v>
      </c>
      <c r="CR173" s="1">
        <v>5.7149999999999999</v>
      </c>
      <c r="CS173" s="3">
        <v>45959</v>
      </c>
      <c r="CT173" s="1">
        <v>5.7149999999999999</v>
      </c>
    </row>
    <row r="174" spans="31:98" x14ac:dyDescent="0.2">
      <c r="AE174" s="3">
        <v>45960</v>
      </c>
      <c r="AF174" s="1">
        <v>4.5</v>
      </c>
      <c r="AG174" s="3">
        <v>45946</v>
      </c>
      <c r="AH174" s="1">
        <v>4.53</v>
      </c>
      <c r="AI174" s="3">
        <v>45960</v>
      </c>
      <c r="AJ174" s="2">
        <v>4.3075000000000001</v>
      </c>
      <c r="AK174" s="3">
        <v>45960</v>
      </c>
      <c r="AL174" s="2">
        <v>4.2275</v>
      </c>
      <c r="AM174" s="3">
        <v>45960</v>
      </c>
      <c r="AN174" s="2">
        <v>4.0975000000000001</v>
      </c>
      <c r="AO174" s="3">
        <v>45960</v>
      </c>
      <c r="AP174" s="2">
        <v>3.8050000000000002</v>
      </c>
      <c r="AQ174" s="3">
        <v>45960</v>
      </c>
      <c r="AR174" s="2">
        <v>3.71</v>
      </c>
      <c r="AS174" s="3">
        <v>45960</v>
      </c>
      <c r="AT174" s="2">
        <v>3.71</v>
      </c>
      <c r="AU174" s="3">
        <v>45960</v>
      </c>
      <c r="AV174" s="2">
        <v>3.7149999999999999</v>
      </c>
      <c r="AW174" s="3">
        <v>45960</v>
      </c>
      <c r="AX174" s="2">
        <v>3.7275</v>
      </c>
      <c r="AY174" s="3">
        <v>45960</v>
      </c>
      <c r="AZ174" s="2">
        <v>3.7425000000000002</v>
      </c>
      <c r="BB174" s="3">
        <v>45946</v>
      </c>
      <c r="BC174" s="1">
        <v>3.5</v>
      </c>
      <c r="BD174" s="3">
        <v>45946</v>
      </c>
      <c r="BE174" s="1">
        <v>3.53</v>
      </c>
      <c r="BF174" s="3">
        <v>45960</v>
      </c>
      <c r="BG174" s="1">
        <v>3.5449999999999999</v>
      </c>
      <c r="BH174" s="3">
        <v>45960</v>
      </c>
      <c r="BI174" s="1">
        <v>3.544</v>
      </c>
      <c r="BJ174" s="3">
        <v>45960</v>
      </c>
      <c r="BK174" s="1">
        <v>3.5430000000000001</v>
      </c>
      <c r="BL174" s="3">
        <v>45960</v>
      </c>
      <c r="BM174" s="1">
        <v>3.5449999999999999</v>
      </c>
      <c r="BN174" s="3">
        <v>45960</v>
      </c>
      <c r="BO174" s="1">
        <v>3.5680000000000001</v>
      </c>
      <c r="BP174" s="3">
        <v>45960</v>
      </c>
      <c r="BQ174" s="1">
        <v>3.625</v>
      </c>
      <c r="BR174" s="3">
        <v>45960</v>
      </c>
      <c r="BS174" s="1">
        <v>3.665</v>
      </c>
      <c r="BT174" s="3">
        <v>45960</v>
      </c>
      <c r="BU174" s="1">
        <v>3.698</v>
      </c>
      <c r="BV174" s="3">
        <v>45960</v>
      </c>
      <c r="BW174" s="1">
        <v>3.7250000000000001</v>
      </c>
      <c r="BY174" s="3">
        <v>45957</v>
      </c>
      <c r="BZ174" s="1">
        <v>6.5</v>
      </c>
      <c r="CA174" s="3">
        <v>45945</v>
      </c>
      <c r="CB174" s="1">
        <v>6.5</v>
      </c>
      <c r="CC174" s="3">
        <v>45960</v>
      </c>
      <c r="CD174" s="1">
        <v>6.4829999999999997</v>
      </c>
      <c r="CE174" s="3">
        <v>45960</v>
      </c>
      <c r="CF174" s="1">
        <v>6.47</v>
      </c>
      <c r="CG174" s="3">
        <v>45960</v>
      </c>
      <c r="CH174" s="1">
        <v>6.41</v>
      </c>
      <c r="CI174" s="3">
        <v>45960</v>
      </c>
      <c r="CJ174" s="1">
        <v>6.24</v>
      </c>
      <c r="CK174" s="3">
        <v>45960</v>
      </c>
      <c r="CL174" s="1">
        <v>6.12</v>
      </c>
      <c r="CM174" s="3">
        <v>45960</v>
      </c>
      <c r="CN174" s="1">
        <v>5.97</v>
      </c>
      <c r="CO174" s="3">
        <v>45958</v>
      </c>
      <c r="CP174" s="1">
        <v>5.7750000000000004</v>
      </c>
      <c r="CQ174" s="3">
        <v>45958</v>
      </c>
      <c r="CR174" s="1">
        <v>5.69</v>
      </c>
      <c r="CS174" s="3">
        <v>45958</v>
      </c>
      <c r="CT174" s="1">
        <v>5.69</v>
      </c>
    </row>
    <row r="175" spans="31:98" x14ac:dyDescent="0.2">
      <c r="AE175" s="3">
        <v>45959</v>
      </c>
      <c r="AF175" s="1">
        <v>4.5</v>
      </c>
      <c r="AG175" s="3">
        <v>45945</v>
      </c>
      <c r="AH175" s="1">
        <v>4.55</v>
      </c>
      <c r="AI175" s="3">
        <v>45959</v>
      </c>
      <c r="AJ175" s="2">
        <v>4.3125</v>
      </c>
      <c r="AK175" s="3">
        <v>45959</v>
      </c>
      <c r="AL175" s="2">
        <v>4.24</v>
      </c>
      <c r="AM175" s="3">
        <v>45959</v>
      </c>
      <c r="AN175" s="2">
        <v>4.1074999999999999</v>
      </c>
      <c r="AO175" s="3">
        <v>45959</v>
      </c>
      <c r="AP175" s="2">
        <v>3.8025000000000002</v>
      </c>
      <c r="AQ175" s="3">
        <v>45959</v>
      </c>
      <c r="AR175" s="2">
        <v>3.7050000000000001</v>
      </c>
      <c r="AS175" s="3">
        <v>45959</v>
      </c>
      <c r="AT175" s="2">
        <v>3.7025000000000001</v>
      </c>
      <c r="AU175" s="3">
        <v>45959</v>
      </c>
      <c r="AV175" s="2">
        <v>3.7025000000000001</v>
      </c>
      <c r="AW175" s="3">
        <v>45959</v>
      </c>
      <c r="AX175" s="2">
        <v>3.7124999999999999</v>
      </c>
      <c r="AY175" s="3">
        <v>45959</v>
      </c>
      <c r="AZ175" s="2">
        <v>3.7225000000000001</v>
      </c>
      <c r="BB175" s="3">
        <v>45945</v>
      </c>
      <c r="BC175" s="1">
        <v>3.5</v>
      </c>
      <c r="BD175" s="3">
        <v>45945</v>
      </c>
      <c r="BE175" s="1">
        <v>3.53</v>
      </c>
      <c r="BF175" s="3">
        <v>45959</v>
      </c>
      <c r="BG175" s="1">
        <v>3.5350000000000001</v>
      </c>
      <c r="BH175" s="3">
        <v>45959</v>
      </c>
      <c r="BI175" s="1">
        <v>3.5329999999999999</v>
      </c>
      <c r="BJ175" s="3">
        <v>45959</v>
      </c>
      <c r="BK175" s="1">
        <v>3.5249999999999999</v>
      </c>
      <c r="BL175" s="3">
        <v>45959</v>
      </c>
      <c r="BM175" s="1">
        <v>3.5049999999999999</v>
      </c>
      <c r="BN175" s="3">
        <v>45959</v>
      </c>
      <c r="BO175" s="1">
        <v>3.5030000000000001</v>
      </c>
      <c r="BP175" s="3">
        <v>45959</v>
      </c>
      <c r="BQ175" s="1">
        <v>3.55</v>
      </c>
      <c r="BR175" s="3">
        <v>45959</v>
      </c>
      <c r="BS175" s="1">
        <v>3.5880000000000001</v>
      </c>
      <c r="BT175" s="3">
        <v>45959</v>
      </c>
      <c r="BU175" s="1">
        <v>3.6280000000000001</v>
      </c>
      <c r="BV175" s="3">
        <v>45959</v>
      </c>
      <c r="BW175" s="1">
        <v>3.6680000000000001</v>
      </c>
      <c r="BY175" s="3">
        <v>45954</v>
      </c>
      <c r="BZ175" s="1">
        <v>6.5</v>
      </c>
      <c r="CA175" s="3">
        <v>45944</v>
      </c>
      <c r="CB175" s="1">
        <v>6.5</v>
      </c>
      <c r="CC175" s="3">
        <v>45959</v>
      </c>
      <c r="CD175" s="1">
        <v>6.4649999999999999</v>
      </c>
      <c r="CE175" s="3">
        <v>45959</v>
      </c>
      <c r="CF175" s="1">
        <v>6.4249999999999998</v>
      </c>
      <c r="CG175" s="3">
        <v>45959</v>
      </c>
      <c r="CH175" s="1">
        <v>6.37</v>
      </c>
      <c r="CI175" s="3">
        <v>45959</v>
      </c>
      <c r="CJ175" s="1">
        <v>6.22</v>
      </c>
      <c r="CK175" s="3">
        <v>45959</v>
      </c>
      <c r="CL175" s="1">
        <v>6.07</v>
      </c>
      <c r="CM175" s="3">
        <v>45959</v>
      </c>
      <c r="CN175" s="1">
        <v>5.9</v>
      </c>
      <c r="CO175" s="3">
        <v>45957</v>
      </c>
      <c r="CP175" s="1">
        <v>5.81</v>
      </c>
      <c r="CQ175" s="3">
        <v>45957</v>
      </c>
      <c r="CR175" s="1">
        <v>5.72</v>
      </c>
      <c r="CS175" s="3">
        <v>45957</v>
      </c>
      <c r="CT175" s="1">
        <v>5.72</v>
      </c>
    </row>
    <row r="176" spans="31:98" x14ac:dyDescent="0.2">
      <c r="AE176" s="3">
        <v>45958</v>
      </c>
      <c r="AF176" s="1">
        <v>4.5</v>
      </c>
      <c r="AG176" s="3">
        <v>45944</v>
      </c>
      <c r="AH176" s="1">
        <v>4.54</v>
      </c>
      <c r="AI176" s="3">
        <v>45958</v>
      </c>
      <c r="AJ176" s="2">
        <v>4.3224999999999998</v>
      </c>
      <c r="AK176" s="3">
        <v>45958</v>
      </c>
      <c r="AL176" s="2">
        <v>4.2474999999999996</v>
      </c>
      <c r="AM176" s="3">
        <v>45958</v>
      </c>
      <c r="AN176" s="2">
        <v>4.1050000000000004</v>
      </c>
      <c r="AO176" s="3">
        <v>45958</v>
      </c>
      <c r="AP176" s="2">
        <v>3.7850000000000001</v>
      </c>
      <c r="AQ176" s="3">
        <v>45958</v>
      </c>
      <c r="AR176" s="2">
        <v>3.6749999999999998</v>
      </c>
      <c r="AS176" s="3">
        <v>45958</v>
      </c>
      <c r="AT176" s="2">
        <v>3.67</v>
      </c>
      <c r="AU176" s="3">
        <v>45958</v>
      </c>
      <c r="AV176" s="2">
        <v>3.6724999999999999</v>
      </c>
      <c r="AW176" s="3">
        <v>45958</v>
      </c>
      <c r="AX176" s="2">
        <v>3.6825000000000001</v>
      </c>
      <c r="AY176" s="3">
        <v>45958</v>
      </c>
      <c r="AZ176" s="2">
        <v>3.6949999999999998</v>
      </c>
      <c r="BB176" s="3">
        <v>45944</v>
      </c>
      <c r="BC176" s="1">
        <v>3.5</v>
      </c>
      <c r="BD176" s="3">
        <v>45944</v>
      </c>
      <c r="BE176" s="1">
        <v>3.53</v>
      </c>
      <c r="BF176" s="3">
        <v>45958</v>
      </c>
      <c r="BG176" s="1">
        <v>3.53</v>
      </c>
      <c r="BH176" s="3">
        <v>45958</v>
      </c>
      <c r="BI176" s="1">
        <v>3.53</v>
      </c>
      <c r="BJ176" s="3">
        <v>45958</v>
      </c>
      <c r="BK176" s="1">
        <v>3.5249999999999999</v>
      </c>
      <c r="BL176" s="3">
        <v>45958</v>
      </c>
      <c r="BM176" s="1">
        <v>3.5049999999999999</v>
      </c>
      <c r="BN176" s="3">
        <v>45958</v>
      </c>
      <c r="BO176" s="1">
        <v>3.51</v>
      </c>
      <c r="BP176" s="3">
        <v>45958</v>
      </c>
      <c r="BQ176" s="1">
        <v>3.5649999999999999</v>
      </c>
      <c r="BR176" s="3">
        <v>45958</v>
      </c>
      <c r="BS176" s="1">
        <v>3.61</v>
      </c>
      <c r="BT176" s="3">
        <v>45958</v>
      </c>
      <c r="BU176" s="1">
        <v>3.6579999999999999</v>
      </c>
      <c r="BV176" s="3">
        <v>45958</v>
      </c>
      <c r="BW176" s="1">
        <v>3.6880000000000002</v>
      </c>
      <c r="BY176" s="3">
        <v>45953</v>
      </c>
      <c r="BZ176" s="1">
        <v>6.5</v>
      </c>
      <c r="CA176" s="3">
        <v>45943</v>
      </c>
      <c r="CB176" s="1">
        <v>6.5</v>
      </c>
      <c r="CC176" s="3">
        <v>45958</v>
      </c>
      <c r="CD176" s="1">
        <v>6.47</v>
      </c>
      <c r="CE176" s="3">
        <v>45958</v>
      </c>
      <c r="CF176" s="1">
        <v>6.4349999999999996</v>
      </c>
      <c r="CG176" s="3">
        <v>45958</v>
      </c>
      <c r="CH176" s="1">
        <v>6.37</v>
      </c>
      <c r="CI176" s="3">
        <v>45958</v>
      </c>
      <c r="CJ176" s="1">
        <v>6.21</v>
      </c>
      <c r="CK176" s="3">
        <v>45958</v>
      </c>
      <c r="CL176" s="1">
        <v>6.05</v>
      </c>
      <c r="CM176" s="3">
        <v>45958</v>
      </c>
      <c r="CN176" s="1">
        <v>5.8650000000000002</v>
      </c>
      <c r="CO176" s="3">
        <v>45952</v>
      </c>
      <c r="CP176" s="1">
        <v>5.79</v>
      </c>
      <c r="CQ176" s="3">
        <v>45952</v>
      </c>
      <c r="CR176" s="1">
        <v>5.7</v>
      </c>
      <c r="CS176" s="3">
        <v>45952</v>
      </c>
      <c r="CT176" s="1">
        <v>5.7</v>
      </c>
    </row>
    <row r="177" spans="31:98" x14ac:dyDescent="0.2">
      <c r="AE177" s="3">
        <v>45957</v>
      </c>
      <c r="AF177" s="1">
        <v>4.5</v>
      </c>
      <c r="AG177" s="3">
        <v>45943</v>
      </c>
      <c r="AH177" s="1">
        <v>4.55</v>
      </c>
      <c r="AI177" s="3">
        <v>45957</v>
      </c>
      <c r="AJ177" s="2">
        <v>4.3449999999999998</v>
      </c>
      <c r="AK177" s="3">
        <v>45957</v>
      </c>
      <c r="AL177" s="2">
        <v>4.2699999999999996</v>
      </c>
      <c r="AM177" s="3">
        <v>45957</v>
      </c>
      <c r="AN177" s="2">
        <v>4.13</v>
      </c>
      <c r="AO177" s="3">
        <v>45957</v>
      </c>
      <c r="AP177" s="2">
        <v>3.81</v>
      </c>
      <c r="AQ177" s="3">
        <v>45957</v>
      </c>
      <c r="AR177" s="2">
        <v>3.71</v>
      </c>
      <c r="AS177" s="3">
        <v>45957</v>
      </c>
      <c r="AT177" s="2">
        <v>3.71</v>
      </c>
      <c r="AU177" s="3">
        <v>45957</v>
      </c>
      <c r="AV177" s="2">
        <v>3.7149999999999999</v>
      </c>
      <c r="AW177" s="3">
        <v>45957</v>
      </c>
      <c r="AX177" s="2">
        <v>3.7250000000000001</v>
      </c>
      <c r="AY177" s="3">
        <v>45957</v>
      </c>
      <c r="AZ177" s="2">
        <v>3.7349999999999999</v>
      </c>
      <c r="BB177" s="3">
        <v>45943</v>
      </c>
      <c r="BC177" s="1">
        <v>3.5</v>
      </c>
      <c r="BD177" s="3">
        <v>45943</v>
      </c>
      <c r="BE177" s="1">
        <v>3.53</v>
      </c>
      <c r="BF177" s="3">
        <v>45957</v>
      </c>
      <c r="BG177" s="1">
        <v>3.52</v>
      </c>
      <c r="BH177" s="3">
        <v>45957</v>
      </c>
      <c r="BI177" s="1">
        <v>3.53</v>
      </c>
      <c r="BJ177" s="3">
        <v>45957</v>
      </c>
      <c r="BK177" s="1">
        <v>3.5249999999999999</v>
      </c>
      <c r="BL177" s="3">
        <v>45957</v>
      </c>
      <c r="BM177" s="1">
        <v>3.5049999999999999</v>
      </c>
      <c r="BN177" s="3">
        <v>45957</v>
      </c>
      <c r="BO177" s="1">
        <v>3.51</v>
      </c>
      <c r="BP177" s="3">
        <v>45957</v>
      </c>
      <c r="BQ177" s="1">
        <v>3.5649999999999999</v>
      </c>
      <c r="BR177" s="3">
        <v>45957</v>
      </c>
      <c r="BS177" s="1">
        <v>3.61</v>
      </c>
      <c r="BT177" s="3">
        <v>45957</v>
      </c>
      <c r="BU177" s="1">
        <v>3.6579999999999999</v>
      </c>
      <c r="BV177" s="3">
        <v>45957</v>
      </c>
      <c r="BW177" s="1">
        <v>3.6880000000000002</v>
      </c>
      <c r="BY177" s="3">
        <v>45952</v>
      </c>
      <c r="BZ177" s="1">
        <v>6.5</v>
      </c>
      <c r="CA177" s="3">
        <v>45940</v>
      </c>
      <c r="CB177" s="1">
        <v>6.5</v>
      </c>
      <c r="CC177" s="3">
        <v>45957</v>
      </c>
      <c r="CD177" s="1">
        <v>6.4649999999999999</v>
      </c>
      <c r="CE177" s="3">
        <v>45957</v>
      </c>
      <c r="CF177" s="1">
        <v>6.4450000000000003</v>
      </c>
      <c r="CG177" s="3">
        <v>45957</v>
      </c>
      <c r="CH177" s="1">
        <v>6.41</v>
      </c>
      <c r="CI177" s="3">
        <v>45957</v>
      </c>
      <c r="CJ177" s="1">
        <v>6.23</v>
      </c>
      <c r="CK177" s="3">
        <v>45957</v>
      </c>
      <c r="CL177" s="1">
        <v>6.06</v>
      </c>
      <c r="CM177" s="3">
        <v>45957</v>
      </c>
      <c r="CN177" s="1">
        <v>5.91</v>
      </c>
      <c r="CO177" s="3">
        <v>45951</v>
      </c>
      <c r="CP177" s="1">
        <v>5.78</v>
      </c>
      <c r="CQ177" s="3">
        <v>45951</v>
      </c>
      <c r="CR177" s="1">
        <v>5.71</v>
      </c>
      <c r="CS177" s="3">
        <v>45951</v>
      </c>
      <c r="CT177" s="1">
        <v>5.71</v>
      </c>
    </row>
    <row r="178" spans="31:98" x14ac:dyDescent="0.2">
      <c r="AE178" s="3">
        <v>45954</v>
      </c>
      <c r="AF178" s="1">
        <v>4.5</v>
      </c>
      <c r="AG178" s="3">
        <v>45940</v>
      </c>
      <c r="AH178" s="1">
        <v>4.54</v>
      </c>
      <c r="AI178" s="3">
        <v>45954</v>
      </c>
      <c r="AJ178" s="2">
        <v>4.3324999999999996</v>
      </c>
      <c r="AK178" s="3">
        <v>45954</v>
      </c>
      <c r="AL178" s="2">
        <v>4.2575000000000003</v>
      </c>
      <c r="AM178" s="3">
        <v>45954</v>
      </c>
      <c r="AN178" s="2">
        <v>4.1174999999999997</v>
      </c>
      <c r="AO178" s="3">
        <v>45954</v>
      </c>
      <c r="AP178" s="2">
        <v>3.7974999999999999</v>
      </c>
      <c r="AQ178" s="3">
        <v>45954</v>
      </c>
      <c r="AR178" s="2">
        <v>3.6974999999999998</v>
      </c>
      <c r="AS178" s="3">
        <v>45954</v>
      </c>
      <c r="AT178" s="2">
        <v>3.69</v>
      </c>
      <c r="AU178" s="3">
        <v>45954</v>
      </c>
      <c r="AV178" s="2">
        <v>3.6974999999999998</v>
      </c>
      <c r="AW178" s="3">
        <v>45954</v>
      </c>
      <c r="AX178" s="2">
        <v>3.7050000000000001</v>
      </c>
      <c r="AY178" s="3">
        <v>45954</v>
      </c>
      <c r="AZ178" s="2">
        <v>3.7149999999999999</v>
      </c>
      <c r="BB178" s="3">
        <v>45940</v>
      </c>
      <c r="BC178" s="1">
        <v>3.5</v>
      </c>
      <c r="BD178" s="3">
        <v>45940</v>
      </c>
      <c r="BE178" s="1">
        <v>3.53</v>
      </c>
      <c r="BF178" s="3">
        <v>45954</v>
      </c>
      <c r="BG178" s="1">
        <v>3.5249999999999999</v>
      </c>
      <c r="BH178" s="3">
        <v>45954</v>
      </c>
      <c r="BI178" s="1">
        <v>3.528</v>
      </c>
      <c r="BJ178" s="3">
        <v>45954</v>
      </c>
      <c r="BK178" s="1">
        <v>3.5249999999999999</v>
      </c>
      <c r="BL178" s="3">
        <v>45954</v>
      </c>
      <c r="BM178" s="1">
        <v>3.508</v>
      </c>
      <c r="BN178" s="3">
        <v>45954</v>
      </c>
      <c r="BO178" s="1">
        <v>3.5150000000000001</v>
      </c>
      <c r="BP178" s="3">
        <v>45954</v>
      </c>
      <c r="BQ178" s="1">
        <v>3.58</v>
      </c>
      <c r="BR178" s="3">
        <v>45954</v>
      </c>
      <c r="BS178" s="1">
        <v>3.6230000000000002</v>
      </c>
      <c r="BT178" s="3">
        <v>45954</v>
      </c>
      <c r="BU178" s="1">
        <v>3.6680000000000001</v>
      </c>
      <c r="BV178" s="3">
        <v>45954</v>
      </c>
      <c r="BW178" s="1">
        <v>3.7050000000000001</v>
      </c>
      <c r="BY178" s="3">
        <v>45951</v>
      </c>
      <c r="BZ178" s="1">
        <v>6.5</v>
      </c>
      <c r="CA178" s="3">
        <v>45939</v>
      </c>
      <c r="CB178" s="1">
        <v>6.5</v>
      </c>
      <c r="CC178" s="3">
        <v>45954</v>
      </c>
      <c r="CD178" s="1">
        <v>6.4663000000000004</v>
      </c>
      <c r="CE178" s="3">
        <v>45954</v>
      </c>
      <c r="CF178" s="1">
        <v>6.4264000000000001</v>
      </c>
      <c r="CG178" s="3">
        <v>45954</v>
      </c>
      <c r="CH178" s="1">
        <v>6.4020000000000001</v>
      </c>
      <c r="CI178" s="3">
        <v>45954</v>
      </c>
      <c r="CJ178" s="1">
        <v>6.2213000000000003</v>
      </c>
      <c r="CK178" s="3">
        <v>45954</v>
      </c>
      <c r="CL178" s="1">
        <v>6.0721999999999996</v>
      </c>
      <c r="CM178" s="3">
        <v>45954</v>
      </c>
      <c r="CN178" s="1">
        <v>5.88</v>
      </c>
      <c r="CO178" s="3">
        <v>45950</v>
      </c>
      <c r="CP178" s="1">
        <v>5.79</v>
      </c>
      <c r="CQ178" s="3">
        <v>45950</v>
      </c>
      <c r="CR178" s="1">
        <v>5.72</v>
      </c>
      <c r="CS178" s="3">
        <v>45950</v>
      </c>
      <c r="CT178" s="1">
        <v>5.72</v>
      </c>
    </row>
    <row r="179" spans="31:98" x14ac:dyDescent="0.2">
      <c r="AE179" s="3">
        <v>45953</v>
      </c>
      <c r="AF179" s="1">
        <v>4.5</v>
      </c>
      <c r="AG179" s="3">
        <v>45939</v>
      </c>
      <c r="AH179" s="1">
        <v>4.53</v>
      </c>
      <c r="AI179" s="3">
        <v>45953</v>
      </c>
      <c r="AJ179" s="2">
        <v>4.335</v>
      </c>
      <c r="AK179" s="3">
        <v>45953</v>
      </c>
      <c r="AL179" s="2">
        <v>4.2625000000000002</v>
      </c>
      <c r="AM179" s="3">
        <v>45953</v>
      </c>
      <c r="AN179" s="2">
        <v>4.1224999999999996</v>
      </c>
      <c r="AO179" s="3">
        <v>45953</v>
      </c>
      <c r="AP179" s="2">
        <v>3.7949999999999999</v>
      </c>
      <c r="AQ179" s="3">
        <v>45953</v>
      </c>
      <c r="AR179" s="2">
        <v>3.6850000000000001</v>
      </c>
      <c r="AS179" s="3">
        <v>45953</v>
      </c>
      <c r="AT179" s="2">
        <v>3.6775000000000002</v>
      </c>
      <c r="AU179" s="3">
        <v>45953</v>
      </c>
      <c r="AV179" s="2">
        <v>3.6825000000000001</v>
      </c>
      <c r="AW179" s="3">
        <v>45953</v>
      </c>
      <c r="AX179" s="2">
        <v>3.69</v>
      </c>
      <c r="AY179" s="3">
        <v>45953</v>
      </c>
      <c r="AZ179" s="2">
        <v>3.7</v>
      </c>
      <c r="BB179" s="3">
        <v>45939</v>
      </c>
      <c r="BC179" s="1">
        <v>3.5</v>
      </c>
      <c r="BD179" s="3">
        <v>45939</v>
      </c>
      <c r="BE179" s="1">
        <v>3.53</v>
      </c>
      <c r="BF179" s="3">
        <v>45953</v>
      </c>
      <c r="BG179" s="1">
        <v>3.52</v>
      </c>
      <c r="BH179" s="3">
        <v>45953</v>
      </c>
      <c r="BI179" s="1">
        <v>3.5139999999999998</v>
      </c>
      <c r="BJ179" s="3">
        <v>45953</v>
      </c>
      <c r="BK179" s="1">
        <v>3.4980000000000002</v>
      </c>
      <c r="BL179" s="3">
        <v>45953</v>
      </c>
      <c r="BM179" s="1">
        <v>3.4649999999999999</v>
      </c>
      <c r="BN179" s="3">
        <v>45953</v>
      </c>
      <c r="BO179" s="1">
        <v>3.468</v>
      </c>
      <c r="BP179" s="3">
        <v>45953</v>
      </c>
      <c r="BQ179" s="1">
        <v>3.5129999999999999</v>
      </c>
      <c r="BR179" s="3">
        <v>45953</v>
      </c>
      <c r="BS179" s="1">
        <v>3.5529999999999999</v>
      </c>
      <c r="BT179" s="3">
        <v>45953</v>
      </c>
      <c r="BU179" s="1">
        <v>3.5950000000000002</v>
      </c>
      <c r="BV179" s="3">
        <v>45953</v>
      </c>
      <c r="BW179" s="1">
        <v>3.6429999999999998</v>
      </c>
      <c r="BY179" s="3">
        <v>45950</v>
      </c>
      <c r="BZ179" s="1">
        <v>6.5</v>
      </c>
      <c r="CA179" s="3">
        <v>45938</v>
      </c>
      <c r="CB179" s="1">
        <v>6.5</v>
      </c>
      <c r="CC179" s="3">
        <v>45953</v>
      </c>
      <c r="CD179" s="1">
        <v>6.4657</v>
      </c>
      <c r="CE179" s="3">
        <v>45953</v>
      </c>
      <c r="CF179" s="1">
        <v>6.4257</v>
      </c>
      <c r="CG179" s="3">
        <v>45953</v>
      </c>
      <c r="CH179" s="1">
        <v>6.4009999999999998</v>
      </c>
      <c r="CI179" s="3">
        <v>45953</v>
      </c>
      <c r="CJ179" s="1">
        <v>6.2206999999999999</v>
      </c>
      <c r="CK179" s="3">
        <v>45953</v>
      </c>
      <c r="CL179" s="1">
        <v>6.0711000000000004</v>
      </c>
      <c r="CM179" s="3">
        <v>45953</v>
      </c>
      <c r="CN179" s="1">
        <v>5.88</v>
      </c>
      <c r="CO179" s="3">
        <v>45947</v>
      </c>
      <c r="CP179" s="1">
        <v>5.79</v>
      </c>
      <c r="CQ179" s="3">
        <v>45947</v>
      </c>
      <c r="CR179" s="1">
        <v>5.7149999999999999</v>
      </c>
      <c r="CS179" s="3">
        <v>45947</v>
      </c>
      <c r="CT179" s="1">
        <v>5.71</v>
      </c>
    </row>
    <row r="180" spans="31:98" x14ac:dyDescent="0.2">
      <c r="AE180" s="3">
        <v>45952</v>
      </c>
      <c r="AF180" s="1">
        <v>4.5</v>
      </c>
      <c r="AG180" s="3">
        <v>45938</v>
      </c>
      <c r="AH180" s="1">
        <v>4.68</v>
      </c>
      <c r="AI180" s="3">
        <v>45952</v>
      </c>
      <c r="AJ180" s="2">
        <v>4.3250000000000002</v>
      </c>
      <c r="AK180" s="3">
        <v>45952</v>
      </c>
      <c r="AL180" s="2">
        <v>4.25</v>
      </c>
      <c r="AM180" s="3">
        <v>45952</v>
      </c>
      <c r="AN180" s="2">
        <v>4.1074999999999999</v>
      </c>
      <c r="AO180" s="3">
        <v>45952</v>
      </c>
      <c r="AP180" s="2">
        <v>3.7725</v>
      </c>
      <c r="AQ180" s="3">
        <v>45952</v>
      </c>
      <c r="AR180" s="2">
        <v>3.6549999999999998</v>
      </c>
      <c r="AS180" s="3">
        <v>45952</v>
      </c>
      <c r="AT180" s="2">
        <v>3.64</v>
      </c>
      <c r="AU180" s="3">
        <v>45952</v>
      </c>
      <c r="AV180" s="2">
        <v>3.645</v>
      </c>
      <c r="AW180" s="3">
        <v>45952</v>
      </c>
      <c r="AX180" s="2">
        <v>3.65</v>
      </c>
      <c r="AY180" s="3">
        <v>45952</v>
      </c>
      <c r="AZ180" s="2">
        <v>3.66</v>
      </c>
      <c r="BB180" s="3">
        <v>45938</v>
      </c>
      <c r="BC180" s="1">
        <v>3.5</v>
      </c>
      <c r="BD180" s="3">
        <v>45938</v>
      </c>
      <c r="BE180" s="1">
        <v>3.53</v>
      </c>
      <c r="BF180" s="3">
        <v>45952</v>
      </c>
      <c r="BG180" s="1">
        <v>3.5249999999999999</v>
      </c>
      <c r="BH180" s="3">
        <v>45952</v>
      </c>
      <c r="BI180" s="1">
        <v>3.5110000000000001</v>
      </c>
      <c r="BJ180" s="3">
        <v>45952</v>
      </c>
      <c r="BK180" s="1">
        <v>3.4980000000000002</v>
      </c>
      <c r="BL180" s="3">
        <v>45952</v>
      </c>
      <c r="BM180" s="1">
        <v>3.4529999999999998</v>
      </c>
      <c r="BN180" s="3">
        <v>45952</v>
      </c>
      <c r="BO180" s="1">
        <v>3.448</v>
      </c>
      <c r="BP180" s="3">
        <v>45952</v>
      </c>
      <c r="BQ180" s="1">
        <v>3.49</v>
      </c>
      <c r="BR180" s="3">
        <v>45952</v>
      </c>
      <c r="BS180" s="1">
        <v>3.5350000000000001</v>
      </c>
      <c r="BT180" s="3">
        <v>45952</v>
      </c>
      <c r="BU180" s="1">
        <v>3.5779999999999998</v>
      </c>
      <c r="BV180" s="3">
        <v>45952</v>
      </c>
      <c r="BW180" s="1">
        <v>3.625</v>
      </c>
      <c r="BY180" s="3">
        <v>45947</v>
      </c>
      <c r="BZ180" s="1">
        <v>6.5</v>
      </c>
      <c r="CA180" s="3">
        <v>45937</v>
      </c>
      <c r="CB180" s="1">
        <v>6.5</v>
      </c>
      <c r="CC180" s="3">
        <v>45952</v>
      </c>
      <c r="CD180" s="1">
        <v>6.4649999999999999</v>
      </c>
      <c r="CE180" s="3">
        <v>45952</v>
      </c>
      <c r="CF180" s="1">
        <v>6.4249999999999998</v>
      </c>
      <c r="CG180" s="3">
        <v>45952</v>
      </c>
      <c r="CH180" s="1">
        <v>6.4</v>
      </c>
      <c r="CI180" s="3">
        <v>45952</v>
      </c>
      <c r="CJ180" s="1">
        <v>6.22</v>
      </c>
      <c r="CK180" s="3">
        <v>45952</v>
      </c>
      <c r="CL180" s="1">
        <v>6.07</v>
      </c>
      <c r="CM180" s="3">
        <v>45952</v>
      </c>
      <c r="CN180" s="1">
        <v>5.89</v>
      </c>
      <c r="CO180" s="3">
        <v>45946</v>
      </c>
      <c r="CP180" s="1">
        <v>5.8250000000000002</v>
      </c>
      <c r="CQ180" s="3">
        <v>45946</v>
      </c>
      <c r="CR180" s="1">
        <v>5.75</v>
      </c>
      <c r="CS180" s="3">
        <v>45946</v>
      </c>
      <c r="CT180" s="1">
        <v>5.75</v>
      </c>
    </row>
    <row r="181" spans="31:98" x14ac:dyDescent="0.2">
      <c r="AE181" s="3">
        <v>45951</v>
      </c>
      <c r="AF181" s="1">
        <v>4.5</v>
      </c>
      <c r="AG181" s="3">
        <v>45937</v>
      </c>
      <c r="AH181" s="1">
        <v>4.6900000000000004</v>
      </c>
      <c r="AI181" s="3">
        <v>45951</v>
      </c>
      <c r="AJ181" s="2">
        <v>4.32</v>
      </c>
      <c r="AK181" s="3">
        <v>45951</v>
      </c>
      <c r="AL181" s="2">
        <v>4.2474999999999996</v>
      </c>
      <c r="AM181" s="3">
        <v>45951</v>
      </c>
      <c r="AN181" s="2">
        <v>4.0949999999999998</v>
      </c>
      <c r="AO181" s="3">
        <v>45951</v>
      </c>
      <c r="AP181" s="2">
        <v>3.75</v>
      </c>
      <c r="AQ181" s="3">
        <v>45951</v>
      </c>
      <c r="AR181" s="2">
        <v>3.64</v>
      </c>
      <c r="AS181" s="3">
        <v>45951</v>
      </c>
      <c r="AT181" s="2">
        <v>3.625</v>
      </c>
      <c r="AU181" s="3">
        <v>45951</v>
      </c>
      <c r="AV181" s="2">
        <v>3.6274999999999999</v>
      </c>
      <c r="AW181" s="3">
        <v>45951</v>
      </c>
      <c r="AX181" s="2">
        <v>3.6324999999999998</v>
      </c>
      <c r="AY181" s="3">
        <v>45951</v>
      </c>
      <c r="AZ181" s="2">
        <v>3.645</v>
      </c>
      <c r="BB181" s="3">
        <v>45937</v>
      </c>
      <c r="BC181" s="1">
        <v>3.5</v>
      </c>
      <c r="BD181" s="3">
        <v>45937</v>
      </c>
      <c r="BE181" s="1">
        <v>3.53</v>
      </c>
      <c r="BF181" s="3">
        <v>45951</v>
      </c>
      <c r="BG181" s="1">
        <v>3.5249999999999999</v>
      </c>
      <c r="BH181" s="3">
        <v>45951</v>
      </c>
      <c r="BI181" s="1">
        <v>3.5129999999999999</v>
      </c>
      <c r="BJ181" s="3">
        <v>45951</v>
      </c>
      <c r="BK181" s="1">
        <v>3.5</v>
      </c>
      <c r="BL181" s="3">
        <v>45951</v>
      </c>
      <c r="BM181" s="1">
        <v>3.448</v>
      </c>
      <c r="BN181" s="3">
        <v>45951</v>
      </c>
      <c r="BO181" s="1">
        <v>3.4430000000000001</v>
      </c>
      <c r="BP181" s="3">
        <v>45951</v>
      </c>
      <c r="BQ181" s="1">
        <v>3.4849999999999999</v>
      </c>
      <c r="BR181" s="3">
        <v>45951</v>
      </c>
      <c r="BS181" s="1">
        <v>3.53</v>
      </c>
      <c r="BT181" s="3">
        <v>45951</v>
      </c>
      <c r="BU181" s="1">
        <v>3.58</v>
      </c>
      <c r="BV181" s="3">
        <v>45951</v>
      </c>
      <c r="BW181" s="1">
        <v>3.63</v>
      </c>
      <c r="BY181" s="3">
        <v>45946</v>
      </c>
      <c r="BZ181" s="1">
        <v>6.5</v>
      </c>
      <c r="CA181" s="3">
        <v>45936</v>
      </c>
      <c r="CB181" s="1">
        <v>6.5</v>
      </c>
      <c r="CC181" s="3">
        <v>45951</v>
      </c>
      <c r="CD181" s="1">
        <v>6.4649999999999999</v>
      </c>
      <c r="CE181" s="3">
        <v>45951</v>
      </c>
      <c r="CF181" s="1">
        <v>6.415</v>
      </c>
      <c r="CG181" s="3">
        <v>45951</v>
      </c>
      <c r="CH181" s="1">
        <v>6.38</v>
      </c>
      <c r="CI181" s="3">
        <v>45951</v>
      </c>
      <c r="CJ181" s="1">
        <v>6.22</v>
      </c>
      <c r="CK181" s="3">
        <v>45951</v>
      </c>
      <c r="CL181" s="1">
        <v>6.06</v>
      </c>
      <c r="CM181" s="3">
        <v>45951</v>
      </c>
      <c r="CN181" s="1">
        <v>5.88</v>
      </c>
      <c r="CO181" s="3">
        <v>45945</v>
      </c>
      <c r="CP181" s="1">
        <v>5.8</v>
      </c>
      <c r="CQ181" s="3">
        <v>45945</v>
      </c>
      <c r="CR181" s="1">
        <v>5.7249999999999996</v>
      </c>
      <c r="CS181" s="3">
        <v>45945</v>
      </c>
      <c r="CT181" s="1">
        <v>5.72</v>
      </c>
    </row>
    <row r="182" spans="31:98" x14ac:dyDescent="0.2">
      <c r="AE182" s="3">
        <v>45950</v>
      </c>
      <c r="AF182" s="1">
        <v>4.5</v>
      </c>
      <c r="AG182" s="3">
        <v>45936</v>
      </c>
      <c r="AH182" s="1">
        <v>4.6900000000000004</v>
      </c>
      <c r="AI182" s="3">
        <v>45950</v>
      </c>
      <c r="AJ182" s="2">
        <v>4.3224999999999998</v>
      </c>
      <c r="AK182" s="3">
        <v>45950</v>
      </c>
      <c r="AL182" s="2">
        <v>4.2525000000000004</v>
      </c>
      <c r="AM182" s="3">
        <v>45950</v>
      </c>
      <c r="AN182" s="2">
        <v>4.1050000000000004</v>
      </c>
      <c r="AO182" s="3">
        <v>45950</v>
      </c>
      <c r="AP182" s="2">
        <v>3.7749999999999999</v>
      </c>
      <c r="AQ182" s="3">
        <v>45950</v>
      </c>
      <c r="AR182" s="2">
        <v>3.67</v>
      </c>
      <c r="AS182" s="3">
        <v>45950</v>
      </c>
      <c r="AT182" s="2">
        <v>3.6575000000000002</v>
      </c>
      <c r="AU182" s="3">
        <v>45950</v>
      </c>
      <c r="AV182" s="2">
        <v>3.6625000000000001</v>
      </c>
      <c r="AW182" s="3">
        <v>45950</v>
      </c>
      <c r="AX182" s="2">
        <v>3.6724999999999999</v>
      </c>
      <c r="AY182" s="3">
        <v>45950</v>
      </c>
      <c r="AZ182" s="2">
        <v>3.6850000000000001</v>
      </c>
      <c r="BB182" s="3">
        <v>45936</v>
      </c>
      <c r="BC182" s="1">
        <v>3.5</v>
      </c>
      <c r="BD182" s="3">
        <v>45936</v>
      </c>
      <c r="BE182" s="1">
        <v>3.53</v>
      </c>
      <c r="BF182" s="3">
        <v>45950</v>
      </c>
      <c r="BG182" s="1">
        <v>3.52</v>
      </c>
      <c r="BH182" s="3">
        <v>45950</v>
      </c>
      <c r="BI182" s="1">
        <v>3.504</v>
      </c>
      <c r="BJ182" s="3">
        <v>45950</v>
      </c>
      <c r="BK182" s="1">
        <v>3.4950000000000001</v>
      </c>
      <c r="BL182" s="3">
        <v>45950</v>
      </c>
      <c r="BM182" s="1">
        <v>3.44</v>
      </c>
      <c r="BN182" s="3">
        <v>45950</v>
      </c>
      <c r="BO182" s="1">
        <v>3.423</v>
      </c>
      <c r="BP182" s="3">
        <v>45950</v>
      </c>
      <c r="BQ182" s="1">
        <v>3.4630000000000001</v>
      </c>
      <c r="BR182" s="3">
        <v>45950</v>
      </c>
      <c r="BS182" s="1">
        <v>3.508</v>
      </c>
      <c r="BT182" s="3">
        <v>45950</v>
      </c>
      <c r="BU182" s="1">
        <v>3.5529999999999999</v>
      </c>
      <c r="BV182" s="3">
        <v>45950</v>
      </c>
      <c r="BW182" s="1">
        <v>3.6</v>
      </c>
      <c r="BY182" s="3">
        <v>45945</v>
      </c>
      <c r="BZ182" s="1">
        <v>6.5</v>
      </c>
      <c r="CA182" s="3">
        <v>45933</v>
      </c>
      <c r="CB182" s="1">
        <v>6.5</v>
      </c>
      <c r="CC182" s="3">
        <v>45950</v>
      </c>
      <c r="CD182" s="1">
        <v>6.44</v>
      </c>
      <c r="CE182" s="3">
        <v>45950</v>
      </c>
      <c r="CF182" s="1">
        <v>6.41</v>
      </c>
      <c r="CG182" s="3">
        <v>45950</v>
      </c>
      <c r="CH182" s="1">
        <v>6.38</v>
      </c>
      <c r="CI182" s="3">
        <v>45950</v>
      </c>
      <c r="CJ182" s="1">
        <v>6.22</v>
      </c>
      <c r="CK182" s="3">
        <v>45950</v>
      </c>
      <c r="CL182" s="1">
        <v>6.08</v>
      </c>
      <c r="CM182" s="3">
        <v>45950</v>
      </c>
      <c r="CN182" s="1">
        <v>5.89</v>
      </c>
      <c r="CO182" s="3">
        <v>45944</v>
      </c>
      <c r="CP182" s="1">
        <v>5.7850000000000001</v>
      </c>
      <c r="CQ182" s="3">
        <v>45944</v>
      </c>
      <c r="CR182" s="1">
        <v>5.71</v>
      </c>
      <c r="CS182" s="3">
        <v>45944</v>
      </c>
      <c r="CT182" s="1">
        <v>5.7050000000000001</v>
      </c>
    </row>
    <row r="183" spans="31:98" x14ac:dyDescent="0.2">
      <c r="AE183" s="3">
        <v>45947</v>
      </c>
      <c r="AF183" s="1">
        <v>4.5</v>
      </c>
      <c r="AG183" s="3">
        <v>45933</v>
      </c>
      <c r="AH183" s="1">
        <v>4.7</v>
      </c>
      <c r="AI183" s="3">
        <v>45947</v>
      </c>
      <c r="AJ183" s="2">
        <v>4.3250000000000002</v>
      </c>
      <c r="AK183" s="3">
        <v>45947</v>
      </c>
      <c r="AL183" s="2">
        <v>4.2549999999999999</v>
      </c>
      <c r="AM183" s="3">
        <v>45947</v>
      </c>
      <c r="AN183" s="2">
        <v>4.1100000000000003</v>
      </c>
      <c r="AO183" s="3">
        <v>45947</v>
      </c>
      <c r="AP183" s="2">
        <v>3.7974999999999999</v>
      </c>
      <c r="AQ183" s="3">
        <v>45947</v>
      </c>
      <c r="AR183" s="2">
        <v>3.6949999999999998</v>
      </c>
      <c r="AS183" s="3">
        <v>45947</v>
      </c>
      <c r="AT183" s="2">
        <v>3.6825000000000001</v>
      </c>
      <c r="AU183" s="3">
        <v>45947</v>
      </c>
      <c r="AV183" s="2">
        <v>3.6924999999999999</v>
      </c>
      <c r="AW183" s="3">
        <v>45947</v>
      </c>
      <c r="AX183" s="2">
        <v>3.7050000000000001</v>
      </c>
      <c r="AY183" s="3">
        <v>45947</v>
      </c>
      <c r="AZ183" s="2">
        <v>3.72</v>
      </c>
      <c r="BB183" s="3">
        <v>45933</v>
      </c>
      <c r="BC183" s="1">
        <v>3.5</v>
      </c>
      <c r="BD183" s="3">
        <v>45933</v>
      </c>
      <c r="BE183" s="1">
        <v>3.52</v>
      </c>
      <c r="BF183" s="3">
        <v>45947</v>
      </c>
      <c r="BG183" s="1">
        <v>3.52</v>
      </c>
      <c r="BH183" s="3">
        <v>45947</v>
      </c>
      <c r="BI183" s="1">
        <v>3.508</v>
      </c>
      <c r="BJ183" s="3">
        <v>45947</v>
      </c>
      <c r="BK183" s="1">
        <v>3.4980000000000002</v>
      </c>
      <c r="BL183" s="3">
        <v>45947</v>
      </c>
      <c r="BM183" s="1">
        <v>3.448</v>
      </c>
      <c r="BN183" s="3">
        <v>45947</v>
      </c>
      <c r="BO183" s="1">
        <v>3.4329999999999998</v>
      </c>
      <c r="BP183" s="3">
        <v>45947</v>
      </c>
      <c r="BQ183" s="1">
        <v>3.48</v>
      </c>
      <c r="BR183" s="3">
        <v>45947</v>
      </c>
      <c r="BS183" s="1">
        <v>3.528</v>
      </c>
      <c r="BT183" s="3">
        <v>45947</v>
      </c>
      <c r="BU183" s="1">
        <v>3.573</v>
      </c>
      <c r="BV183" s="3">
        <v>45947</v>
      </c>
      <c r="BW183" s="1">
        <v>3.6179999999999999</v>
      </c>
      <c r="BY183" s="3">
        <v>45944</v>
      </c>
      <c r="BZ183" s="1">
        <v>6.5</v>
      </c>
      <c r="CA183" s="3">
        <v>45932</v>
      </c>
      <c r="CB183" s="1">
        <v>6.5</v>
      </c>
      <c r="CC183" s="3">
        <v>45947</v>
      </c>
      <c r="CD183" s="1">
        <v>6.46</v>
      </c>
      <c r="CE183" s="3">
        <v>45947</v>
      </c>
      <c r="CF183" s="1">
        <v>6.43</v>
      </c>
      <c r="CG183" s="3">
        <v>45947</v>
      </c>
      <c r="CH183" s="1">
        <v>6.4</v>
      </c>
      <c r="CI183" s="3">
        <v>45947</v>
      </c>
      <c r="CJ183" s="1">
        <v>6.23</v>
      </c>
      <c r="CK183" s="3">
        <v>45947</v>
      </c>
      <c r="CL183" s="1">
        <v>6.09</v>
      </c>
      <c r="CM183" s="3">
        <v>45947</v>
      </c>
      <c r="CN183" s="1">
        <v>5.91</v>
      </c>
      <c r="CO183" s="3">
        <v>45943</v>
      </c>
      <c r="CP183" s="1">
        <v>5.7549999999999999</v>
      </c>
      <c r="CQ183" s="3">
        <v>45943</v>
      </c>
      <c r="CR183" s="1">
        <v>5.6749999999999998</v>
      </c>
      <c r="CS183" s="3">
        <v>45943</v>
      </c>
      <c r="CT183" s="1">
        <v>5.665</v>
      </c>
    </row>
    <row r="184" spans="31:98" x14ac:dyDescent="0.2">
      <c r="AE184" s="3">
        <v>45946</v>
      </c>
      <c r="AF184" s="1">
        <v>4.5</v>
      </c>
      <c r="AG184" s="3">
        <v>45932</v>
      </c>
      <c r="AH184" s="1">
        <v>4.7</v>
      </c>
      <c r="AI184" s="3">
        <v>45946</v>
      </c>
      <c r="AJ184" s="2">
        <v>4.3274999999999997</v>
      </c>
      <c r="AK184" s="3">
        <v>45946</v>
      </c>
      <c r="AL184" s="2">
        <v>4.2525000000000004</v>
      </c>
      <c r="AM184" s="3">
        <v>45946</v>
      </c>
      <c r="AN184" s="2">
        <v>4.12</v>
      </c>
      <c r="AO184" s="3">
        <v>45946</v>
      </c>
      <c r="AP184" s="2">
        <v>3.82</v>
      </c>
      <c r="AQ184" s="3">
        <v>45946</v>
      </c>
      <c r="AR184" s="2">
        <v>3.71</v>
      </c>
      <c r="AS184" s="3">
        <v>45946</v>
      </c>
      <c r="AT184" s="2">
        <v>3.7025000000000001</v>
      </c>
      <c r="AU184" s="3">
        <v>45946</v>
      </c>
      <c r="AV184" s="2">
        <v>3.7075</v>
      </c>
      <c r="AW184" s="3">
        <v>45946</v>
      </c>
      <c r="AX184" s="2">
        <v>3.7174999999999998</v>
      </c>
      <c r="AY184" s="3">
        <v>45946</v>
      </c>
      <c r="AZ184" s="2">
        <v>3.7324999999999999</v>
      </c>
      <c r="BB184" s="3">
        <v>45932</v>
      </c>
      <c r="BC184" s="1">
        <v>3.5</v>
      </c>
      <c r="BD184" s="3">
        <v>45932</v>
      </c>
      <c r="BE184" s="1">
        <v>3.52</v>
      </c>
      <c r="BF184" s="3">
        <v>45946</v>
      </c>
      <c r="BG184" s="1">
        <v>3.5249999999999999</v>
      </c>
      <c r="BH184" s="3">
        <v>45946</v>
      </c>
      <c r="BI184" s="1">
        <v>3.516</v>
      </c>
      <c r="BJ184" s="3">
        <v>45946</v>
      </c>
      <c r="BK184" s="1">
        <v>3.5</v>
      </c>
      <c r="BL184" s="3">
        <v>45946</v>
      </c>
      <c r="BM184" s="1">
        <v>3.47</v>
      </c>
      <c r="BN184" s="3">
        <v>45946</v>
      </c>
      <c r="BO184" s="1">
        <v>3.4529999999999998</v>
      </c>
      <c r="BP184" s="3">
        <v>45946</v>
      </c>
      <c r="BQ184" s="1">
        <v>3.4950000000000001</v>
      </c>
      <c r="BR184" s="3">
        <v>45946</v>
      </c>
      <c r="BS184" s="1">
        <v>3.54</v>
      </c>
      <c r="BT184" s="3">
        <v>45946</v>
      </c>
      <c r="BU184" s="1">
        <v>3.585</v>
      </c>
      <c r="BV184" s="3">
        <v>45946</v>
      </c>
      <c r="BW184" s="1">
        <v>3.6349999999999998</v>
      </c>
      <c r="BY184" s="3">
        <v>45943</v>
      </c>
      <c r="BZ184" s="1">
        <v>6.5</v>
      </c>
      <c r="CA184" s="3">
        <v>45931</v>
      </c>
      <c r="CB184" s="1">
        <v>6.5</v>
      </c>
      <c r="CC184" s="3">
        <v>45946</v>
      </c>
      <c r="CD184" s="1">
        <v>6.48</v>
      </c>
      <c r="CE184" s="3">
        <v>45946</v>
      </c>
      <c r="CF184" s="1">
        <v>6.43</v>
      </c>
      <c r="CG184" s="3">
        <v>45946</v>
      </c>
      <c r="CH184" s="1">
        <v>6.39</v>
      </c>
      <c r="CI184" s="3">
        <v>45946</v>
      </c>
      <c r="CJ184" s="1">
        <v>6.25</v>
      </c>
      <c r="CK184" s="3">
        <v>45946</v>
      </c>
      <c r="CL184" s="1">
        <v>6.11</v>
      </c>
      <c r="CM184" s="3">
        <v>45946</v>
      </c>
      <c r="CN184" s="1">
        <v>5.94</v>
      </c>
      <c r="CO184" s="3">
        <v>45940</v>
      </c>
      <c r="CP184" s="1">
        <v>5.8</v>
      </c>
      <c r="CQ184" s="3">
        <v>45940</v>
      </c>
      <c r="CR184" s="1">
        <v>5.72</v>
      </c>
      <c r="CS184" s="3">
        <v>45940</v>
      </c>
      <c r="CT184" s="1">
        <v>5.71</v>
      </c>
    </row>
    <row r="185" spans="31:98" x14ac:dyDescent="0.2">
      <c r="AE185" s="3">
        <v>45945</v>
      </c>
      <c r="AF185" s="1">
        <v>4.5</v>
      </c>
      <c r="AG185" s="3">
        <v>45931</v>
      </c>
      <c r="AH185" s="1">
        <v>4.7</v>
      </c>
      <c r="AI185" s="3">
        <v>45945</v>
      </c>
      <c r="AJ185" s="2">
        <v>4.34</v>
      </c>
      <c r="AK185" s="3">
        <v>45945</v>
      </c>
      <c r="AL185" s="2">
        <v>4.26</v>
      </c>
      <c r="AM185" s="3">
        <v>45945</v>
      </c>
      <c r="AN185" s="2">
        <v>4.125</v>
      </c>
      <c r="AO185" s="3">
        <v>45945</v>
      </c>
      <c r="AP185" s="2">
        <v>3.8275000000000001</v>
      </c>
      <c r="AQ185" s="3">
        <v>45945</v>
      </c>
      <c r="AR185" s="2">
        <v>3.7075</v>
      </c>
      <c r="AS185" s="3">
        <v>45945</v>
      </c>
      <c r="AT185" s="2">
        <v>3.6949999999999998</v>
      </c>
      <c r="AU185" s="3">
        <v>45945</v>
      </c>
      <c r="AV185" s="2">
        <v>3.7</v>
      </c>
      <c r="AW185" s="3">
        <v>45945</v>
      </c>
      <c r="AX185" s="2">
        <v>3.71</v>
      </c>
      <c r="AY185" s="3">
        <v>45945</v>
      </c>
      <c r="AZ185" s="2">
        <v>3.7250000000000001</v>
      </c>
      <c r="BB185" s="3">
        <v>45931</v>
      </c>
      <c r="BC185" s="1">
        <v>3.5</v>
      </c>
      <c r="BD185" s="3">
        <v>45931</v>
      </c>
      <c r="BE185" s="1">
        <v>3.52</v>
      </c>
      <c r="BF185" s="3">
        <v>45945</v>
      </c>
      <c r="BG185" s="1">
        <v>3.5249999999999999</v>
      </c>
      <c r="BH185" s="3">
        <v>45945</v>
      </c>
      <c r="BI185" s="1">
        <v>3.524</v>
      </c>
      <c r="BJ185" s="3">
        <v>45945</v>
      </c>
      <c r="BK185" s="1">
        <v>3.5150000000000001</v>
      </c>
      <c r="BL185" s="3">
        <v>45945</v>
      </c>
      <c r="BM185" s="1">
        <v>3.4950000000000001</v>
      </c>
      <c r="BN185" s="3">
        <v>45945</v>
      </c>
      <c r="BO185" s="1">
        <v>3.48</v>
      </c>
      <c r="BP185" s="3">
        <v>45945</v>
      </c>
      <c r="BQ185" s="1">
        <v>3.5150000000000001</v>
      </c>
      <c r="BR185" s="3">
        <v>45945</v>
      </c>
      <c r="BS185" s="1">
        <v>3.5579999999999998</v>
      </c>
      <c r="BT185" s="3">
        <v>45945</v>
      </c>
      <c r="BU185" s="1">
        <v>3.6030000000000002</v>
      </c>
      <c r="BV185" s="3">
        <v>45945</v>
      </c>
      <c r="BW185" s="1">
        <v>3.653</v>
      </c>
      <c r="BY185" s="3">
        <v>45940</v>
      </c>
      <c r="BZ185" s="1">
        <v>6.5</v>
      </c>
      <c r="CA185" s="3">
        <v>45930</v>
      </c>
      <c r="CB185" s="1">
        <v>6.5</v>
      </c>
      <c r="CC185" s="3">
        <v>45945</v>
      </c>
      <c r="CD185" s="1">
        <v>6.49</v>
      </c>
      <c r="CE185" s="3">
        <v>45945</v>
      </c>
      <c r="CF185" s="1">
        <v>6.45</v>
      </c>
      <c r="CG185" s="3">
        <v>45945</v>
      </c>
      <c r="CH185" s="1">
        <v>6.4</v>
      </c>
      <c r="CI185" s="3">
        <v>45945</v>
      </c>
      <c r="CJ185" s="1">
        <v>6.24</v>
      </c>
      <c r="CK185" s="3">
        <v>45945</v>
      </c>
      <c r="CL185" s="1">
        <v>6.09</v>
      </c>
      <c r="CM185" s="3">
        <v>45945</v>
      </c>
      <c r="CN185" s="1">
        <v>5.92</v>
      </c>
      <c r="CO185" s="3">
        <v>45939</v>
      </c>
      <c r="CP185" s="1">
        <v>5.8150000000000004</v>
      </c>
      <c r="CQ185" s="3">
        <v>45939</v>
      </c>
      <c r="CR185" s="1">
        <v>5.7450000000000001</v>
      </c>
      <c r="CS185" s="3">
        <v>45939</v>
      </c>
      <c r="CT185" s="1">
        <v>5.7450000000000001</v>
      </c>
    </row>
    <row r="186" spans="31:98" x14ac:dyDescent="0.2">
      <c r="AE186" s="3">
        <v>45944</v>
      </c>
      <c r="AF186" s="1">
        <v>4.5</v>
      </c>
      <c r="AG186" s="3">
        <v>45930</v>
      </c>
      <c r="AH186" s="1">
        <v>4.72</v>
      </c>
      <c r="AI186" s="3">
        <v>45944</v>
      </c>
      <c r="AJ186" s="2">
        <v>4.3224999999999998</v>
      </c>
      <c r="AK186" s="3">
        <v>45944</v>
      </c>
      <c r="AL186" s="2">
        <v>4.2275</v>
      </c>
      <c r="AM186" s="3">
        <v>45944</v>
      </c>
      <c r="AN186" s="2">
        <v>4.1150000000000002</v>
      </c>
      <c r="AO186" s="3">
        <v>45944</v>
      </c>
      <c r="AP186" s="2">
        <v>3.8025000000000002</v>
      </c>
      <c r="AQ186" s="3">
        <v>45944</v>
      </c>
      <c r="AR186" s="2">
        <v>3.6850000000000001</v>
      </c>
      <c r="AS186" s="3">
        <v>45944</v>
      </c>
      <c r="AT186" s="2">
        <v>3.67</v>
      </c>
      <c r="AU186" s="3">
        <v>45944</v>
      </c>
      <c r="AV186" s="2">
        <v>3.6749999999999998</v>
      </c>
      <c r="AW186" s="3">
        <v>45944</v>
      </c>
      <c r="AX186" s="2">
        <v>3.6825000000000001</v>
      </c>
      <c r="AY186" s="3">
        <v>45944</v>
      </c>
      <c r="AZ186" s="2">
        <v>3.6949999999999998</v>
      </c>
      <c r="BB186" s="3">
        <v>45930</v>
      </c>
      <c r="BC186" s="1">
        <v>3.5</v>
      </c>
      <c r="BD186" s="3">
        <v>45930</v>
      </c>
      <c r="BE186" s="1">
        <v>3.51</v>
      </c>
      <c r="BF186" s="3">
        <v>45944</v>
      </c>
      <c r="BG186" s="1">
        <v>3.5249999999999999</v>
      </c>
      <c r="BH186" s="3">
        <v>45944</v>
      </c>
      <c r="BI186" s="1">
        <v>3.5230000000000001</v>
      </c>
      <c r="BJ186" s="3">
        <v>45944</v>
      </c>
      <c r="BK186" s="1">
        <v>3.5129999999999999</v>
      </c>
      <c r="BL186" s="3">
        <v>45944</v>
      </c>
      <c r="BM186" s="1">
        <v>3.5</v>
      </c>
      <c r="BN186" s="3">
        <v>45944</v>
      </c>
      <c r="BO186" s="1">
        <v>3.4849999999999999</v>
      </c>
      <c r="BP186" s="3">
        <v>45944</v>
      </c>
      <c r="BQ186" s="1">
        <v>3.5249999999999999</v>
      </c>
      <c r="BR186" s="3">
        <v>45944</v>
      </c>
      <c r="BS186" s="1">
        <v>3.57</v>
      </c>
      <c r="BT186" s="3">
        <v>45944</v>
      </c>
      <c r="BU186" s="1">
        <v>3.62</v>
      </c>
      <c r="BV186" s="3">
        <v>45944</v>
      </c>
      <c r="BW186" s="1">
        <v>3.6779999999999999</v>
      </c>
      <c r="BY186" s="3">
        <v>45939</v>
      </c>
      <c r="BZ186" s="1">
        <v>6.5</v>
      </c>
      <c r="CA186" s="3">
        <v>45929</v>
      </c>
      <c r="CB186" s="1">
        <v>6.5</v>
      </c>
      <c r="CC186" s="3">
        <v>45944</v>
      </c>
      <c r="CD186" s="1">
        <v>6.48</v>
      </c>
      <c r="CE186" s="3">
        <v>45944</v>
      </c>
      <c r="CF186" s="1">
        <v>6.46</v>
      </c>
      <c r="CG186" s="3">
        <v>45944</v>
      </c>
      <c r="CH186" s="1">
        <v>6.39</v>
      </c>
      <c r="CI186" s="3">
        <v>45944</v>
      </c>
      <c r="CJ186" s="1">
        <v>6.23</v>
      </c>
      <c r="CK186" s="3">
        <v>45944</v>
      </c>
      <c r="CL186" s="1">
        <v>6.09</v>
      </c>
      <c r="CM186" s="3">
        <v>45944</v>
      </c>
      <c r="CN186" s="1">
        <v>5.9050000000000002</v>
      </c>
      <c r="CO186" s="3">
        <v>45938</v>
      </c>
      <c r="CP186" s="1">
        <v>5.81</v>
      </c>
      <c r="CQ186" s="3">
        <v>45938</v>
      </c>
      <c r="CR186" s="1">
        <v>5.74</v>
      </c>
      <c r="CS186" s="3">
        <v>45938</v>
      </c>
      <c r="CT186" s="1">
        <v>5.74</v>
      </c>
    </row>
    <row r="187" spans="31:98" x14ac:dyDescent="0.2">
      <c r="AE187" s="3">
        <v>45943</v>
      </c>
      <c r="AF187" s="1">
        <v>4.5</v>
      </c>
      <c r="AG187" s="3">
        <v>45929</v>
      </c>
      <c r="AH187" s="1">
        <v>4.74</v>
      </c>
      <c r="AI187" s="3">
        <v>45943</v>
      </c>
      <c r="AJ187" s="2">
        <v>4.34</v>
      </c>
      <c r="AK187" s="3">
        <v>45943</v>
      </c>
      <c r="AL187" s="2">
        <v>4.25</v>
      </c>
      <c r="AM187" s="3">
        <v>45943</v>
      </c>
      <c r="AN187" s="2">
        <v>4.1449999999999996</v>
      </c>
      <c r="AO187" s="3">
        <v>45943</v>
      </c>
      <c r="AP187" s="2">
        <v>3.8325</v>
      </c>
      <c r="AQ187" s="3">
        <v>45943</v>
      </c>
      <c r="AR187" s="2">
        <v>3.7050000000000001</v>
      </c>
      <c r="AS187" s="3">
        <v>45943</v>
      </c>
      <c r="AT187" s="2">
        <v>3.6949999999999998</v>
      </c>
      <c r="AU187" s="3">
        <v>45943</v>
      </c>
      <c r="AV187" s="2">
        <v>3.7</v>
      </c>
      <c r="AW187" s="3">
        <v>45943</v>
      </c>
      <c r="AX187" s="2">
        <v>3.71</v>
      </c>
      <c r="AY187" s="3">
        <v>45943</v>
      </c>
      <c r="AZ187" s="2">
        <v>3.7250000000000001</v>
      </c>
      <c r="BB187" s="3">
        <v>45929</v>
      </c>
      <c r="BC187" s="1">
        <v>3.5</v>
      </c>
      <c r="BD187" s="3">
        <v>45929</v>
      </c>
      <c r="BE187" s="1">
        <v>3.5</v>
      </c>
      <c r="BF187" s="3">
        <v>45943</v>
      </c>
      <c r="BG187" s="1">
        <v>3.5350000000000001</v>
      </c>
      <c r="BH187" s="3">
        <v>45943</v>
      </c>
      <c r="BI187" s="1">
        <v>3.5310000000000001</v>
      </c>
      <c r="BJ187" s="3">
        <v>45943</v>
      </c>
      <c r="BK187" s="1">
        <v>3.528</v>
      </c>
      <c r="BL187" s="3">
        <v>45943</v>
      </c>
      <c r="BM187" s="1">
        <v>3.508</v>
      </c>
      <c r="BN187" s="3">
        <v>45943</v>
      </c>
      <c r="BO187" s="1">
        <v>3.49</v>
      </c>
      <c r="BP187" s="3">
        <v>45943</v>
      </c>
      <c r="BQ187" s="1">
        <v>3.5150000000000001</v>
      </c>
      <c r="BR187" s="3">
        <v>45943</v>
      </c>
      <c r="BS187" s="1">
        <v>3.5449999999999999</v>
      </c>
      <c r="BT187" s="3">
        <v>45943</v>
      </c>
      <c r="BU187" s="1">
        <v>3.58</v>
      </c>
      <c r="BV187" s="3">
        <v>45943</v>
      </c>
      <c r="BW187" s="1">
        <v>3.63</v>
      </c>
      <c r="BY187" s="3">
        <v>45938</v>
      </c>
      <c r="BZ187" s="1">
        <v>6.5</v>
      </c>
      <c r="CA187" s="3">
        <v>45926</v>
      </c>
      <c r="CB187" s="1">
        <v>6.5</v>
      </c>
      <c r="CC187" s="3">
        <v>45943</v>
      </c>
      <c r="CD187" s="1">
        <v>6.49</v>
      </c>
      <c r="CE187" s="3">
        <v>45943</v>
      </c>
      <c r="CF187" s="1">
        <v>6.46</v>
      </c>
      <c r="CG187" s="3">
        <v>45943</v>
      </c>
      <c r="CH187" s="1">
        <v>6.38</v>
      </c>
      <c r="CI187" s="3">
        <v>45943</v>
      </c>
      <c r="CJ187" s="1">
        <v>6.21</v>
      </c>
      <c r="CK187" s="3">
        <v>45943</v>
      </c>
      <c r="CL187" s="1">
        <v>6.05</v>
      </c>
      <c r="CM187" s="3">
        <v>45943</v>
      </c>
      <c r="CN187" s="1">
        <v>5.875</v>
      </c>
      <c r="CO187" s="3">
        <v>45937</v>
      </c>
      <c r="CP187" s="1">
        <v>5.7750000000000004</v>
      </c>
      <c r="CQ187" s="3">
        <v>45937</v>
      </c>
      <c r="CR187" s="1">
        <v>5.6950000000000003</v>
      </c>
      <c r="CS187" s="3">
        <v>45937</v>
      </c>
      <c r="CT187" s="1">
        <v>5.7050000000000001</v>
      </c>
    </row>
    <row r="188" spans="31:98" x14ac:dyDescent="0.2">
      <c r="AE188" s="3">
        <v>45940</v>
      </c>
      <c r="AF188" s="1">
        <v>4.5</v>
      </c>
      <c r="AG188" s="3">
        <v>45926</v>
      </c>
      <c r="AH188" s="1">
        <v>4.72</v>
      </c>
      <c r="AI188" s="3">
        <v>45940</v>
      </c>
      <c r="AJ188" s="2">
        <v>4.3375000000000004</v>
      </c>
      <c r="AK188" s="3">
        <v>45940</v>
      </c>
      <c r="AL188" s="2">
        <v>4.26</v>
      </c>
      <c r="AM188" s="3">
        <v>45940</v>
      </c>
      <c r="AN188" s="2">
        <v>4.1624999999999996</v>
      </c>
      <c r="AO188" s="3">
        <v>45940</v>
      </c>
      <c r="AP188" s="2">
        <v>3.8824999999999998</v>
      </c>
      <c r="AQ188" s="3">
        <v>45940</v>
      </c>
      <c r="AR188" s="2">
        <v>3.7650000000000001</v>
      </c>
      <c r="AS188" s="3">
        <v>45940</v>
      </c>
      <c r="AT188" s="2">
        <v>3.7549999999999999</v>
      </c>
      <c r="AU188" s="3">
        <v>45940</v>
      </c>
      <c r="AV188" s="2">
        <v>3.7625000000000002</v>
      </c>
      <c r="AW188" s="3">
        <v>45940</v>
      </c>
      <c r="AX188" s="2">
        <v>3.7774999999999999</v>
      </c>
      <c r="AY188" s="3">
        <v>45940</v>
      </c>
      <c r="AZ188" s="2">
        <v>3.7949999999999999</v>
      </c>
      <c r="BB188" s="3">
        <v>45926</v>
      </c>
      <c r="BC188" s="1">
        <v>3.5</v>
      </c>
      <c r="BD188" s="3">
        <v>45926</v>
      </c>
      <c r="BE188" s="1">
        <v>3.5</v>
      </c>
      <c r="BF188" s="3">
        <v>45940</v>
      </c>
      <c r="BG188" s="1">
        <v>3.5350000000000001</v>
      </c>
      <c r="BH188" s="3">
        <v>45940</v>
      </c>
      <c r="BI188" s="1">
        <v>3.5459999999999998</v>
      </c>
      <c r="BJ188" s="3">
        <v>45940</v>
      </c>
      <c r="BK188" s="1">
        <v>3.5430000000000001</v>
      </c>
      <c r="BL188" s="3">
        <v>45940</v>
      </c>
      <c r="BM188" s="1">
        <v>3.54</v>
      </c>
      <c r="BN188" s="3">
        <v>45940</v>
      </c>
      <c r="BO188" s="1">
        <v>3.5379999999999998</v>
      </c>
      <c r="BP188" s="3">
        <v>45940</v>
      </c>
      <c r="BQ188" s="1">
        <v>3.58</v>
      </c>
      <c r="BR188" s="3">
        <v>45940</v>
      </c>
      <c r="BS188" s="1">
        <v>3.6280000000000001</v>
      </c>
      <c r="BT188" s="3">
        <v>45940</v>
      </c>
      <c r="BU188" s="1">
        <v>3.6779999999999999</v>
      </c>
      <c r="BV188" s="3">
        <v>45940</v>
      </c>
      <c r="BW188" s="1">
        <v>3.7280000000000002</v>
      </c>
      <c r="BY188" s="3">
        <v>45937</v>
      </c>
      <c r="BZ188" s="1">
        <v>6.5</v>
      </c>
      <c r="CA188" s="3">
        <v>45925</v>
      </c>
      <c r="CB188" s="1">
        <v>6.5</v>
      </c>
      <c r="CC188" s="3">
        <v>45940</v>
      </c>
      <c r="CD188" s="1">
        <v>6.49</v>
      </c>
      <c r="CE188" s="3">
        <v>45940</v>
      </c>
      <c r="CF188" s="1">
        <v>6.46</v>
      </c>
      <c r="CG188" s="3">
        <v>45940</v>
      </c>
      <c r="CH188" s="1">
        <v>6.39</v>
      </c>
      <c r="CI188" s="3">
        <v>45940</v>
      </c>
      <c r="CJ188" s="1">
        <v>6.23</v>
      </c>
      <c r="CK188" s="3">
        <v>45940</v>
      </c>
      <c r="CL188" s="1">
        <v>6.08</v>
      </c>
      <c r="CM188" s="3">
        <v>45940</v>
      </c>
      <c r="CN188" s="1">
        <v>5.92</v>
      </c>
      <c r="CO188" s="3">
        <v>45936</v>
      </c>
      <c r="CP188" s="1">
        <v>5.8250000000000002</v>
      </c>
      <c r="CQ188" s="3">
        <v>45936</v>
      </c>
      <c r="CR188" s="1">
        <v>5.7450000000000001</v>
      </c>
      <c r="CS188" s="3">
        <v>45936</v>
      </c>
      <c r="CT188" s="1">
        <v>5.7549999999999999</v>
      </c>
    </row>
    <row r="189" spans="31:98" x14ac:dyDescent="0.2">
      <c r="AE189" s="3">
        <v>45939</v>
      </c>
      <c r="AF189" s="1">
        <v>4.5</v>
      </c>
      <c r="AG189" s="3">
        <v>45925</v>
      </c>
      <c r="AH189" s="1">
        <v>4.72</v>
      </c>
      <c r="AI189" s="3">
        <v>45939</v>
      </c>
      <c r="AJ189" s="2">
        <v>4.335</v>
      </c>
      <c r="AK189" s="3">
        <v>45939</v>
      </c>
      <c r="AL189" s="2">
        <v>4.2649999999999997</v>
      </c>
      <c r="AM189" s="3">
        <v>45939</v>
      </c>
      <c r="AN189" s="2">
        <v>4.17</v>
      </c>
      <c r="AO189" s="3">
        <v>45939</v>
      </c>
      <c r="AP189" s="2">
        <v>3.8925000000000001</v>
      </c>
      <c r="AQ189" s="3">
        <v>45939</v>
      </c>
      <c r="AR189" s="2">
        <v>3.7749999999999999</v>
      </c>
      <c r="AS189" s="3">
        <v>45939</v>
      </c>
      <c r="AT189" s="2">
        <v>3.7650000000000001</v>
      </c>
      <c r="AU189" s="3">
        <v>45939</v>
      </c>
      <c r="AV189" s="2">
        <v>3.7725</v>
      </c>
      <c r="AW189" s="3">
        <v>45939</v>
      </c>
      <c r="AX189" s="2">
        <v>3.7875000000000001</v>
      </c>
      <c r="AY189" s="3">
        <v>45939</v>
      </c>
      <c r="AZ189" s="2">
        <v>3.8075000000000001</v>
      </c>
      <c r="BB189" s="3">
        <v>45925</v>
      </c>
      <c r="BC189" s="1">
        <v>3.5</v>
      </c>
      <c r="BD189" s="3">
        <v>45925</v>
      </c>
      <c r="BE189" s="1">
        <v>3.5</v>
      </c>
      <c r="BF189" s="3">
        <v>45939</v>
      </c>
      <c r="BG189" s="1">
        <v>3.5350000000000001</v>
      </c>
      <c r="BH189" s="3">
        <v>45939</v>
      </c>
      <c r="BI189" s="1">
        <v>3.5449999999999999</v>
      </c>
      <c r="BJ189" s="3">
        <v>45939</v>
      </c>
      <c r="BK189" s="1">
        <v>3.54</v>
      </c>
      <c r="BL189" s="3">
        <v>45939</v>
      </c>
      <c r="BM189" s="1">
        <v>3.5449999999999999</v>
      </c>
      <c r="BN189" s="3">
        <v>45939</v>
      </c>
      <c r="BO189" s="1">
        <v>3.548</v>
      </c>
      <c r="BP189" s="3">
        <v>45939</v>
      </c>
      <c r="BQ189" s="1">
        <v>3.59</v>
      </c>
      <c r="BR189" s="3">
        <v>45939</v>
      </c>
      <c r="BS189" s="1">
        <v>3.633</v>
      </c>
      <c r="BT189" s="3">
        <v>45939</v>
      </c>
      <c r="BU189" s="1">
        <v>3.6779999999999999</v>
      </c>
      <c r="BV189" s="3">
        <v>45939</v>
      </c>
      <c r="BW189" s="1">
        <v>3.7280000000000002</v>
      </c>
      <c r="BY189" s="3">
        <v>45936</v>
      </c>
      <c r="BZ189" s="1">
        <v>6.5</v>
      </c>
      <c r="CA189" s="3">
        <v>45924</v>
      </c>
      <c r="CB189" s="1">
        <v>6.5</v>
      </c>
      <c r="CC189" s="3">
        <v>45939</v>
      </c>
      <c r="CD189" s="1">
        <v>6.49</v>
      </c>
      <c r="CE189" s="3">
        <v>45939</v>
      </c>
      <c r="CF189" s="1">
        <v>6.4550000000000001</v>
      </c>
      <c r="CG189" s="3">
        <v>45939</v>
      </c>
      <c r="CH189" s="1">
        <v>6.4</v>
      </c>
      <c r="CI189" s="3">
        <v>45939</v>
      </c>
      <c r="CJ189" s="1">
        <v>6.27</v>
      </c>
      <c r="CK189" s="3">
        <v>45939</v>
      </c>
      <c r="CL189" s="1">
        <v>6.12</v>
      </c>
      <c r="CM189" s="3">
        <v>45939</v>
      </c>
      <c r="CN189" s="1">
        <v>5.9249999999999998</v>
      </c>
      <c r="CO189" s="3">
        <v>45933</v>
      </c>
      <c r="CP189" s="1">
        <v>5.835</v>
      </c>
      <c r="CQ189" s="3">
        <v>45933</v>
      </c>
      <c r="CR189" s="1">
        <v>5.7549999999999999</v>
      </c>
      <c r="CS189" s="3">
        <v>45933</v>
      </c>
      <c r="CT189" s="1">
        <v>5.7649999999999997</v>
      </c>
    </row>
    <row r="190" spans="31:98" x14ac:dyDescent="0.2">
      <c r="AE190" s="3">
        <v>45938</v>
      </c>
      <c r="AF190" s="1">
        <v>4.5</v>
      </c>
      <c r="AG190" s="3">
        <v>45924</v>
      </c>
      <c r="AH190" s="1">
        <v>4.7300000000000004</v>
      </c>
      <c r="AI190" s="3">
        <v>45938</v>
      </c>
      <c r="AJ190" s="2">
        <v>4.3375000000000004</v>
      </c>
      <c r="AK190" s="3">
        <v>45938</v>
      </c>
      <c r="AL190" s="2">
        <v>4.2699999999999996</v>
      </c>
      <c r="AM190" s="3">
        <v>45938</v>
      </c>
      <c r="AN190" s="2">
        <v>4.18</v>
      </c>
      <c r="AO190" s="3">
        <v>45938</v>
      </c>
      <c r="AP190" s="2">
        <v>3.9075000000000002</v>
      </c>
      <c r="AQ190" s="3">
        <v>45938</v>
      </c>
      <c r="AR190" s="2">
        <v>3.77</v>
      </c>
      <c r="AS190" s="3">
        <v>45938</v>
      </c>
      <c r="AT190" s="2">
        <v>3.7549999999999999</v>
      </c>
      <c r="AU190" s="3">
        <v>45938</v>
      </c>
      <c r="AV190" s="2">
        <v>3.7625000000000002</v>
      </c>
      <c r="AW190" s="3">
        <v>45938</v>
      </c>
      <c r="AX190" s="2">
        <v>3.7774999999999999</v>
      </c>
      <c r="AY190" s="3">
        <v>45938</v>
      </c>
      <c r="AZ190" s="2">
        <v>3.7974999999999999</v>
      </c>
      <c r="BB190" s="3">
        <v>45924</v>
      </c>
      <c r="BC190" s="1">
        <v>3.5</v>
      </c>
      <c r="BD190" s="3">
        <v>45924</v>
      </c>
      <c r="BE190" s="1">
        <v>3.5</v>
      </c>
      <c r="BF190" s="3">
        <v>45938</v>
      </c>
      <c r="BG190" s="1">
        <v>3.5350000000000001</v>
      </c>
      <c r="BH190" s="3">
        <v>45938</v>
      </c>
      <c r="BI190" s="1">
        <v>3.5409999999999999</v>
      </c>
      <c r="BJ190" s="3">
        <v>45938</v>
      </c>
      <c r="BK190" s="1">
        <v>3.5329999999999999</v>
      </c>
      <c r="BL190" s="3">
        <v>45938</v>
      </c>
      <c r="BM190" s="1">
        <v>3.5329999999999999</v>
      </c>
      <c r="BN190" s="3">
        <v>45938</v>
      </c>
      <c r="BO190" s="1">
        <v>3.5379999999999998</v>
      </c>
      <c r="BP190" s="3">
        <v>45938</v>
      </c>
      <c r="BQ190" s="1">
        <v>3.5750000000000002</v>
      </c>
      <c r="BR190" s="3">
        <v>45938</v>
      </c>
      <c r="BS190" s="1">
        <v>3.6150000000000002</v>
      </c>
      <c r="BT190" s="3">
        <v>45938</v>
      </c>
      <c r="BU190" s="1">
        <v>3.653</v>
      </c>
      <c r="BV190" s="3">
        <v>45938</v>
      </c>
      <c r="BW190" s="1">
        <v>3.698</v>
      </c>
      <c r="BY190" s="3">
        <v>45933</v>
      </c>
      <c r="BZ190" s="1">
        <v>6.5</v>
      </c>
      <c r="CA190" s="3">
        <v>45923</v>
      </c>
      <c r="CB190" s="1">
        <v>6.5</v>
      </c>
      <c r="CC190" s="3">
        <v>45938</v>
      </c>
      <c r="CD190" s="1">
        <v>6.47</v>
      </c>
      <c r="CE190" s="3">
        <v>45938</v>
      </c>
      <c r="CF190" s="1">
        <v>6.4450000000000003</v>
      </c>
      <c r="CG190" s="3">
        <v>45938</v>
      </c>
      <c r="CH190" s="1">
        <v>6.39</v>
      </c>
      <c r="CI190" s="3">
        <v>45938</v>
      </c>
      <c r="CJ190" s="1">
        <v>6.26</v>
      </c>
      <c r="CK190" s="3">
        <v>45938</v>
      </c>
      <c r="CL190" s="1">
        <v>6.12</v>
      </c>
      <c r="CM190" s="3">
        <v>45938</v>
      </c>
      <c r="CN190" s="1">
        <v>5.92</v>
      </c>
      <c r="CO190" s="3">
        <v>45932</v>
      </c>
      <c r="CP190" s="1">
        <v>5.8049999999999997</v>
      </c>
      <c r="CQ190" s="3">
        <v>45932</v>
      </c>
      <c r="CR190" s="1">
        <v>5.7249999999999996</v>
      </c>
      <c r="CS190" s="3">
        <v>45932</v>
      </c>
      <c r="CT190" s="1">
        <v>5.7350000000000003</v>
      </c>
    </row>
    <row r="191" spans="31:98" x14ac:dyDescent="0.2">
      <c r="AE191" s="3">
        <v>45937</v>
      </c>
      <c r="AF191" s="1">
        <v>4.75</v>
      </c>
      <c r="AG191" s="3">
        <v>45923</v>
      </c>
      <c r="AH191" s="1">
        <v>4.7300000000000004</v>
      </c>
      <c r="AI191" s="3">
        <v>45937</v>
      </c>
      <c r="AJ191" s="2">
        <v>4.42</v>
      </c>
      <c r="AK191" s="3">
        <v>45937</v>
      </c>
      <c r="AL191" s="2">
        <v>4.34</v>
      </c>
      <c r="AM191" s="3">
        <v>45937</v>
      </c>
      <c r="AN191" s="2">
        <v>4.25</v>
      </c>
      <c r="AO191" s="3">
        <v>45937</v>
      </c>
      <c r="AP191" s="2">
        <v>3.9750000000000001</v>
      </c>
      <c r="AQ191" s="3">
        <v>45937</v>
      </c>
      <c r="AR191" s="2">
        <v>3.8264999999999998</v>
      </c>
      <c r="AS191" s="3">
        <v>45937</v>
      </c>
      <c r="AT191" s="2">
        <v>3.8025000000000002</v>
      </c>
      <c r="AU191" s="3">
        <v>45937</v>
      </c>
      <c r="AV191" s="2">
        <v>3.81</v>
      </c>
      <c r="AW191" s="3">
        <v>45937</v>
      </c>
      <c r="AX191" s="2">
        <v>3.8250000000000002</v>
      </c>
      <c r="AY191" s="3">
        <v>45937</v>
      </c>
      <c r="AZ191" s="2">
        <v>3.8424999999999998</v>
      </c>
      <c r="BB191" s="3">
        <v>45923</v>
      </c>
      <c r="BC191" s="1">
        <v>3.5</v>
      </c>
      <c r="BD191" s="3">
        <v>45923</v>
      </c>
      <c r="BE191" s="1">
        <v>3.5</v>
      </c>
      <c r="BF191" s="3">
        <v>45937</v>
      </c>
      <c r="BG191" s="1">
        <v>3.5249999999999999</v>
      </c>
      <c r="BH191" s="3">
        <v>45937</v>
      </c>
      <c r="BI191" s="1">
        <v>3.5329999999999999</v>
      </c>
      <c r="BJ191" s="3">
        <v>45937</v>
      </c>
      <c r="BK191" s="1">
        <v>3.5350000000000001</v>
      </c>
      <c r="BL191" s="3">
        <v>45937</v>
      </c>
      <c r="BM191" s="1">
        <v>3.54</v>
      </c>
      <c r="BN191" s="3">
        <v>45937</v>
      </c>
      <c r="BO191" s="1">
        <v>3.56</v>
      </c>
      <c r="BP191" s="3">
        <v>45937</v>
      </c>
      <c r="BQ191" s="1">
        <v>3.5950000000000002</v>
      </c>
      <c r="BR191" s="3">
        <v>45937</v>
      </c>
      <c r="BS191" s="1">
        <v>3.63</v>
      </c>
      <c r="BT191" s="3">
        <v>45937</v>
      </c>
      <c r="BU191" s="1">
        <v>3.67</v>
      </c>
      <c r="BV191" s="3">
        <v>45937</v>
      </c>
      <c r="BW191" s="1">
        <v>3.7149999999999999</v>
      </c>
      <c r="BY191" s="3">
        <v>45932</v>
      </c>
      <c r="BZ191" s="1">
        <v>6.5</v>
      </c>
      <c r="CA191" s="3">
        <v>45922</v>
      </c>
      <c r="CB191" s="1">
        <v>6.5</v>
      </c>
      <c r="CC191" s="3">
        <v>45937</v>
      </c>
      <c r="CD191" s="1">
        <v>6.46</v>
      </c>
      <c r="CE191" s="3">
        <v>45937</v>
      </c>
      <c r="CF191" s="1">
        <v>6.42</v>
      </c>
      <c r="CG191" s="3">
        <v>45937</v>
      </c>
      <c r="CH191" s="1">
        <v>6.38</v>
      </c>
      <c r="CI191" s="3">
        <v>45937</v>
      </c>
      <c r="CJ191" s="1">
        <v>6.21</v>
      </c>
      <c r="CK191" s="3">
        <v>45937</v>
      </c>
      <c r="CL191" s="1">
        <v>6.05</v>
      </c>
      <c r="CM191" s="3">
        <v>45937</v>
      </c>
      <c r="CN191" s="1">
        <v>5.8949999999999996</v>
      </c>
      <c r="CO191" s="3">
        <v>45931</v>
      </c>
      <c r="CP191" s="1">
        <v>5.77</v>
      </c>
      <c r="CQ191" s="3">
        <v>45931</v>
      </c>
      <c r="CR191" s="1">
        <v>5.69</v>
      </c>
      <c r="CS191" s="3">
        <v>45931</v>
      </c>
      <c r="CT191" s="1">
        <v>5.7</v>
      </c>
    </row>
    <row r="192" spans="31:98" x14ac:dyDescent="0.2">
      <c r="AE192" s="3">
        <v>45936</v>
      </c>
      <c r="AF192" s="1">
        <v>4.75</v>
      </c>
      <c r="AG192" s="3">
        <v>45922</v>
      </c>
      <c r="AH192" s="1">
        <v>4.74</v>
      </c>
      <c r="AI192" s="3">
        <v>45936</v>
      </c>
      <c r="AJ192" s="2">
        <v>4.4474999999999998</v>
      </c>
      <c r="AK192" s="3">
        <v>45936</v>
      </c>
      <c r="AL192" s="2">
        <v>4.3674999999999997</v>
      </c>
      <c r="AM192" s="3">
        <v>45936</v>
      </c>
      <c r="AN192" s="2">
        <v>4.2824999999999998</v>
      </c>
      <c r="AO192" s="3">
        <v>45936</v>
      </c>
      <c r="AP192" s="2">
        <v>3.9975000000000001</v>
      </c>
      <c r="AQ192" s="3">
        <v>45936</v>
      </c>
      <c r="AR192" s="2">
        <v>3.8475000000000001</v>
      </c>
      <c r="AS192" s="3">
        <v>45936</v>
      </c>
      <c r="AT192" s="2">
        <v>3.8149999999999999</v>
      </c>
      <c r="AU192" s="3">
        <v>45936</v>
      </c>
      <c r="AV192" s="2">
        <v>3.82</v>
      </c>
      <c r="AW192" s="3">
        <v>45936</v>
      </c>
      <c r="AX192" s="2">
        <v>3.835</v>
      </c>
      <c r="AY192" s="3">
        <v>45936</v>
      </c>
      <c r="AZ192" s="2">
        <v>3.8525</v>
      </c>
      <c r="BB192" s="3">
        <v>45922</v>
      </c>
      <c r="BC192" s="1">
        <v>3.5</v>
      </c>
      <c r="BD192" s="3">
        <v>45922</v>
      </c>
      <c r="BE192" s="1">
        <v>3.5</v>
      </c>
      <c r="BF192" s="3">
        <v>45936</v>
      </c>
      <c r="BG192" s="1">
        <v>3.5249999999999999</v>
      </c>
      <c r="BH192" s="3">
        <v>45936</v>
      </c>
      <c r="BI192" s="1">
        <v>3.5329999999999999</v>
      </c>
      <c r="BJ192" s="3">
        <v>45936</v>
      </c>
      <c r="BK192" s="1">
        <v>3.5350000000000001</v>
      </c>
      <c r="BL192" s="3">
        <v>45936</v>
      </c>
      <c r="BM192" s="1">
        <v>3.5379999999999998</v>
      </c>
      <c r="BN192" s="3">
        <v>45936</v>
      </c>
      <c r="BO192" s="1">
        <v>3.5579999999999998</v>
      </c>
      <c r="BP192" s="3">
        <v>45936</v>
      </c>
      <c r="BQ192" s="1">
        <v>3.5880000000000001</v>
      </c>
      <c r="BR192" s="3">
        <v>45936</v>
      </c>
      <c r="BS192" s="1">
        <v>3.63</v>
      </c>
      <c r="BT192" s="3">
        <v>45936</v>
      </c>
      <c r="BU192" s="1">
        <v>3.6749999999999998</v>
      </c>
      <c r="BV192" s="3">
        <v>45936</v>
      </c>
      <c r="BW192" s="1">
        <v>3.73</v>
      </c>
      <c r="BY192" s="3">
        <v>45931</v>
      </c>
      <c r="BZ192" s="1">
        <v>6.5</v>
      </c>
      <c r="CA192" s="3">
        <v>45919</v>
      </c>
      <c r="CB192" s="1">
        <v>6.5</v>
      </c>
      <c r="CC192" s="3">
        <v>45936</v>
      </c>
      <c r="CD192" s="1">
        <v>6.4850000000000003</v>
      </c>
      <c r="CE192" s="3">
        <v>45936</v>
      </c>
      <c r="CF192" s="1">
        <v>6.46</v>
      </c>
      <c r="CG192" s="3">
        <v>45936</v>
      </c>
      <c r="CH192" s="1">
        <v>6.43</v>
      </c>
      <c r="CI192" s="3">
        <v>45936</v>
      </c>
      <c r="CJ192" s="1">
        <v>6.29</v>
      </c>
      <c r="CK192" s="3">
        <v>45936</v>
      </c>
      <c r="CL192" s="1">
        <v>6.14</v>
      </c>
      <c r="CM192" s="3">
        <v>45936</v>
      </c>
      <c r="CN192" s="1">
        <v>5.9550000000000001</v>
      </c>
      <c r="CO192" s="3">
        <v>45930</v>
      </c>
      <c r="CP192" s="1">
        <v>5.81</v>
      </c>
      <c r="CQ192" s="3">
        <v>45930</v>
      </c>
      <c r="CR192" s="1">
        <v>5.73</v>
      </c>
      <c r="CS192" s="3">
        <v>45930</v>
      </c>
      <c r="CT192" s="1">
        <v>5.7450000000000001</v>
      </c>
    </row>
    <row r="193" spans="31:98" x14ac:dyDescent="0.2">
      <c r="AE193" s="3">
        <v>45933</v>
      </c>
      <c r="AF193" s="1">
        <v>4.75</v>
      </c>
      <c r="AG193" s="3">
        <v>45919</v>
      </c>
      <c r="AH193" s="1">
        <v>4.74</v>
      </c>
      <c r="AI193" s="3">
        <v>45933</v>
      </c>
      <c r="AJ193" s="2">
        <v>4.4950000000000001</v>
      </c>
      <c r="AK193" s="3">
        <v>45933</v>
      </c>
      <c r="AL193" s="2">
        <v>4.38</v>
      </c>
      <c r="AM193" s="3">
        <v>45933</v>
      </c>
      <c r="AN193" s="2">
        <v>4.2975000000000003</v>
      </c>
      <c r="AO193" s="3">
        <v>45933</v>
      </c>
      <c r="AP193" s="2">
        <v>4.01</v>
      </c>
      <c r="AQ193" s="3">
        <v>45933</v>
      </c>
      <c r="AR193" s="2">
        <v>3.8325</v>
      </c>
      <c r="AS193" s="3">
        <v>45933</v>
      </c>
      <c r="AT193" s="2">
        <v>3.7949999999999999</v>
      </c>
      <c r="AU193" s="3">
        <v>45933</v>
      </c>
      <c r="AV193" s="2">
        <v>3.7974999999999999</v>
      </c>
      <c r="AW193" s="3">
        <v>45933</v>
      </c>
      <c r="AX193" s="2">
        <v>3.81</v>
      </c>
      <c r="AY193" s="3">
        <v>45933</v>
      </c>
      <c r="AZ193" s="2">
        <v>3.8275000000000001</v>
      </c>
      <c r="BB193" s="3">
        <v>45919</v>
      </c>
      <c r="BC193" s="1">
        <v>3.5</v>
      </c>
      <c r="BD193" s="3">
        <v>45919</v>
      </c>
      <c r="BE193" s="1">
        <v>3.5</v>
      </c>
      <c r="BF193" s="3">
        <v>45933</v>
      </c>
      <c r="BG193" s="1">
        <v>3.54</v>
      </c>
      <c r="BH193" s="3">
        <v>45933</v>
      </c>
      <c r="BI193" s="1">
        <v>3.548</v>
      </c>
      <c r="BJ193" s="3">
        <v>45933</v>
      </c>
      <c r="BK193" s="1">
        <v>3.5579999999999998</v>
      </c>
      <c r="BL193" s="3">
        <v>45933</v>
      </c>
      <c r="BM193" s="1">
        <v>3.593</v>
      </c>
      <c r="BN193" s="3">
        <v>45933</v>
      </c>
      <c r="BO193" s="1">
        <v>3.62</v>
      </c>
      <c r="BP193" s="3">
        <v>45933</v>
      </c>
      <c r="BQ193" s="1">
        <v>3.67</v>
      </c>
      <c r="BR193" s="3">
        <v>45933</v>
      </c>
      <c r="BS193" s="1">
        <v>3.7280000000000002</v>
      </c>
      <c r="BT193" s="3">
        <v>45933</v>
      </c>
      <c r="BU193" s="1">
        <v>3.7850000000000001</v>
      </c>
      <c r="BV193" s="3">
        <v>45933</v>
      </c>
      <c r="BW193" s="1">
        <v>3.8330000000000002</v>
      </c>
      <c r="BY193" s="3">
        <v>45930</v>
      </c>
      <c r="BZ193" s="1">
        <v>6.5</v>
      </c>
      <c r="CA193" s="3">
        <v>45918</v>
      </c>
      <c r="CB193" s="1">
        <v>6.5</v>
      </c>
      <c r="CC193" s="3">
        <v>45933</v>
      </c>
      <c r="CD193" s="1">
        <v>6.4950000000000001</v>
      </c>
      <c r="CE193" s="3">
        <v>45933</v>
      </c>
      <c r="CF193" s="1">
        <v>6.48</v>
      </c>
      <c r="CG193" s="3">
        <v>45933</v>
      </c>
      <c r="CH193" s="1">
        <v>6.45</v>
      </c>
      <c r="CI193" s="3">
        <v>45933</v>
      </c>
      <c r="CJ193" s="1">
        <v>6.32</v>
      </c>
      <c r="CK193" s="3">
        <v>45933</v>
      </c>
      <c r="CL193" s="1">
        <v>6.16</v>
      </c>
      <c r="CM193" s="3">
        <v>45933</v>
      </c>
      <c r="CN193" s="1">
        <v>5.9649999999999999</v>
      </c>
      <c r="CO193" s="3">
        <v>45929</v>
      </c>
      <c r="CP193" s="1">
        <v>5.81</v>
      </c>
      <c r="CQ193" s="3">
        <v>45929</v>
      </c>
      <c r="CR193" s="1">
        <v>5.73</v>
      </c>
      <c r="CS193" s="3">
        <v>45929</v>
      </c>
      <c r="CT193" s="1">
        <v>5.74</v>
      </c>
    </row>
    <row r="194" spans="31:98" x14ac:dyDescent="0.2">
      <c r="AE194" s="3">
        <v>45932</v>
      </c>
      <c r="AF194" s="1">
        <v>4.75</v>
      </c>
      <c r="AG194" s="3">
        <v>45918</v>
      </c>
      <c r="AH194" s="1">
        <v>4.7300000000000004</v>
      </c>
      <c r="AI194" s="3">
        <v>45932</v>
      </c>
      <c r="AJ194" s="2">
        <v>4.4924999999999997</v>
      </c>
      <c r="AK194" s="3">
        <v>45932</v>
      </c>
      <c r="AL194" s="2">
        <v>4.3674999999999997</v>
      </c>
      <c r="AM194" s="3">
        <v>45932</v>
      </c>
      <c r="AN194" s="2">
        <v>4.2874999999999996</v>
      </c>
      <c r="AO194" s="3">
        <v>45932</v>
      </c>
      <c r="AP194" s="2">
        <v>4</v>
      </c>
      <c r="AQ194" s="3">
        <v>45932</v>
      </c>
      <c r="AR194" s="2">
        <v>3.8149999999999999</v>
      </c>
      <c r="AS194" s="3">
        <v>45932</v>
      </c>
      <c r="AT194" s="2">
        <v>3.7749999999999999</v>
      </c>
      <c r="AU194" s="3">
        <v>45932</v>
      </c>
      <c r="AV194" s="2">
        <v>3.7774999999999999</v>
      </c>
      <c r="AW194" s="3">
        <v>45932</v>
      </c>
      <c r="AX194" s="2">
        <v>3.79</v>
      </c>
      <c r="AY194" s="3">
        <v>45932</v>
      </c>
      <c r="AZ194" s="2">
        <v>3.8075000000000001</v>
      </c>
      <c r="BB194" s="3">
        <v>45918</v>
      </c>
      <c r="BC194" s="1">
        <v>3.5</v>
      </c>
      <c r="BD194" s="3">
        <v>45918</v>
      </c>
      <c r="BE194" s="1">
        <v>3.49</v>
      </c>
      <c r="BF194" s="3">
        <v>45932</v>
      </c>
      <c r="BG194" s="1">
        <v>3.55</v>
      </c>
      <c r="BH194" s="3">
        <v>45932</v>
      </c>
      <c r="BI194" s="1">
        <v>3.5590000000000002</v>
      </c>
      <c r="BJ194" s="3">
        <v>45932</v>
      </c>
      <c r="BK194" s="1">
        <v>3.5649999999999999</v>
      </c>
      <c r="BL194" s="3">
        <v>45932</v>
      </c>
      <c r="BM194" s="1">
        <v>3.5950000000000002</v>
      </c>
      <c r="BN194" s="3">
        <v>45932</v>
      </c>
      <c r="BO194" s="1">
        <v>3.625</v>
      </c>
      <c r="BP194" s="3">
        <v>45932</v>
      </c>
      <c r="BQ194" s="1">
        <v>3.6880000000000002</v>
      </c>
      <c r="BR194" s="3">
        <v>45932</v>
      </c>
      <c r="BS194" s="1">
        <v>3.7480000000000002</v>
      </c>
      <c r="BT194" s="3">
        <v>45932</v>
      </c>
      <c r="BU194" s="1">
        <v>3.8079999999999998</v>
      </c>
      <c r="BV194" s="3">
        <v>45932</v>
      </c>
      <c r="BW194" s="1">
        <v>3.863</v>
      </c>
      <c r="BY194" s="3">
        <v>45929</v>
      </c>
      <c r="BZ194" s="1">
        <v>6.5</v>
      </c>
      <c r="CA194" s="3">
        <v>45917</v>
      </c>
      <c r="CB194" s="1">
        <v>6.5</v>
      </c>
      <c r="CC194" s="3">
        <v>45932</v>
      </c>
      <c r="CD194" s="1">
        <v>6.4939999999999998</v>
      </c>
      <c r="CE194" s="3">
        <v>45932</v>
      </c>
      <c r="CF194" s="1">
        <v>6.48</v>
      </c>
      <c r="CG194" s="3">
        <v>45932</v>
      </c>
      <c r="CH194" s="1">
        <v>6.45</v>
      </c>
      <c r="CI194" s="3">
        <v>45932</v>
      </c>
      <c r="CJ194" s="1">
        <v>6.3</v>
      </c>
      <c r="CK194" s="3">
        <v>45932</v>
      </c>
      <c r="CL194" s="1">
        <v>6.13</v>
      </c>
      <c r="CM194" s="3">
        <v>45932</v>
      </c>
      <c r="CN194" s="1">
        <v>5.9349999999999996</v>
      </c>
      <c r="CO194" s="3">
        <v>45926</v>
      </c>
      <c r="CP194" s="1">
        <v>5.81</v>
      </c>
      <c r="CQ194" s="3">
        <v>45926</v>
      </c>
      <c r="CR194" s="1">
        <v>5.73</v>
      </c>
      <c r="CS194" s="3">
        <v>45926</v>
      </c>
      <c r="CT194" s="1">
        <v>5.74</v>
      </c>
    </row>
    <row r="195" spans="31:98" x14ac:dyDescent="0.2">
      <c r="AE195" s="3">
        <v>45931</v>
      </c>
      <c r="AF195" s="1">
        <v>4.75</v>
      </c>
      <c r="AG195" s="3">
        <v>45917</v>
      </c>
      <c r="AH195" s="1">
        <v>4.74</v>
      </c>
      <c r="AI195" s="3">
        <v>45931</v>
      </c>
      <c r="AJ195" s="2">
        <v>4.4824999999999999</v>
      </c>
      <c r="AK195" s="3">
        <v>45931</v>
      </c>
      <c r="AL195" s="2">
        <v>4.3674999999999997</v>
      </c>
      <c r="AM195" s="3">
        <v>45931</v>
      </c>
      <c r="AN195" s="2">
        <v>4.2750000000000004</v>
      </c>
      <c r="AO195" s="3">
        <v>45931</v>
      </c>
      <c r="AP195" s="2">
        <v>3.98</v>
      </c>
      <c r="AQ195" s="3">
        <v>45931</v>
      </c>
      <c r="AR195" s="2">
        <v>3.7949999999999999</v>
      </c>
      <c r="AS195" s="3">
        <v>45931</v>
      </c>
      <c r="AT195" s="2">
        <v>3.7425000000000002</v>
      </c>
      <c r="AU195" s="3">
        <v>45931</v>
      </c>
      <c r="AV195" s="2">
        <v>3.7425000000000002</v>
      </c>
      <c r="AW195" s="3">
        <v>45931</v>
      </c>
      <c r="AX195" s="2">
        <v>3.7549999999999999</v>
      </c>
      <c r="AY195" s="3">
        <v>45931</v>
      </c>
      <c r="AZ195" s="2">
        <v>3.7725</v>
      </c>
      <c r="BB195" s="3">
        <v>45917</v>
      </c>
      <c r="BC195" s="1">
        <v>3.5</v>
      </c>
      <c r="BD195" s="3">
        <v>45917</v>
      </c>
      <c r="BE195" s="1">
        <v>3.49</v>
      </c>
      <c r="BF195" s="3">
        <v>45931</v>
      </c>
      <c r="BG195" s="1">
        <v>3.5449999999999999</v>
      </c>
      <c r="BH195" s="3">
        <v>45931</v>
      </c>
      <c r="BI195" s="1">
        <v>3.5529999999999999</v>
      </c>
      <c r="BJ195" s="3">
        <v>45931</v>
      </c>
      <c r="BK195" s="1">
        <v>3.5630000000000002</v>
      </c>
      <c r="BL195" s="3">
        <v>45931</v>
      </c>
      <c r="BM195" s="1">
        <v>3.593</v>
      </c>
      <c r="BN195" s="3">
        <v>45931</v>
      </c>
      <c r="BO195" s="1">
        <v>3.633</v>
      </c>
      <c r="BP195" s="3">
        <v>45931</v>
      </c>
      <c r="BQ195" s="1">
        <v>3.6930000000000001</v>
      </c>
      <c r="BR195" s="3">
        <v>45931</v>
      </c>
      <c r="BS195" s="1">
        <v>3.7530000000000001</v>
      </c>
      <c r="BT195" s="3">
        <v>45931</v>
      </c>
      <c r="BU195" s="1">
        <v>3.8130000000000002</v>
      </c>
      <c r="BV195" s="3">
        <v>45931</v>
      </c>
      <c r="BW195" s="1">
        <v>3.87</v>
      </c>
      <c r="BY195" s="3">
        <v>45926</v>
      </c>
      <c r="BZ195" s="1">
        <v>6.5</v>
      </c>
      <c r="CA195" s="3">
        <v>45916</v>
      </c>
      <c r="CB195" s="1">
        <v>6.5</v>
      </c>
      <c r="CC195" s="3">
        <v>45931</v>
      </c>
      <c r="CD195" s="1">
        <v>6.49</v>
      </c>
      <c r="CE195" s="3">
        <v>45931</v>
      </c>
      <c r="CF195" s="1">
        <v>6.47</v>
      </c>
      <c r="CG195" s="3">
        <v>45931</v>
      </c>
      <c r="CH195" s="1">
        <v>6.44</v>
      </c>
      <c r="CI195" s="3">
        <v>45931</v>
      </c>
      <c r="CJ195" s="1">
        <v>6.28</v>
      </c>
      <c r="CK195" s="3">
        <v>45931</v>
      </c>
      <c r="CL195" s="1">
        <v>6.1</v>
      </c>
      <c r="CM195" s="3">
        <v>45931</v>
      </c>
      <c r="CN195" s="1">
        <v>5.9</v>
      </c>
      <c r="CO195" s="3">
        <v>45925</v>
      </c>
      <c r="CP195" s="1">
        <v>5.8</v>
      </c>
      <c r="CQ195" s="3">
        <v>45925</v>
      </c>
      <c r="CR195" s="1">
        <v>5.72</v>
      </c>
      <c r="CS195" s="3">
        <v>45925</v>
      </c>
      <c r="CT195" s="1">
        <v>5.73</v>
      </c>
    </row>
    <row r="196" spans="31:98" x14ac:dyDescent="0.2">
      <c r="AE196" s="3">
        <v>45930</v>
      </c>
      <c r="AF196" s="1">
        <v>4.75</v>
      </c>
      <c r="AG196" s="3">
        <v>45916</v>
      </c>
      <c r="AH196" s="1">
        <v>4.7300000000000004</v>
      </c>
      <c r="AI196" s="3">
        <v>45930</v>
      </c>
      <c r="AJ196" s="2">
        <v>4.4800000000000004</v>
      </c>
      <c r="AK196" s="3">
        <v>45930</v>
      </c>
      <c r="AL196" s="2">
        <v>4.3600000000000003</v>
      </c>
      <c r="AM196" s="3">
        <v>45930</v>
      </c>
      <c r="AN196" s="2">
        <v>4.2699999999999996</v>
      </c>
      <c r="AO196" s="3">
        <v>45930</v>
      </c>
      <c r="AP196" s="2">
        <v>3.98</v>
      </c>
      <c r="AQ196" s="3">
        <v>45930</v>
      </c>
      <c r="AR196" s="2">
        <v>3.78</v>
      </c>
      <c r="AS196" s="3">
        <v>45930</v>
      </c>
      <c r="AT196" s="2">
        <v>3.7250000000000001</v>
      </c>
      <c r="AU196" s="3">
        <v>45930</v>
      </c>
      <c r="AV196" s="2">
        <v>3.7275</v>
      </c>
      <c r="AW196" s="3">
        <v>45930</v>
      </c>
      <c r="AX196" s="2">
        <v>3.7425000000000002</v>
      </c>
      <c r="AY196" s="3">
        <v>45930</v>
      </c>
      <c r="AZ196" s="2">
        <v>3.7625000000000002</v>
      </c>
      <c r="BB196" s="3">
        <v>45916</v>
      </c>
      <c r="BC196" s="1">
        <v>3.5</v>
      </c>
      <c r="BD196" s="3">
        <v>45916</v>
      </c>
      <c r="BE196" s="1">
        <v>3.49</v>
      </c>
      <c r="BF196" s="3">
        <v>45930</v>
      </c>
      <c r="BG196" s="1">
        <v>3.5350000000000001</v>
      </c>
      <c r="BH196" s="3">
        <v>45930</v>
      </c>
      <c r="BI196" s="1">
        <v>3.5430000000000001</v>
      </c>
      <c r="BJ196" s="3">
        <v>45930</v>
      </c>
      <c r="BK196" s="1">
        <v>3.55</v>
      </c>
      <c r="BL196" s="3">
        <v>45930</v>
      </c>
      <c r="BM196" s="1">
        <v>3.5830000000000002</v>
      </c>
      <c r="BN196" s="3">
        <v>45930</v>
      </c>
      <c r="BO196" s="1">
        <v>3.62</v>
      </c>
      <c r="BP196" s="3">
        <v>45930</v>
      </c>
      <c r="BQ196" s="1">
        <v>3.68</v>
      </c>
      <c r="BR196" s="3">
        <v>45930</v>
      </c>
      <c r="BS196" s="1">
        <v>3.7349999999999999</v>
      </c>
      <c r="BT196" s="3">
        <v>45930</v>
      </c>
      <c r="BU196" s="1">
        <v>3.79</v>
      </c>
      <c r="BV196" s="3">
        <v>45930</v>
      </c>
      <c r="BW196" s="1">
        <v>3.8450000000000002</v>
      </c>
      <c r="BY196" s="3">
        <v>45925</v>
      </c>
      <c r="BZ196" s="1">
        <v>6.5</v>
      </c>
      <c r="CA196" s="3">
        <v>45915</v>
      </c>
      <c r="CB196" s="1">
        <v>6.5</v>
      </c>
      <c r="CC196" s="3">
        <v>45930</v>
      </c>
      <c r="CD196" s="1">
        <v>6.5</v>
      </c>
      <c r="CE196" s="3">
        <v>45930</v>
      </c>
      <c r="CF196" s="1">
        <v>6.48</v>
      </c>
      <c r="CG196" s="3">
        <v>45930</v>
      </c>
      <c r="CH196" s="1">
        <v>6.45</v>
      </c>
      <c r="CI196" s="3">
        <v>45930</v>
      </c>
      <c r="CJ196" s="1">
        <v>6.27</v>
      </c>
      <c r="CK196" s="3">
        <v>45930</v>
      </c>
      <c r="CL196" s="1">
        <v>6.09</v>
      </c>
      <c r="CM196" s="3">
        <v>45930</v>
      </c>
      <c r="CN196" s="1">
        <v>5.91</v>
      </c>
      <c r="CO196" s="3">
        <v>45924</v>
      </c>
      <c r="CP196" s="1">
        <v>5.75</v>
      </c>
      <c r="CQ196" s="3">
        <v>45924</v>
      </c>
      <c r="CR196" s="1">
        <v>5.67</v>
      </c>
      <c r="CS196" s="3">
        <v>45924</v>
      </c>
      <c r="CT196" s="1">
        <v>5.68</v>
      </c>
    </row>
    <row r="197" spans="31:98" x14ac:dyDescent="0.2">
      <c r="AE197" s="3">
        <v>45929</v>
      </c>
      <c r="AF197" s="1">
        <v>4.75</v>
      </c>
      <c r="AG197" s="3">
        <v>45915</v>
      </c>
      <c r="AH197" s="1">
        <v>4.74</v>
      </c>
      <c r="AI197" s="3">
        <v>45929</v>
      </c>
      <c r="AJ197" s="2">
        <v>4.5149999999999997</v>
      </c>
      <c r="AK197" s="3">
        <v>45929</v>
      </c>
      <c r="AL197" s="2">
        <v>4.3899999999999997</v>
      </c>
      <c r="AM197" s="3">
        <v>45929</v>
      </c>
      <c r="AN197" s="2">
        <v>4.3</v>
      </c>
      <c r="AO197" s="3">
        <v>45929</v>
      </c>
      <c r="AP197" s="2">
        <v>4.0199999999999996</v>
      </c>
      <c r="AQ197" s="3">
        <v>45929</v>
      </c>
      <c r="AR197" s="2">
        <v>3.8250000000000002</v>
      </c>
      <c r="AS197" s="3">
        <v>45929</v>
      </c>
      <c r="AT197" s="2">
        <v>3.7725</v>
      </c>
      <c r="AU197" s="3">
        <v>45929</v>
      </c>
      <c r="AV197" s="2">
        <v>3.7749999999999999</v>
      </c>
      <c r="AW197" s="3">
        <v>45929</v>
      </c>
      <c r="AX197" s="2">
        <v>3.7850000000000001</v>
      </c>
      <c r="AY197" s="3">
        <v>45929</v>
      </c>
      <c r="AZ197" s="2">
        <v>3.8050000000000002</v>
      </c>
      <c r="BB197" s="3">
        <v>45915</v>
      </c>
      <c r="BC197" s="1">
        <v>3.5</v>
      </c>
      <c r="BD197" s="3">
        <v>45915</v>
      </c>
      <c r="BE197" s="1">
        <v>3.48</v>
      </c>
      <c r="BF197" s="3">
        <v>45929</v>
      </c>
      <c r="BG197" s="1">
        <v>3.52</v>
      </c>
      <c r="BH197" s="3">
        <v>45929</v>
      </c>
      <c r="BI197" s="1">
        <v>3.53</v>
      </c>
      <c r="BJ197" s="3">
        <v>45929</v>
      </c>
      <c r="BK197" s="1">
        <v>3.54</v>
      </c>
      <c r="BL197" s="3">
        <v>45929</v>
      </c>
      <c r="BM197" s="1">
        <v>3.57</v>
      </c>
      <c r="BN197" s="3">
        <v>45929</v>
      </c>
      <c r="BO197" s="1">
        <v>3.605</v>
      </c>
      <c r="BP197" s="3">
        <v>45929</v>
      </c>
      <c r="BQ197" s="1">
        <v>3.665</v>
      </c>
      <c r="BR197" s="3">
        <v>45929</v>
      </c>
      <c r="BS197" s="1">
        <v>3.718</v>
      </c>
      <c r="BT197" s="3">
        <v>45929</v>
      </c>
      <c r="BU197" s="1">
        <v>3.7730000000000001</v>
      </c>
      <c r="BV197" s="3">
        <v>45929</v>
      </c>
      <c r="BW197" s="1">
        <v>3.8250000000000002</v>
      </c>
      <c r="BY197" s="3">
        <v>45924</v>
      </c>
      <c r="BZ197" s="1">
        <v>6.5</v>
      </c>
      <c r="CA197" s="3">
        <v>45912</v>
      </c>
      <c r="CB197" s="1">
        <v>6.5</v>
      </c>
      <c r="CC197" s="3">
        <v>45929</v>
      </c>
      <c r="CD197" s="1">
        <v>6.5</v>
      </c>
      <c r="CE197" s="3">
        <v>45929</v>
      </c>
      <c r="CF197" s="1">
        <v>6.4950000000000001</v>
      </c>
      <c r="CG197" s="3">
        <v>45929</v>
      </c>
      <c r="CH197" s="1">
        <v>6.45</v>
      </c>
      <c r="CI197" s="3">
        <v>45929</v>
      </c>
      <c r="CJ197" s="1">
        <v>6.27</v>
      </c>
      <c r="CK197" s="3">
        <v>45929</v>
      </c>
      <c r="CL197" s="1">
        <v>6.09</v>
      </c>
      <c r="CM197" s="3">
        <v>45929</v>
      </c>
      <c r="CN197" s="1">
        <v>5.9</v>
      </c>
      <c r="CO197" s="3">
        <v>45923</v>
      </c>
      <c r="CP197" s="1">
        <v>5.69</v>
      </c>
      <c r="CQ197" s="3">
        <v>45923</v>
      </c>
      <c r="CR197" s="1">
        <v>5.62</v>
      </c>
      <c r="CS197" s="3">
        <v>45923</v>
      </c>
      <c r="CT197" s="1">
        <v>5.63</v>
      </c>
    </row>
    <row r="198" spans="31:98" x14ac:dyDescent="0.2">
      <c r="AE198" s="3">
        <v>45926</v>
      </c>
      <c r="AF198" s="1">
        <v>4.75</v>
      </c>
      <c r="AG198" s="3">
        <v>45912</v>
      </c>
      <c r="AH198" s="1">
        <v>4.7300000000000004</v>
      </c>
      <c r="AI198" s="3">
        <v>45926</v>
      </c>
      <c r="AJ198" s="2">
        <v>4.55</v>
      </c>
      <c r="AK198" s="3">
        <v>45926</v>
      </c>
      <c r="AL198" s="2">
        <v>4.42</v>
      </c>
      <c r="AM198" s="3">
        <v>45926</v>
      </c>
      <c r="AN198" s="2">
        <v>4.335</v>
      </c>
      <c r="AO198" s="3">
        <v>45926</v>
      </c>
      <c r="AP198" s="2">
        <v>4.0449999999999999</v>
      </c>
      <c r="AQ198" s="3">
        <v>45926</v>
      </c>
      <c r="AR198" s="2">
        <v>3.855</v>
      </c>
      <c r="AS198" s="3">
        <v>45926</v>
      </c>
      <c r="AT198" s="2">
        <v>3.8</v>
      </c>
      <c r="AU198" s="3">
        <v>45926</v>
      </c>
      <c r="AV198" s="2">
        <v>3.8050000000000002</v>
      </c>
      <c r="AW198" s="3">
        <v>45926</v>
      </c>
      <c r="AX198" s="2">
        <v>3.82</v>
      </c>
      <c r="AY198" s="3">
        <v>45926</v>
      </c>
      <c r="AZ198" s="2">
        <v>3.84</v>
      </c>
      <c r="BB198" s="3">
        <v>45912</v>
      </c>
      <c r="BC198" s="1">
        <v>3.5</v>
      </c>
      <c r="BD198" s="3">
        <v>45912</v>
      </c>
      <c r="BE198" s="1">
        <v>3.48</v>
      </c>
      <c r="BF198" s="3">
        <v>45926</v>
      </c>
      <c r="BG198" s="1">
        <v>3.52</v>
      </c>
      <c r="BH198" s="3">
        <v>45926</v>
      </c>
      <c r="BI198" s="1">
        <v>3.53</v>
      </c>
      <c r="BJ198" s="3">
        <v>45926</v>
      </c>
      <c r="BK198" s="1">
        <v>3.5449999999999999</v>
      </c>
      <c r="BL198" s="3">
        <v>45926</v>
      </c>
      <c r="BM198" s="1">
        <v>3.58</v>
      </c>
      <c r="BN198" s="3">
        <v>45926</v>
      </c>
      <c r="BO198" s="1">
        <v>3.6080000000000001</v>
      </c>
      <c r="BP198" s="3">
        <v>45926</v>
      </c>
      <c r="BQ198" s="1">
        <v>3.67</v>
      </c>
      <c r="BR198" s="3">
        <v>45926</v>
      </c>
      <c r="BS198" s="1">
        <v>3.7280000000000002</v>
      </c>
      <c r="BT198" s="3">
        <v>45926</v>
      </c>
      <c r="BU198" s="1">
        <v>3.7829999999999999</v>
      </c>
      <c r="BV198" s="3">
        <v>45926</v>
      </c>
      <c r="BW198" s="1">
        <v>3.84</v>
      </c>
      <c r="BY198" s="3">
        <v>45923</v>
      </c>
      <c r="BZ198" s="1">
        <v>6.5</v>
      </c>
      <c r="CA198" s="3">
        <v>45911</v>
      </c>
      <c r="CB198" s="1">
        <v>6.5</v>
      </c>
      <c r="CC198" s="3">
        <v>45926</v>
      </c>
      <c r="CD198" s="1">
        <v>6.5</v>
      </c>
      <c r="CE198" s="3">
        <v>45926</v>
      </c>
      <c r="CF198" s="1">
        <v>6.48</v>
      </c>
      <c r="CG198" s="3">
        <v>45926</v>
      </c>
      <c r="CH198" s="1">
        <v>6.45</v>
      </c>
      <c r="CI198" s="3">
        <v>45926</v>
      </c>
      <c r="CJ198" s="1">
        <v>6.26</v>
      </c>
      <c r="CK198" s="3">
        <v>45926</v>
      </c>
      <c r="CL198" s="1">
        <v>6.08</v>
      </c>
      <c r="CM198" s="3">
        <v>45926</v>
      </c>
      <c r="CN198" s="1">
        <v>5.91</v>
      </c>
      <c r="CO198" s="3">
        <v>45922</v>
      </c>
      <c r="CP198" s="1">
        <v>5.64</v>
      </c>
      <c r="CQ198" s="3">
        <v>45922</v>
      </c>
      <c r="CR198" s="1">
        <v>5.57</v>
      </c>
      <c r="CS198" s="3">
        <v>45922</v>
      </c>
      <c r="CT198" s="1">
        <v>5.57</v>
      </c>
    </row>
    <row r="199" spans="31:98" x14ac:dyDescent="0.2">
      <c r="AE199" s="3">
        <v>45925</v>
      </c>
      <c r="AF199" s="1">
        <v>4.75</v>
      </c>
      <c r="AG199" s="3">
        <v>45911</v>
      </c>
      <c r="AH199" s="1">
        <v>4.74</v>
      </c>
      <c r="AI199" s="3">
        <v>45925</v>
      </c>
      <c r="AJ199" s="2">
        <v>4.5650000000000004</v>
      </c>
      <c r="AK199" s="3">
        <v>45925</v>
      </c>
      <c r="AL199" s="2">
        <v>4.4249999999999998</v>
      </c>
      <c r="AM199" s="3">
        <v>45925</v>
      </c>
      <c r="AN199" s="2">
        <v>4.3425000000000002</v>
      </c>
      <c r="AO199" s="3">
        <v>45925</v>
      </c>
      <c r="AP199" s="2">
        <v>4.04</v>
      </c>
      <c r="AQ199" s="3">
        <v>45925</v>
      </c>
      <c r="AR199" s="2">
        <v>3.835</v>
      </c>
      <c r="AS199" s="3">
        <v>45925</v>
      </c>
      <c r="AT199" s="2">
        <v>3.7774999999999999</v>
      </c>
      <c r="AU199" s="3">
        <v>45925</v>
      </c>
      <c r="AV199" s="2">
        <v>3.78</v>
      </c>
      <c r="AW199" s="3">
        <v>45925</v>
      </c>
      <c r="AX199" s="2">
        <v>3.7925</v>
      </c>
      <c r="AY199" s="3">
        <v>45925</v>
      </c>
      <c r="AZ199" s="2">
        <v>3.8125</v>
      </c>
      <c r="BB199" s="3">
        <v>45911</v>
      </c>
      <c r="BC199" s="1">
        <v>3.5</v>
      </c>
      <c r="BD199" s="3">
        <v>45911</v>
      </c>
      <c r="BE199" s="1">
        <v>3.48</v>
      </c>
      <c r="BF199" s="3">
        <v>45925</v>
      </c>
      <c r="BG199" s="1">
        <v>3.51</v>
      </c>
      <c r="BH199" s="3">
        <v>45925</v>
      </c>
      <c r="BI199" s="1">
        <v>3.52</v>
      </c>
      <c r="BJ199" s="3">
        <v>45925</v>
      </c>
      <c r="BK199" s="1">
        <v>3.53</v>
      </c>
      <c r="BL199" s="3">
        <v>45925</v>
      </c>
      <c r="BM199" s="1">
        <v>3.5550000000000002</v>
      </c>
      <c r="BN199" s="3">
        <v>45925</v>
      </c>
      <c r="BO199" s="1">
        <v>3.5880000000000001</v>
      </c>
      <c r="BP199" s="3">
        <v>45925</v>
      </c>
      <c r="BQ199" s="1">
        <v>3.6379999999999999</v>
      </c>
      <c r="BR199" s="3">
        <v>45925</v>
      </c>
      <c r="BS199" s="1">
        <v>3.6930000000000001</v>
      </c>
      <c r="BT199" s="3">
        <v>45925</v>
      </c>
      <c r="BU199" s="1">
        <v>3.7480000000000002</v>
      </c>
      <c r="BV199" s="3">
        <v>45925</v>
      </c>
      <c r="BW199" s="1">
        <v>3.798</v>
      </c>
      <c r="BY199" s="3">
        <v>45922</v>
      </c>
      <c r="BZ199" s="1">
        <v>6.5</v>
      </c>
      <c r="CA199" s="3">
        <v>45910</v>
      </c>
      <c r="CB199" s="1">
        <v>6.5</v>
      </c>
      <c r="CC199" s="3">
        <v>45925</v>
      </c>
      <c r="CD199" s="1">
        <v>6.4909999999999997</v>
      </c>
      <c r="CE199" s="3">
        <v>45925</v>
      </c>
      <c r="CF199" s="1">
        <v>6.48</v>
      </c>
      <c r="CG199" s="3">
        <v>45925</v>
      </c>
      <c r="CH199" s="1">
        <v>6.45</v>
      </c>
      <c r="CI199" s="3">
        <v>45925</v>
      </c>
      <c r="CJ199" s="1">
        <v>6.25</v>
      </c>
      <c r="CK199" s="3">
        <v>45925</v>
      </c>
      <c r="CL199" s="1">
        <v>6.08</v>
      </c>
      <c r="CM199" s="3">
        <v>45925</v>
      </c>
      <c r="CN199" s="1">
        <v>5.91</v>
      </c>
      <c r="CO199" s="3">
        <v>45919</v>
      </c>
      <c r="CP199" s="1">
        <v>5.65</v>
      </c>
      <c r="CQ199" s="3">
        <v>45919</v>
      </c>
      <c r="CR199" s="1">
        <v>5.58</v>
      </c>
      <c r="CS199" s="3">
        <v>45919</v>
      </c>
      <c r="CT199" s="1">
        <v>5.58</v>
      </c>
    </row>
    <row r="200" spans="31:98" x14ac:dyDescent="0.2">
      <c r="AE200" s="3">
        <v>45924</v>
      </c>
      <c r="AF200" s="1">
        <v>4.75</v>
      </c>
      <c r="AG200" s="3">
        <v>45910</v>
      </c>
      <c r="AH200" s="1">
        <v>4.74</v>
      </c>
      <c r="AI200" s="3">
        <v>45924</v>
      </c>
      <c r="AJ200" s="2">
        <v>4.5549999999999997</v>
      </c>
      <c r="AK200" s="3">
        <v>45924</v>
      </c>
      <c r="AL200" s="2">
        <v>4.4024999999999999</v>
      </c>
      <c r="AM200" s="3">
        <v>45924</v>
      </c>
      <c r="AN200" s="2">
        <v>4.32</v>
      </c>
      <c r="AO200" s="3">
        <v>45924</v>
      </c>
      <c r="AP200" s="2">
        <v>4.0049999999999999</v>
      </c>
      <c r="AQ200" s="3">
        <v>45924</v>
      </c>
      <c r="AR200" s="2">
        <v>3.7875000000000001</v>
      </c>
      <c r="AS200" s="3">
        <v>45924</v>
      </c>
      <c r="AT200" s="2">
        <v>3.7275</v>
      </c>
      <c r="AU200" s="3">
        <v>45924</v>
      </c>
      <c r="AV200" s="2">
        <v>3.7275</v>
      </c>
      <c r="AW200" s="3">
        <v>45924</v>
      </c>
      <c r="AX200" s="2">
        <v>3.74</v>
      </c>
      <c r="AY200" s="3">
        <v>45924</v>
      </c>
      <c r="AZ200" s="2">
        <v>3.76</v>
      </c>
      <c r="BB200" s="3">
        <v>45910</v>
      </c>
      <c r="BC200" s="1">
        <v>3.5</v>
      </c>
      <c r="BD200" s="3">
        <v>45910</v>
      </c>
      <c r="BE200" s="1">
        <v>3.48</v>
      </c>
      <c r="BF200" s="3">
        <v>45924</v>
      </c>
      <c r="BG200" s="1">
        <v>3.51</v>
      </c>
      <c r="BH200" s="3">
        <v>45924</v>
      </c>
      <c r="BI200" s="1">
        <v>3.5139999999999998</v>
      </c>
      <c r="BJ200" s="3">
        <v>45924</v>
      </c>
      <c r="BK200" s="1">
        <v>3.5129999999999999</v>
      </c>
      <c r="BL200" s="3">
        <v>45924</v>
      </c>
      <c r="BM200" s="1">
        <v>3.5230000000000001</v>
      </c>
      <c r="BN200" s="3">
        <v>45924</v>
      </c>
      <c r="BO200" s="1">
        <v>3.5379999999999998</v>
      </c>
      <c r="BP200" s="3">
        <v>45924</v>
      </c>
      <c r="BQ200" s="1">
        <v>3.58</v>
      </c>
      <c r="BR200" s="3">
        <v>45924</v>
      </c>
      <c r="BS200" s="1">
        <v>3.6280000000000001</v>
      </c>
      <c r="BT200" s="3">
        <v>45924</v>
      </c>
      <c r="BU200" s="1">
        <v>3.68</v>
      </c>
      <c r="BV200" s="3">
        <v>45924</v>
      </c>
      <c r="BW200" s="1">
        <v>3.72</v>
      </c>
      <c r="BY200" s="3">
        <v>45919</v>
      </c>
      <c r="BZ200" s="1">
        <v>6.5</v>
      </c>
      <c r="CA200" s="3">
        <v>45909</v>
      </c>
      <c r="CB200" s="1">
        <v>6.5</v>
      </c>
      <c r="CC200" s="3">
        <v>45924</v>
      </c>
      <c r="CD200" s="1">
        <v>6.4950000000000001</v>
      </c>
      <c r="CE200" s="3">
        <v>45924</v>
      </c>
      <c r="CF200" s="1">
        <v>6.47</v>
      </c>
      <c r="CG200" s="3">
        <v>45924</v>
      </c>
      <c r="CH200" s="1">
        <v>6.44</v>
      </c>
      <c r="CI200" s="3">
        <v>45924</v>
      </c>
      <c r="CJ200" s="1">
        <v>6.26</v>
      </c>
      <c r="CK200" s="3">
        <v>45924</v>
      </c>
      <c r="CL200" s="1">
        <v>6.05</v>
      </c>
      <c r="CM200" s="3">
        <v>45924</v>
      </c>
      <c r="CN200" s="1">
        <v>5.88</v>
      </c>
      <c r="CO200" s="3">
        <v>45918</v>
      </c>
      <c r="CP200" s="1">
        <v>5.6</v>
      </c>
      <c r="CQ200" s="3">
        <v>45918</v>
      </c>
      <c r="CR200" s="1">
        <v>5.53</v>
      </c>
      <c r="CS200" s="3">
        <v>45918</v>
      </c>
      <c r="CT200" s="1">
        <v>5.53</v>
      </c>
    </row>
    <row r="201" spans="31:98" x14ac:dyDescent="0.2">
      <c r="AE201" s="3">
        <v>45923</v>
      </c>
      <c r="AF201" s="1">
        <v>4.75</v>
      </c>
      <c r="AG201" s="3">
        <v>45909</v>
      </c>
      <c r="AH201" s="1">
        <v>4.75</v>
      </c>
      <c r="AI201" s="3">
        <v>45923</v>
      </c>
      <c r="AJ201" s="2">
        <v>4.5475000000000003</v>
      </c>
      <c r="AK201" s="3">
        <v>45923</v>
      </c>
      <c r="AL201" s="2">
        <v>4.3949999999999996</v>
      </c>
      <c r="AM201" s="3">
        <v>45923</v>
      </c>
      <c r="AN201" s="2">
        <v>4.3125</v>
      </c>
      <c r="AO201" s="3">
        <v>45923</v>
      </c>
      <c r="AP201" s="2">
        <v>3.9950000000000001</v>
      </c>
      <c r="AQ201" s="3">
        <v>45923</v>
      </c>
      <c r="AR201" s="2">
        <v>3.7675000000000001</v>
      </c>
      <c r="AS201" s="3">
        <v>45923</v>
      </c>
      <c r="AT201" s="2">
        <v>3.7050000000000001</v>
      </c>
      <c r="AU201" s="3">
        <v>45923</v>
      </c>
      <c r="AV201" s="2">
        <v>3.7075</v>
      </c>
      <c r="AW201" s="3">
        <v>45923</v>
      </c>
      <c r="AX201" s="2">
        <v>3.7225000000000001</v>
      </c>
      <c r="AY201" s="3">
        <v>45923</v>
      </c>
      <c r="AZ201" s="2">
        <v>3.74</v>
      </c>
      <c r="BB201" s="3">
        <v>45909</v>
      </c>
      <c r="BC201" s="1">
        <v>3.5</v>
      </c>
      <c r="BD201" s="3">
        <v>45909</v>
      </c>
      <c r="BE201" s="1">
        <v>3.48</v>
      </c>
      <c r="BF201" s="3">
        <v>45923</v>
      </c>
      <c r="BG201" s="1">
        <v>3.51</v>
      </c>
      <c r="BH201" s="3">
        <v>45923</v>
      </c>
      <c r="BI201" s="1">
        <v>3.516</v>
      </c>
      <c r="BJ201" s="3">
        <v>45923</v>
      </c>
      <c r="BK201" s="1">
        <v>3.52</v>
      </c>
      <c r="BL201" s="3">
        <v>45923</v>
      </c>
      <c r="BM201" s="1">
        <v>3.53</v>
      </c>
      <c r="BN201" s="3">
        <v>45923</v>
      </c>
      <c r="BO201" s="1">
        <v>3.5550000000000002</v>
      </c>
      <c r="BP201" s="3">
        <v>45923</v>
      </c>
      <c r="BQ201" s="1">
        <v>3.5979999999999999</v>
      </c>
      <c r="BR201" s="3">
        <v>45923</v>
      </c>
      <c r="BS201" s="1">
        <v>3.653</v>
      </c>
      <c r="BT201" s="3">
        <v>45923</v>
      </c>
      <c r="BU201" s="1">
        <v>3.72</v>
      </c>
      <c r="BV201" s="3">
        <v>45923</v>
      </c>
      <c r="BW201" s="1">
        <v>3.77</v>
      </c>
      <c r="BY201" s="3">
        <v>45918</v>
      </c>
      <c r="BZ201" s="1">
        <v>6.5</v>
      </c>
      <c r="CA201" s="3">
        <v>45908</v>
      </c>
      <c r="CB201" s="1">
        <v>6.5</v>
      </c>
      <c r="CC201" s="3">
        <v>45923</v>
      </c>
      <c r="CD201" s="1">
        <v>6.5010000000000003</v>
      </c>
      <c r="CE201" s="3">
        <v>45923</v>
      </c>
      <c r="CF201" s="1">
        <v>6.4660000000000002</v>
      </c>
      <c r="CG201" s="3">
        <v>45923</v>
      </c>
      <c r="CH201" s="1">
        <v>6.42</v>
      </c>
      <c r="CI201" s="3">
        <v>45923</v>
      </c>
      <c r="CJ201" s="1">
        <v>6.23</v>
      </c>
      <c r="CK201" s="3">
        <v>45923</v>
      </c>
      <c r="CL201" s="1">
        <v>6.04</v>
      </c>
      <c r="CM201" s="3">
        <v>45923</v>
      </c>
      <c r="CN201" s="1">
        <v>5.81</v>
      </c>
      <c r="CO201" s="3">
        <v>45917</v>
      </c>
      <c r="CP201" s="1">
        <v>5.59</v>
      </c>
      <c r="CQ201" s="3">
        <v>45917</v>
      </c>
      <c r="CR201" s="1">
        <v>5.53</v>
      </c>
      <c r="CS201" s="3">
        <v>45917</v>
      </c>
      <c r="CT201" s="1">
        <v>5.53</v>
      </c>
    </row>
    <row r="202" spans="31:98" x14ac:dyDescent="0.2">
      <c r="AE202" s="3">
        <v>45922</v>
      </c>
      <c r="AF202" s="1">
        <v>4.75</v>
      </c>
      <c r="AG202" s="3">
        <v>45908</v>
      </c>
      <c r="AH202" s="1">
        <v>4.75</v>
      </c>
      <c r="AI202" s="3">
        <v>45922</v>
      </c>
      <c r="AJ202" s="2">
        <v>4.54</v>
      </c>
      <c r="AK202" s="3">
        <v>45922</v>
      </c>
      <c r="AL202" s="2">
        <v>4.4074999999999998</v>
      </c>
      <c r="AM202" s="3">
        <v>45922</v>
      </c>
      <c r="AN202" s="2">
        <v>4.3224999999999998</v>
      </c>
      <c r="AO202" s="3">
        <v>45922</v>
      </c>
      <c r="AP202" s="2">
        <v>4.0075000000000003</v>
      </c>
      <c r="AQ202" s="3">
        <v>45922</v>
      </c>
      <c r="AR202" s="2">
        <v>3.7675000000000001</v>
      </c>
      <c r="AS202" s="3">
        <v>45922</v>
      </c>
      <c r="AT202" s="2">
        <v>3.7025000000000001</v>
      </c>
      <c r="AU202" s="3">
        <v>45922</v>
      </c>
      <c r="AV202" s="2">
        <v>3.7</v>
      </c>
      <c r="AW202" s="3">
        <v>45922</v>
      </c>
      <c r="AX202" s="2">
        <v>3.7124999999999999</v>
      </c>
      <c r="AY202" s="3">
        <v>45922</v>
      </c>
      <c r="AZ202" s="2">
        <v>3.73</v>
      </c>
      <c r="BB202" s="3">
        <v>45908</v>
      </c>
      <c r="BC202" s="1">
        <v>3.5</v>
      </c>
      <c r="BD202" s="3">
        <v>45908</v>
      </c>
      <c r="BE202" s="1">
        <v>3.48</v>
      </c>
      <c r="BF202" s="3">
        <v>45922</v>
      </c>
      <c r="BG202" s="1">
        <v>3.51</v>
      </c>
      <c r="BH202" s="3">
        <v>45922</v>
      </c>
      <c r="BI202" s="1">
        <v>3.5190000000000001</v>
      </c>
      <c r="BJ202" s="3">
        <v>45922</v>
      </c>
      <c r="BK202" s="1">
        <v>3.5230000000000001</v>
      </c>
      <c r="BL202" s="3">
        <v>45922</v>
      </c>
      <c r="BM202" s="1">
        <v>3.5329999999999999</v>
      </c>
      <c r="BN202" s="3">
        <v>45922</v>
      </c>
      <c r="BO202" s="1">
        <v>3.573</v>
      </c>
      <c r="BP202" s="3">
        <v>45922</v>
      </c>
      <c r="BQ202" s="1">
        <v>3.625</v>
      </c>
      <c r="BR202" s="3">
        <v>45922</v>
      </c>
      <c r="BS202" s="1">
        <v>3.69</v>
      </c>
      <c r="BT202" s="3">
        <v>45922</v>
      </c>
      <c r="BU202" s="1">
        <v>3.75</v>
      </c>
      <c r="BV202" s="3">
        <v>45922</v>
      </c>
      <c r="BW202" s="1">
        <v>3.8</v>
      </c>
      <c r="BY202" s="3">
        <v>45917</v>
      </c>
      <c r="BZ202" s="1">
        <v>6.5</v>
      </c>
      <c r="CA202" s="3">
        <v>45905</v>
      </c>
      <c r="CB202" s="1">
        <v>6.5</v>
      </c>
      <c r="CC202" s="3">
        <v>45922</v>
      </c>
      <c r="CD202" s="1">
        <v>6.5</v>
      </c>
      <c r="CE202" s="3">
        <v>45922</v>
      </c>
      <c r="CF202" s="1">
        <v>6.4649999999999999</v>
      </c>
      <c r="CG202" s="3">
        <v>45922</v>
      </c>
      <c r="CH202" s="1">
        <v>6.42</v>
      </c>
      <c r="CI202" s="3">
        <v>45922</v>
      </c>
      <c r="CJ202" s="1">
        <v>6.21</v>
      </c>
      <c r="CK202" s="3">
        <v>45922</v>
      </c>
      <c r="CL202" s="1">
        <v>5.99</v>
      </c>
      <c r="CM202" s="3">
        <v>45922</v>
      </c>
      <c r="CN202" s="1">
        <v>5.79</v>
      </c>
      <c r="CO202" s="3">
        <v>45916</v>
      </c>
      <c r="CP202" s="1">
        <v>5.65</v>
      </c>
      <c r="CQ202" s="3">
        <v>45916</v>
      </c>
      <c r="CR202" s="1">
        <v>5.6</v>
      </c>
      <c r="CS202" s="3">
        <v>45916</v>
      </c>
      <c r="CT202" s="1">
        <v>5.6</v>
      </c>
    </row>
    <row r="203" spans="31:98" x14ac:dyDescent="0.2">
      <c r="AE203" s="3">
        <v>45919</v>
      </c>
      <c r="AF203" s="1">
        <v>4.75</v>
      </c>
      <c r="AG203" s="3">
        <v>45905</v>
      </c>
      <c r="AH203" s="1">
        <v>4.75</v>
      </c>
      <c r="AI203" s="3">
        <v>45919</v>
      </c>
      <c r="AJ203" s="2">
        <v>4.5475000000000003</v>
      </c>
      <c r="AK203" s="3">
        <v>45919</v>
      </c>
      <c r="AL203" s="2">
        <v>4.4175000000000004</v>
      </c>
      <c r="AM203" s="3">
        <v>45919</v>
      </c>
      <c r="AN203" s="2">
        <v>4.335</v>
      </c>
      <c r="AO203" s="3">
        <v>45919</v>
      </c>
      <c r="AP203" s="2">
        <v>4.0199999999999996</v>
      </c>
      <c r="AQ203" s="3">
        <v>45919</v>
      </c>
      <c r="AR203" s="2">
        <v>3.78</v>
      </c>
      <c r="AS203" s="3">
        <v>45919</v>
      </c>
      <c r="AT203" s="2">
        <v>3.7124999999999999</v>
      </c>
      <c r="AU203" s="3">
        <v>45919</v>
      </c>
      <c r="AV203" s="2">
        <v>3.71</v>
      </c>
      <c r="AW203" s="3">
        <v>45919</v>
      </c>
      <c r="AX203" s="2">
        <v>3.7225000000000001</v>
      </c>
      <c r="AY203" s="3">
        <v>45919</v>
      </c>
      <c r="AZ203" s="2">
        <v>3.74</v>
      </c>
      <c r="BB203" s="3">
        <v>45905</v>
      </c>
      <c r="BC203" s="1">
        <v>3.5</v>
      </c>
      <c r="BD203" s="3">
        <v>45905</v>
      </c>
      <c r="BE203" s="1">
        <v>3.48</v>
      </c>
      <c r="BF203" s="3">
        <v>45919</v>
      </c>
      <c r="BG203" s="1">
        <v>3.5</v>
      </c>
      <c r="BH203" s="3">
        <v>45919</v>
      </c>
      <c r="BI203" s="1">
        <v>3.508</v>
      </c>
      <c r="BJ203" s="3">
        <v>45919</v>
      </c>
      <c r="BK203" s="1">
        <v>3.51</v>
      </c>
      <c r="BL203" s="3">
        <v>45919</v>
      </c>
      <c r="BM203" s="1">
        <v>3.52</v>
      </c>
      <c r="BN203" s="3">
        <v>45919</v>
      </c>
      <c r="BO203" s="1">
        <v>3.5649999999999999</v>
      </c>
      <c r="BP203" s="3">
        <v>45919</v>
      </c>
      <c r="BQ203" s="1">
        <v>3.62</v>
      </c>
      <c r="BR203" s="3">
        <v>45919</v>
      </c>
      <c r="BS203" s="1">
        <v>3.68</v>
      </c>
      <c r="BT203" s="3">
        <v>45919</v>
      </c>
      <c r="BU203" s="1">
        <v>3.74</v>
      </c>
      <c r="BV203" s="3">
        <v>45919</v>
      </c>
      <c r="BW203" s="1">
        <v>3.79</v>
      </c>
      <c r="BY203" s="3">
        <v>45916</v>
      </c>
      <c r="BZ203" s="1">
        <v>6.5</v>
      </c>
      <c r="CA203" s="3">
        <v>45904</v>
      </c>
      <c r="CB203" s="1">
        <v>6.5</v>
      </c>
      <c r="CC203" s="3">
        <v>45919</v>
      </c>
      <c r="CD203" s="1">
        <v>6.5</v>
      </c>
      <c r="CE203" s="3">
        <v>45919</v>
      </c>
      <c r="CF203" s="1">
        <v>6.4649999999999999</v>
      </c>
      <c r="CG203" s="3">
        <v>45919</v>
      </c>
      <c r="CH203" s="1">
        <v>6.42</v>
      </c>
      <c r="CI203" s="3">
        <v>45919</v>
      </c>
      <c r="CJ203" s="1">
        <v>6.23</v>
      </c>
      <c r="CK203" s="3">
        <v>45919</v>
      </c>
      <c r="CL203" s="1">
        <v>6.03</v>
      </c>
      <c r="CM203" s="3">
        <v>45919</v>
      </c>
      <c r="CN203" s="1">
        <v>5.8</v>
      </c>
      <c r="CO203" s="3">
        <v>45915</v>
      </c>
      <c r="CP203" s="1">
        <v>5.67</v>
      </c>
      <c r="CQ203" s="3">
        <v>45915</v>
      </c>
      <c r="CR203" s="1">
        <v>5.62</v>
      </c>
      <c r="CS203" s="3">
        <v>45915</v>
      </c>
      <c r="CT203" s="1">
        <v>5.62</v>
      </c>
    </row>
    <row r="204" spans="31:98" x14ac:dyDescent="0.2">
      <c r="AE204" s="3">
        <v>45918</v>
      </c>
      <c r="AF204" s="1">
        <v>4.75</v>
      </c>
      <c r="AG204" s="3">
        <v>45904</v>
      </c>
      <c r="AH204" s="1">
        <v>4.7699999999999996</v>
      </c>
      <c r="AI204" s="3">
        <v>45918</v>
      </c>
      <c r="AJ204" s="2">
        <v>4.5750000000000002</v>
      </c>
      <c r="AK204" s="3">
        <v>45918</v>
      </c>
      <c r="AL204" s="2">
        <v>4.4325000000000001</v>
      </c>
      <c r="AM204" s="3">
        <v>45918</v>
      </c>
      <c r="AN204" s="2">
        <v>4.3525</v>
      </c>
      <c r="AO204" s="3">
        <v>45918</v>
      </c>
      <c r="AP204" s="2">
        <v>4.03</v>
      </c>
      <c r="AQ204" s="3">
        <v>45918</v>
      </c>
      <c r="AR204" s="2">
        <v>3.77</v>
      </c>
      <c r="AS204" s="3">
        <v>45918</v>
      </c>
      <c r="AT204" s="2">
        <v>3.6949999999999998</v>
      </c>
      <c r="AU204" s="3">
        <v>45918</v>
      </c>
      <c r="AV204" s="2">
        <v>3.6924999999999999</v>
      </c>
      <c r="AW204" s="3">
        <v>45918</v>
      </c>
      <c r="AX204" s="2">
        <v>3.7075</v>
      </c>
      <c r="AY204" s="3">
        <v>45918</v>
      </c>
      <c r="AZ204" s="2">
        <v>3.7275</v>
      </c>
      <c r="BB204" s="3">
        <v>45904</v>
      </c>
      <c r="BC204" s="1">
        <v>3.5</v>
      </c>
      <c r="BD204" s="3">
        <v>45904</v>
      </c>
      <c r="BE204" s="1">
        <v>3.49</v>
      </c>
      <c r="BF204" s="3">
        <v>45918</v>
      </c>
      <c r="BG204" s="1">
        <v>3.5</v>
      </c>
      <c r="BH204" s="3">
        <v>45918</v>
      </c>
      <c r="BI204" s="1">
        <v>3.5030000000000001</v>
      </c>
      <c r="BJ204" s="3">
        <v>45918</v>
      </c>
      <c r="BK204" s="1">
        <v>3.5049999999999999</v>
      </c>
      <c r="BL204" s="3">
        <v>45918</v>
      </c>
      <c r="BM204" s="1">
        <v>3.51</v>
      </c>
      <c r="BN204" s="3">
        <v>45918</v>
      </c>
      <c r="BO204" s="1">
        <v>3.5449999999999999</v>
      </c>
      <c r="BP204" s="3">
        <v>45918</v>
      </c>
      <c r="BQ204" s="1">
        <v>3.6080000000000001</v>
      </c>
      <c r="BR204" s="3">
        <v>45918</v>
      </c>
      <c r="BS204" s="1">
        <v>3.6680000000000001</v>
      </c>
      <c r="BT204" s="3">
        <v>45918</v>
      </c>
      <c r="BU204" s="1">
        <v>3.7229999999999999</v>
      </c>
      <c r="BV204" s="3">
        <v>45918</v>
      </c>
      <c r="BW204" s="1">
        <v>3.7679999999999998</v>
      </c>
      <c r="BY204" s="3">
        <v>45915</v>
      </c>
      <c r="BZ204" s="1">
        <v>6.5</v>
      </c>
      <c r="CA204" s="3">
        <v>45903</v>
      </c>
      <c r="CB204" s="1">
        <v>6.5</v>
      </c>
      <c r="CC204" s="3">
        <v>45918</v>
      </c>
      <c r="CD204" s="1">
        <v>6.4950000000000001</v>
      </c>
      <c r="CE204" s="3">
        <v>45918</v>
      </c>
      <c r="CF204" s="1">
        <v>6.4550000000000001</v>
      </c>
      <c r="CG204" s="3">
        <v>45918</v>
      </c>
      <c r="CH204" s="1">
        <v>6.4</v>
      </c>
      <c r="CI204" s="3">
        <v>45918</v>
      </c>
      <c r="CJ204" s="1">
        <v>6.2</v>
      </c>
      <c r="CK204" s="3">
        <v>45918</v>
      </c>
      <c r="CL204" s="1">
        <v>5.98</v>
      </c>
      <c r="CM204" s="3">
        <v>45918</v>
      </c>
      <c r="CN204" s="1">
        <v>5.74</v>
      </c>
      <c r="CO204" s="3">
        <v>45912</v>
      </c>
      <c r="CP204" s="1">
        <v>5.69</v>
      </c>
      <c r="CQ204" s="3">
        <v>45912</v>
      </c>
      <c r="CR204" s="1">
        <v>5.64</v>
      </c>
      <c r="CS204" s="3">
        <v>45912</v>
      </c>
      <c r="CT204" s="1">
        <v>5.64</v>
      </c>
    </row>
    <row r="205" spans="31:98" x14ac:dyDescent="0.2">
      <c r="AE205" s="3">
        <v>45917</v>
      </c>
      <c r="AF205" s="1">
        <v>4.75</v>
      </c>
      <c r="AG205" s="3">
        <v>45903</v>
      </c>
      <c r="AH205" s="1">
        <v>4.79</v>
      </c>
      <c r="AI205" s="3">
        <v>45917</v>
      </c>
      <c r="AJ205" s="2">
        <v>4.5999999999999996</v>
      </c>
      <c r="AK205" s="3">
        <v>45917</v>
      </c>
      <c r="AL205" s="2">
        <v>4.46</v>
      </c>
      <c r="AM205" s="3">
        <v>45917</v>
      </c>
      <c r="AN205" s="2">
        <v>4.3825000000000003</v>
      </c>
      <c r="AO205" s="3">
        <v>45917</v>
      </c>
      <c r="AP205" s="2">
        <v>4.0599999999999996</v>
      </c>
      <c r="AQ205" s="3">
        <v>45917</v>
      </c>
      <c r="AR205" s="2">
        <v>3.7925</v>
      </c>
      <c r="AS205" s="3">
        <v>45917</v>
      </c>
      <c r="AT205" s="2">
        <v>3.7075</v>
      </c>
      <c r="AU205" s="3">
        <v>45917</v>
      </c>
      <c r="AV205" s="2">
        <v>3.7050000000000001</v>
      </c>
      <c r="AW205" s="3">
        <v>45917</v>
      </c>
      <c r="AX205" s="2">
        <v>3.72</v>
      </c>
      <c r="AY205" s="3">
        <v>45917</v>
      </c>
      <c r="AZ205" s="2">
        <v>3.74</v>
      </c>
      <c r="BB205" s="3">
        <v>45903</v>
      </c>
      <c r="BC205" s="1">
        <v>3.5</v>
      </c>
      <c r="BD205" s="3">
        <v>45903</v>
      </c>
      <c r="BE205" s="1">
        <v>3.49</v>
      </c>
      <c r="BF205" s="3">
        <v>45917</v>
      </c>
      <c r="BG205" s="1">
        <v>3.5</v>
      </c>
      <c r="BH205" s="3">
        <v>45917</v>
      </c>
      <c r="BI205" s="1">
        <v>3.5030000000000001</v>
      </c>
      <c r="BJ205" s="3">
        <v>45917</v>
      </c>
      <c r="BK205" s="1">
        <v>3.5030000000000001</v>
      </c>
      <c r="BL205" s="3">
        <v>45917</v>
      </c>
      <c r="BM205" s="1">
        <v>3.5049999999999999</v>
      </c>
      <c r="BN205" s="3">
        <v>45917</v>
      </c>
      <c r="BO205" s="1">
        <v>3.5449999999999999</v>
      </c>
      <c r="BP205" s="3">
        <v>45917</v>
      </c>
      <c r="BQ205" s="1">
        <v>3.59</v>
      </c>
      <c r="BR205" s="3">
        <v>45917</v>
      </c>
      <c r="BS205" s="1">
        <v>3.6480000000000001</v>
      </c>
      <c r="BT205" s="3">
        <v>45917</v>
      </c>
      <c r="BU205" s="1">
        <v>3.698</v>
      </c>
      <c r="BV205" s="3">
        <v>45917</v>
      </c>
      <c r="BW205" s="1">
        <v>3.7480000000000002</v>
      </c>
      <c r="BY205" s="3">
        <v>45912</v>
      </c>
      <c r="BZ205" s="1">
        <v>6.5</v>
      </c>
      <c r="CA205" s="3">
        <v>45902</v>
      </c>
      <c r="CB205" s="1">
        <v>6.5</v>
      </c>
      <c r="CC205" s="3">
        <v>45917</v>
      </c>
      <c r="CD205" s="1">
        <v>6.492</v>
      </c>
      <c r="CE205" s="3">
        <v>45917</v>
      </c>
      <c r="CF205" s="1">
        <v>6.4870000000000001</v>
      </c>
      <c r="CG205" s="3">
        <v>45917</v>
      </c>
      <c r="CH205" s="1">
        <v>6.4</v>
      </c>
      <c r="CI205" s="3">
        <v>45917</v>
      </c>
      <c r="CJ205" s="1">
        <v>6.22</v>
      </c>
      <c r="CK205" s="3">
        <v>45917</v>
      </c>
      <c r="CL205" s="1">
        <v>5.99</v>
      </c>
      <c r="CM205" s="3">
        <v>45917</v>
      </c>
      <c r="CN205" s="1">
        <v>5.74</v>
      </c>
      <c r="CO205" s="3">
        <v>45911</v>
      </c>
      <c r="CP205" s="1">
        <v>5.6150000000000002</v>
      </c>
      <c r="CQ205" s="3">
        <v>45911</v>
      </c>
      <c r="CR205" s="1">
        <v>5.5650000000000004</v>
      </c>
      <c r="CS205" s="3">
        <v>45911</v>
      </c>
      <c r="CT205" s="1">
        <v>5.5650000000000004</v>
      </c>
    </row>
    <row r="206" spans="31:98" x14ac:dyDescent="0.2">
      <c r="AE206" s="3">
        <v>45916</v>
      </c>
      <c r="AF206" s="1">
        <v>4.75</v>
      </c>
      <c r="AG206" s="3">
        <v>45902</v>
      </c>
      <c r="AH206" s="1">
        <v>4.8099999999999996</v>
      </c>
      <c r="AI206" s="3">
        <v>45916</v>
      </c>
      <c r="AJ206" s="2">
        <v>4.5999999999999996</v>
      </c>
      <c r="AK206" s="3">
        <v>45916</v>
      </c>
      <c r="AL206" s="2">
        <v>4.4649999999999999</v>
      </c>
      <c r="AM206" s="3">
        <v>45916</v>
      </c>
      <c r="AN206" s="2">
        <v>4.3825000000000003</v>
      </c>
      <c r="AO206" s="3">
        <v>45916</v>
      </c>
      <c r="AP206" s="2">
        <v>4.0525000000000002</v>
      </c>
      <c r="AQ206" s="3">
        <v>45916</v>
      </c>
      <c r="AR206" s="2">
        <v>3.7725</v>
      </c>
      <c r="AS206" s="3">
        <v>45916</v>
      </c>
      <c r="AT206" s="2">
        <v>3.69</v>
      </c>
      <c r="AU206" s="3">
        <v>45916</v>
      </c>
      <c r="AV206" s="2">
        <v>3.69</v>
      </c>
      <c r="AW206" s="3">
        <v>45916</v>
      </c>
      <c r="AX206" s="2">
        <v>3.7075</v>
      </c>
      <c r="AY206" s="3">
        <v>45916</v>
      </c>
      <c r="AZ206" s="2">
        <v>3.7275</v>
      </c>
      <c r="BB206" s="3">
        <v>45902</v>
      </c>
      <c r="BC206" s="1">
        <v>3.5</v>
      </c>
      <c r="BD206" s="3">
        <v>45902</v>
      </c>
      <c r="BE206" s="1">
        <v>3.5</v>
      </c>
      <c r="BF206" s="3">
        <v>45916</v>
      </c>
      <c r="BG206" s="1">
        <v>3.5</v>
      </c>
      <c r="BH206" s="3">
        <v>45916</v>
      </c>
      <c r="BI206" s="1">
        <v>3.5009999999999999</v>
      </c>
      <c r="BJ206" s="3">
        <v>45916</v>
      </c>
      <c r="BK206" s="1">
        <v>3.4980000000000002</v>
      </c>
      <c r="BL206" s="3">
        <v>45916</v>
      </c>
      <c r="BM206" s="1">
        <v>3.5</v>
      </c>
      <c r="BN206" s="3">
        <v>45916</v>
      </c>
      <c r="BO206" s="1">
        <v>3.528</v>
      </c>
      <c r="BP206" s="3">
        <v>45916</v>
      </c>
      <c r="BQ206" s="1">
        <v>3.5830000000000002</v>
      </c>
      <c r="BR206" s="3">
        <v>45916</v>
      </c>
      <c r="BS206" s="1">
        <v>3.6349999999999998</v>
      </c>
      <c r="BT206" s="3">
        <v>45916</v>
      </c>
      <c r="BU206" s="1">
        <v>3.68</v>
      </c>
      <c r="BV206" s="3">
        <v>45916</v>
      </c>
      <c r="BW206" s="1">
        <v>3.72</v>
      </c>
      <c r="BY206" s="3">
        <v>45911</v>
      </c>
      <c r="BZ206" s="1">
        <v>6.5</v>
      </c>
      <c r="CA206" s="3">
        <v>45901</v>
      </c>
      <c r="CB206" s="1">
        <v>6.5</v>
      </c>
      <c r="CC206" s="3">
        <v>45916</v>
      </c>
      <c r="CD206" s="1">
        <v>6.49</v>
      </c>
      <c r="CE206" s="3">
        <v>45916</v>
      </c>
      <c r="CF206" s="1">
        <v>6.4850000000000003</v>
      </c>
      <c r="CG206" s="3">
        <v>45916</v>
      </c>
      <c r="CH206" s="1">
        <v>6.43</v>
      </c>
      <c r="CI206" s="3">
        <v>45916</v>
      </c>
      <c r="CJ206" s="1">
        <v>6.24</v>
      </c>
      <c r="CK206" s="3">
        <v>45916</v>
      </c>
      <c r="CL206" s="1">
        <v>6.01</v>
      </c>
      <c r="CM206" s="3">
        <v>45916</v>
      </c>
      <c r="CN206" s="1">
        <v>5.77</v>
      </c>
      <c r="CO206" s="3">
        <v>45910</v>
      </c>
      <c r="CP206" s="1">
        <v>5.6550000000000002</v>
      </c>
      <c r="CQ206" s="3">
        <v>45910</v>
      </c>
      <c r="CR206" s="1">
        <v>5.6050000000000004</v>
      </c>
      <c r="CS206" s="3">
        <v>45910</v>
      </c>
      <c r="CT206" s="1">
        <v>5.6050000000000004</v>
      </c>
    </row>
    <row r="207" spans="31:98" x14ac:dyDescent="0.2">
      <c r="AE207" s="3">
        <v>45915</v>
      </c>
      <c r="AF207" s="1">
        <v>4.75</v>
      </c>
      <c r="AG207" s="3">
        <v>45901</v>
      </c>
      <c r="AH207" s="1">
        <v>4.82</v>
      </c>
      <c r="AI207" s="3">
        <v>45915</v>
      </c>
      <c r="AJ207" s="2">
        <v>4.6025</v>
      </c>
      <c r="AK207" s="3">
        <v>45915</v>
      </c>
      <c r="AL207" s="2">
        <v>4.4649999999999999</v>
      </c>
      <c r="AM207" s="3">
        <v>45915</v>
      </c>
      <c r="AN207" s="2">
        <v>4.38</v>
      </c>
      <c r="AO207" s="3">
        <v>45915</v>
      </c>
      <c r="AP207" s="2">
        <v>4.04</v>
      </c>
      <c r="AQ207" s="3">
        <v>45915</v>
      </c>
      <c r="AR207" s="2">
        <v>3.76</v>
      </c>
      <c r="AS207" s="3">
        <v>45915</v>
      </c>
      <c r="AT207" s="2">
        <v>3.6775000000000002</v>
      </c>
      <c r="AU207" s="3">
        <v>45915</v>
      </c>
      <c r="AV207" s="2">
        <v>3.6775000000000002</v>
      </c>
      <c r="AW207" s="3">
        <v>45915</v>
      </c>
      <c r="AX207" s="2">
        <v>3.6949999999999998</v>
      </c>
      <c r="AY207" s="3">
        <v>45915</v>
      </c>
      <c r="AZ207" s="2">
        <v>3.7174999999999998</v>
      </c>
      <c r="BB207" s="3">
        <v>45901</v>
      </c>
      <c r="BC207" s="1">
        <v>3.5</v>
      </c>
      <c r="BD207" s="3">
        <v>45901</v>
      </c>
      <c r="BE207" s="1">
        <v>3.5</v>
      </c>
      <c r="BF207" s="3">
        <v>45915</v>
      </c>
      <c r="BG207" s="1">
        <v>3.49</v>
      </c>
      <c r="BH207" s="3">
        <v>45915</v>
      </c>
      <c r="BI207" s="1">
        <v>3.4940000000000002</v>
      </c>
      <c r="BJ207" s="3">
        <v>45915</v>
      </c>
      <c r="BK207" s="1">
        <v>3.49</v>
      </c>
      <c r="BL207" s="3">
        <v>45915</v>
      </c>
      <c r="BM207" s="1">
        <v>3.4780000000000002</v>
      </c>
      <c r="BN207" s="3">
        <v>45915</v>
      </c>
      <c r="BO207" s="1">
        <v>3.49</v>
      </c>
      <c r="BP207" s="3">
        <v>45915</v>
      </c>
      <c r="BQ207" s="1">
        <v>3.5350000000000001</v>
      </c>
      <c r="BR207" s="3">
        <v>45915</v>
      </c>
      <c r="BS207" s="1">
        <v>3.58</v>
      </c>
      <c r="BT207" s="3">
        <v>45915</v>
      </c>
      <c r="BU207" s="1">
        <v>3.625</v>
      </c>
      <c r="BV207" s="3">
        <v>45915</v>
      </c>
      <c r="BW207" s="1">
        <v>3.67</v>
      </c>
      <c r="BY207" s="3">
        <v>45910</v>
      </c>
      <c r="BZ207" s="1">
        <v>6.5</v>
      </c>
      <c r="CA207" s="3">
        <v>45898</v>
      </c>
      <c r="CB207" s="1">
        <v>6.5</v>
      </c>
      <c r="CC207" s="3">
        <v>45915</v>
      </c>
      <c r="CD207" s="1">
        <v>6.49</v>
      </c>
      <c r="CE207" s="3">
        <v>45915</v>
      </c>
      <c r="CF207" s="1">
        <v>6.4809999999999999</v>
      </c>
      <c r="CG207" s="3">
        <v>45915</v>
      </c>
      <c r="CH207" s="1">
        <v>6.43</v>
      </c>
      <c r="CI207" s="3">
        <v>45915</v>
      </c>
      <c r="CJ207" s="1">
        <v>6.23</v>
      </c>
      <c r="CK207" s="3">
        <v>45915</v>
      </c>
      <c r="CL207" s="1">
        <v>6</v>
      </c>
      <c r="CM207" s="3">
        <v>45915</v>
      </c>
      <c r="CN207" s="1">
        <v>5.77</v>
      </c>
      <c r="CO207" s="3">
        <v>45909</v>
      </c>
      <c r="CP207" s="1">
        <v>5.585</v>
      </c>
      <c r="CQ207" s="3">
        <v>45909</v>
      </c>
      <c r="CR207" s="1">
        <v>5.5250000000000004</v>
      </c>
      <c r="CS207" s="3">
        <v>45909</v>
      </c>
      <c r="CT207" s="1">
        <v>5.5250000000000004</v>
      </c>
    </row>
    <row r="208" spans="31:98" x14ac:dyDescent="0.2">
      <c r="AE208" s="3">
        <v>45912</v>
      </c>
      <c r="AF208" s="1">
        <v>4.75</v>
      </c>
      <c r="AG208" s="3">
        <v>45898</v>
      </c>
      <c r="AH208" s="1">
        <v>4.82</v>
      </c>
      <c r="AI208" s="3">
        <v>45912</v>
      </c>
      <c r="AJ208" s="2">
        <v>4.5999999999999996</v>
      </c>
      <c r="AK208" s="3">
        <v>45912</v>
      </c>
      <c r="AL208" s="2">
        <v>4.46</v>
      </c>
      <c r="AM208" s="3">
        <v>45912</v>
      </c>
      <c r="AN208" s="2">
        <v>4.38</v>
      </c>
      <c r="AO208" s="3">
        <v>45912</v>
      </c>
      <c r="AP208" s="2">
        <v>4.05</v>
      </c>
      <c r="AQ208" s="3">
        <v>45912</v>
      </c>
      <c r="AR208" s="2">
        <v>3.77</v>
      </c>
      <c r="AS208" s="3">
        <v>45912</v>
      </c>
      <c r="AT208" s="2">
        <v>3.6850000000000001</v>
      </c>
      <c r="AU208" s="3">
        <v>45912</v>
      </c>
      <c r="AV208" s="2">
        <v>3.6850000000000001</v>
      </c>
      <c r="AW208" s="3">
        <v>45912</v>
      </c>
      <c r="AX208" s="2">
        <v>3.7025000000000001</v>
      </c>
      <c r="AY208" s="3">
        <v>45912</v>
      </c>
      <c r="AZ208" s="2">
        <v>3.7250000000000001</v>
      </c>
      <c r="BB208" s="3">
        <v>45898</v>
      </c>
      <c r="BC208" s="1">
        <v>3.5</v>
      </c>
      <c r="BD208" s="3">
        <v>45898</v>
      </c>
      <c r="BE208" s="1">
        <v>3.5</v>
      </c>
      <c r="BF208" s="3">
        <v>45912</v>
      </c>
      <c r="BG208" s="1">
        <v>3.49</v>
      </c>
      <c r="BH208" s="3">
        <v>45912</v>
      </c>
      <c r="BI208" s="1">
        <v>3.4940000000000002</v>
      </c>
      <c r="BJ208" s="3">
        <v>45912</v>
      </c>
      <c r="BK208" s="1">
        <v>3.49</v>
      </c>
      <c r="BL208" s="3">
        <v>45912</v>
      </c>
      <c r="BM208" s="1">
        <v>3.48</v>
      </c>
      <c r="BN208" s="3">
        <v>45912</v>
      </c>
      <c r="BO208" s="1">
        <v>3.49</v>
      </c>
      <c r="BP208" s="3">
        <v>45912</v>
      </c>
      <c r="BQ208" s="1">
        <v>3.5350000000000001</v>
      </c>
      <c r="BR208" s="3">
        <v>45912</v>
      </c>
      <c r="BS208" s="1">
        <v>3.58</v>
      </c>
      <c r="BT208" s="3">
        <v>45912</v>
      </c>
      <c r="BU208" s="1">
        <v>3.6280000000000001</v>
      </c>
      <c r="BV208" s="3">
        <v>45912</v>
      </c>
      <c r="BW208" s="1">
        <v>3.673</v>
      </c>
      <c r="BY208" s="3">
        <v>45909</v>
      </c>
      <c r="BZ208" s="1">
        <v>6.5</v>
      </c>
      <c r="CA208" s="3">
        <v>45897</v>
      </c>
      <c r="CB208" s="1">
        <v>6.5</v>
      </c>
      <c r="CC208" s="3">
        <v>45912</v>
      </c>
      <c r="CD208" s="1">
        <v>6.49</v>
      </c>
      <c r="CE208" s="3">
        <v>45912</v>
      </c>
      <c r="CF208" s="1">
        <v>6.4850000000000003</v>
      </c>
      <c r="CG208" s="3">
        <v>45912</v>
      </c>
      <c r="CH208" s="1">
        <v>6.44</v>
      </c>
      <c r="CI208" s="3">
        <v>45912</v>
      </c>
      <c r="CJ208" s="1">
        <v>6.24</v>
      </c>
      <c r="CK208" s="3">
        <v>45912</v>
      </c>
      <c r="CL208" s="1">
        <v>6.04</v>
      </c>
      <c r="CM208" s="3">
        <v>45912</v>
      </c>
      <c r="CN208" s="1">
        <v>5.81</v>
      </c>
      <c r="CO208" s="3">
        <v>45908</v>
      </c>
      <c r="CP208" s="1">
        <v>5.6</v>
      </c>
      <c r="CQ208" s="3">
        <v>45908</v>
      </c>
      <c r="CR208" s="1">
        <v>5.59</v>
      </c>
      <c r="CS208" s="3">
        <v>45908</v>
      </c>
      <c r="CT208" s="1">
        <v>5.6</v>
      </c>
    </row>
    <row r="209" spans="31:98" x14ac:dyDescent="0.2">
      <c r="AE209" s="3">
        <v>45911</v>
      </c>
      <c r="AF209" s="1">
        <v>4.75</v>
      </c>
      <c r="AG209" s="3">
        <v>45897</v>
      </c>
      <c r="AH209" s="1">
        <v>4.8099999999999996</v>
      </c>
      <c r="AI209" s="3">
        <v>45911</v>
      </c>
      <c r="AJ209" s="2">
        <v>4.5999999999999996</v>
      </c>
      <c r="AK209" s="3">
        <v>45911</v>
      </c>
      <c r="AL209" s="2">
        <v>4.46</v>
      </c>
      <c r="AM209" s="3">
        <v>45911</v>
      </c>
      <c r="AN209" s="2">
        <v>4.3825000000000003</v>
      </c>
      <c r="AO209" s="3">
        <v>45911</v>
      </c>
      <c r="AP209" s="2">
        <v>4.0374999999999996</v>
      </c>
      <c r="AQ209" s="3">
        <v>45911</v>
      </c>
      <c r="AR209" s="2">
        <v>3.7574999999999998</v>
      </c>
      <c r="AS209" s="3">
        <v>45911</v>
      </c>
      <c r="AT209" s="2">
        <v>3.67</v>
      </c>
      <c r="AU209" s="3">
        <v>45911</v>
      </c>
      <c r="AV209" s="2">
        <v>3.6675</v>
      </c>
      <c r="AW209" s="3">
        <v>45911</v>
      </c>
      <c r="AX209" s="2">
        <v>3.6825000000000001</v>
      </c>
      <c r="AY209" s="3">
        <v>45911</v>
      </c>
      <c r="AZ209" s="2">
        <v>3.7050000000000001</v>
      </c>
      <c r="BB209" s="3">
        <v>45897</v>
      </c>
      <c r="BC209" s="1">
        <v>3.5</v>
      </c>
      <c r="BD209" s="3">
        <v>45897</v>
      </c>
      <c r="BE209" s="1">
        <v>3.5</v>
      </c>
      <c r="BF209" s="3">
        <v>45911</v>
      </c>
      <c r="BG209" s="1">
        <v>3.49</v>
      </c>
      <c r="BH209" s="3">
        <v>45911</v>
      </c>
      <c r="BI209" s="1">
        <v>3.4860000000000002</v>
      </c>
      <c r="BJ209" s="3">
        <v>45911</v>
      </c>
      <c r="BK209" s="1">
        <v>3.4830000000000001</v>
      </c>
      <c r="BL209" s="3">
        <v>45911</v>
      </c>
      <c r="BM209" s="1">
        <v>3.4649999999999999</v>
      </c>
      <c r="BN209" s="3">
        <v>45911</v>
      </c>
      <c r="BO209" s="1">
        <v>3.4729999999999999</v>
      </c>
      <c r="BP209" s="3">
        <v>45911</v>
      </c>
      <c r="BQ209" s="1">
        <v>3.5179999999999998</v>
      </c>
      <c r="BR209" s="3">
        <v>45911</v>
      </c>
      <c r="BS209" s="1">
        <v>3.548</v>
      </c>
      <c r="BT209" s="3">
        <v>45911</v>
      </c>
      <c r="BU209" s="1">
        <v>3.59</v>
      </c>
      <c r="BV209" s="3">
        <v>45911</v>
      </c>
      <c r="BW209" s="1">
        <v>3.6379999999999999</v>
      </c>
      <c r="BY209" s="3">
        <v>45908</v>
      </c>
      <c r="BZ209" s="1">
        <v>6.5</v>
      </c>
      <c r="CA209" s="3">
        <v>45896</v>
      </c>
      <c r="CB209" s="1">
        <v>6.5</v>
      </c>
      <c r="CC209" s="3">
        <v>45911</v>
      </c>
      <c r="CD209" s="1">
        <v>6.48</v>
      </c>
      <c r="CE209" s="3">
        <v>45911</v>
      </c>
      <c r="CF209" s="1">
        <v>6.47</v>
      </c>
      <c r="CG209" s="3">
        <v>45911</v>
      </c>
      <c r="CH209" s="1">
        <v>6.4249999999999998</v>
      </c>
      <c r="CI209" s="3">
        <v>45911</v>
      </c>
      <c r="CJ209" s="1">
        <v>6.19</v>
      </c>
      <c r="CK209" s="3">
        <v>45911</v>
      </c>
      <c r="CL209" s="1">
        <v>5.9649999999999999</v>
      </c>
      <c r="CM209" s="3">
        <v>45911</v>
      </c>
      <c r="CN209" s="1">
        <v>5.7249999999999996</v>
      </c>
      <c r="CO209" s="3">
        <v>45905</v>
      </c>
      <c r="CP209" s="1">
        <v>5.66</v>
      </c>
      <c r="CQ209" s="3">
        <v>45905</v>
      </c>
      <c r="CR209" s="1">
        <v>5.64</v>
      </c>
      <c r="CS209" s="3">
        <v>45905</v>
      </c>
      <c r="CT209" s="1">
        <v>5.65</v>
      </c>
    </row>
    <row r="210" spans="31:98" x14ac:dyDescent="0.2">
      <c r="AE210" s="3">
        <v>45910</v>
      </c>
      <c r="AF210" s="1">
        <v>4.75</v>
      </c>
      <c r="AG210" s="3">
        <v>45896</v>
      </c>
      <c r="AH210" s="1">
        <v>4.83</v>
      </c>
      <c r="AI210" s="3">
        <v>45910</v>
      </c>
      <c r="AJ210" s="2">
        <v>4.6150000000000002</v>
      </c>
      <c r="AK210" s="3">
        <v>45910</v>
      </c>
      <c r="AL210" s="2">
        <v>4.4749999999999996</v>
      </c>
      <c r="AM210" s="3">
        <v>45910</v>
      </c>
      <c r="AN210" s="2">
        <v>4.4000000000000004</v>
      </c>
      <c r="AO210" s="3">
        <v>45910</v>
      </c>
      <c r="AP210" s="2">
        <v>4.0650000000000004</v>
      </c>
      <c r="AQ210" s="3">
        <v>45910</v>
      </c>
      <c r="AR210" s="2">
        <v>3.78</v>
      </c>
      <c r="AS210" s="3">
        <v>45910</v>
      </c>
      <c r="AT210" s="2">
        <v>3.6924999999999999</v>
      </c>
      <c r="AU210" s="3">
        <v>45910</v>
      </c>
      <c r="AV210" s="2">
        <v>3.6974999999999998</v>
      </c>
      <c r="AW210" s="3">
        <v>45910</v>
      </c>
      <c r="AX210" s="2">
        <v>3.7124999999999999</v>
      </c>
      <c r="AY210" s="3">
        <v>45910</v>
      </c>
      <c r="AZ210" s="2">
        <v>3.7349999999999999</v>
      </c>
      <c r="BB210" s="3">
        <v>45896</v>
      </c>
      <c r="BC210" s="1">
        <v>3.5</v>
      </c>
      <c r="BD210" s="3">
        <v>45896</v>
      </c>
      <c r="BE210" s="1">
        <v>3.5</v>
      </c>
      <c r="BF210" s="3">
        <v>45910</v>
      </c>
      <c r="BG210" s="1">
        <v>3.488</v>
      </c>
      <c r="BH210" s="3">
        <v>45910</v>
      </c>
      <c r="BI210" s="1">
        <v>3.48</v>
      </c>
      <c r="BJ210" s="3">
        <v>45910</v>
      </c>
      <c r="BK210" s="1">
        <v>3.4750000000000001</v>
      </c>
      <c r="BL210" s="3">
        <v>45910</v>
      </c>
      <c r="BM210" s="1">
        <v>3.45</v>
      </c>
      <c r="BN210" s="3">
        <v>45910</v>
      </c>
      <c r="BO210" s="1">
        <v>3.44</v>
      </c>
      <c r="BP210" s="3">
        <v>45910</v>
      </c>
      <c r="BQ210" s="1">
        <v>3.4950000000000001</v>
      </c>
      <c r="BR210" s="3">
        <v>45910</v>
      </c>
      <c r="BS210" s="1">
        <v>3.5430000000000001</v>
      </c>
      <c r="BT210" s="3">
        <v>45910</v>
      </c>
      <c r="BU210" s="1">
        <v>3.59</v>
      </c>
      <c r="BV210" s="3">
        <v>45910</v>
      </c>
      <c r="BW210" s="1">
        <v>3.64</v>
      </c>
      <c r="BY210" s="3">
        <v>45905</v>
      </c>
      <c r="BZ210" s="1">
        <v>6.5</v>
      </c>
      <c r="CA210" s="3">
        <v>45895</v>
      </c>
      <c r="CB210" s="1">
        <v>6.5</v>
      </c>
      <c r="CC210" s="3">
        <v>45910</v>
      </c>
      <c r="CD210" s="1">
        <v>6.48</v>
      </c>
      <c r="CE210" s="3">
        <v>45910</v>
      </c>
      <c r="CF210" s="1">
        <v>6.47</v>
      </c>
      <c r="CG210" s="3">
        <v>45910</v>
      </c>
      <c r="CH210" s="1">
        <v>6.44</v>
      </c>
      <c r="CI210" s="3">
        <v>45910</v>
      </c>
      <c r="CJ210" s="1">
        <v>6.22</v>
      </c>
      <c r="CK210" s="3">
        <v>45910</v>
      </c>
      <c r="CL210" s="1">
        <v>6.01</v>
      </c>
      <c r="CM210" s="3">
        <v>45910</v>
      </c>
      <c r="CN210" s="1">
        <v>5.7649999999999997</v>
      </c>
      <c r="CO210" s="3">
        <v>45904</v>
      </c>
      <c r="CP210" s="1">
        <v>5.75</v>
      </c>
      <c r="CQ210" s="3">
        <v>45904</v>
      </c>
      <c r="CR210" s="1">
        <v>5.74</v>
      </c>
      <c r="CS210" s="3">
        <v>45904</v>
      </c>
      <c r="CT210" s="1">
        <v>5.75</v>
      </c>
    </row>
    <row r="211" spans="31:98" x14ac:dyDescent="0.2">
      <c r="AE211" s="3">
        <v>45909</v>
      </c>
      <c r="AF211" s="1">
        <v>4.75</v>
      </c>
      <c r="AG211" s="3">
        <v>45895</v>
      </c>
      <c r="AH211" s="1">
        <v>4.84</v>
      </c>
      <c r="AI211" s="3">
        <v>45909</v>
      </c>
      <c r="AJ211" s="2">
        <v>4.5999999999999996</v>
      </c>
      <c r="AK211" s="3">
        <v>45909</v>
      </c>
      <c r="AL211" s="2">
        <v>4.46</v>
      </c>
      <c r="AM211" s="3">
        <v>45909</v>
      </c>
      <c r="AN211" s="2">
        <v>4.38</v>
      </c>
      <c r="AO211" s="3">
        <v>45909</v>
      </c>
      <c r="AP211" s="2">
        <v>4.0475000000000003</v>
      </c>
      <c r="AQ211" s="3">
        <v>45909</v>
      </c>
      <c r="AR211" s="2">
        <v>3.76</v>
      </c>
      <c r="AS211" s="3">
        <v>45909</v>
      </c>
      <c r="AT211" s="2">
        <v>3.67</v>
      </c>
      <c r="AU211" s="3">
        <v>45909</v>
      </c>
      <c r="AV211" s="2">
        <v>3.6749999999999998</v>
      </c>
      <c r="AW211" s="3">
        <v>45909</v>
      </c>
      <c r="AX211" s="2">
        <v>3.6924999999999999</v>
      </c>
      <c r="AY211" s="3">
        <v>45909</v>
      </c>
      <c r="AZ211" s="2">
        <v>3.7149999999999999</v>
      </c>
      <c r="BB211" s="3">
        <v>45895</v>
      </c>
      <c r="BC211" s="1">
        <v>3.5</v>
      </c>
      <c r="BD211" s="3">
        <v>45895</v>
      </c>
      <c r="BE211" s="1">
        <v>3.5</v>
      </c>
      <c r="BF211" s="3">
        <v>45909</v>
      </c>
      <c r="BG211" s="1">
        <v>3.4830000000000001</v>
      </c>
      <c r="BH211" s="3">
        <v>45909</v>
      </c>
      <c r="BI211" s="1">
        <v>3.476</v>
      </c>
      <c r="BJ211" s="3">
        <v>45909</v>
      </c>
      <c r="BK211" s="1">
        <v>3.4750000000000001</v>
      </c>
      <c r="BL211" s="3">
        <v>45909</v>
      </c>
      <c r="BM211" s="1">
        <v>3.4580000000000002</v>
      </c>
      <c r="BN211" s="3">
        <v>45909</v>
      </c>
      <c r="BO211" s="1">
        <v>3.4529999999999998</v>
      </c>
      <c r="BP211" s="3">
        <v>45909</v>
      </c>
      <c r="BQ211" s="1">
        <v>3.5129999999999999</v>
      </c>
      <c r="BR211" s="3">
        <v>45909</v>
      </c>
      <c r="BS211" s="1">
        <v>3.5649999999999999</v>
      </c>
      <c r="BT211" s="3">
        <v>45909</v>
      </c>
      <c r="BU211" s="1">
        <v>3.6150000000000002</v>
      </c>
      <c r="BV211" s="3">
        <v>45909</v>
      </c>
      <c r="BW211" s="1">
        <v>3.665</v>
      </c>
      <c r="BY211" s="3">
        <v>45904</v>
      </c>
      <c r="BZ211" s="1">
        <v>6.5</v>
      </c>
      <c r="CA211" s="3">
        <v>45894</v>
      </c>
      <c r="CB211" s="1">
        <v>6.5</v>
      </c>
      <c r="CC211" s="3">
        <v>45909</v>
      </c>
      <c r="CD211" s="1">
        <v>6.48</v>
      </c>
      <c r="CE211" s="3">
        <v>45909</v>
      </c>
      <c r="CF211" s="1">
        <v>6.47</v>
      </c>
      <c r="CG211" s="3">
        <v>45909</v>
      </c>
      <c r="CH211" s="1">
        <v>6.42</v>
      </c>
      <c r="CI211" s="3">
        <v>45909</v>
      </c>
      <c r="CJ211" s="1">
        <v>6.18</v>
      </c>
      <c r="CK211" s="3">
        <v>45909</v>
      </c>
      <c r="CL211" s="1">
        <v>5.96</v>
      </c>
      <c r="CM211" s="3">
        <v>45909</v>
      </c>
      <c r="CN211" s="1">
        <v>5.6950000000000003</v>
      </c>
      <c r="CO211" s="3">
        <v>45903</v>
      </c>
      <c r="CP211" s="1">
        <v>5.71</v>
      </c>
      <c r="CQ211" s="3">
        <v>45903</v>
      </c>
      <c r="CR211" s="1">
        <v>5.7</v>
      </c>
      <c r="CS211" s="3">
        <v>45903</v>
      </c>
      <c r="CT211" s="1">
        <v>5.71</v>
      </c>
    </row>
    <row r="212" spans="31:98" x14ac:dyDescent="0.2">
      <c r="AE212" s="3">
        <v>45908</v>
      </c>
      <c r="AF212" s="1">
        <v>4.75</v>
      </c>
      <c r="AG212" s="3">
        <v>45894</v>
      </c>
      <c r="AH212" s="1">
        <v>4.84</v>
      </c>
      <c r="AI212" s="3">
        <v>45908</v>
      </c>
      <c r="AJ212" s="2">
        <v>4.5949999999999998</v>
      </c>
      <c r="AK212" s="3">
        <v>45908</v>
      </c>
      <c r="AL212" s="2">
        <v>4.4375</v>
      </c>
      <c r="AM212" s="3">
        <v>45908</v>
      </c>
      <c r="AN212" s="2">
        <v>4.3550000000000004</v>
      </c>
      <c r="AO212" s="3">
        <v>45908</v>
      </c>
      <c r="AP212" s="2">
        <v>4.01</v>
      </c>
      <c r="AQ212" s="3">
        <v>45908</v>
      </c>
      <c r="AR212" s="2">
        <v>3.7250000000000001</v>
      </c>
      <c r="AS212" s="3">
        <v>45908</v>
      </c>
      <c r="AT212" s="2">
        <v>3.6475</v>
      </c>
      <c r="AU212" s="3">
        <v>45908</v>
      </c>
      <c r="AV212" s="2">
        <v>3.6575000000000002</v>
      </c>
      <c r="AW212" s="3">
        <v>45908</v>
      </c>
      <c r="AX212" s="2">
        <v>3.68</v>
      </c>
      <c r="AY212" s="3">
        <v>45908</v>
      </c>
      <c r="AZ212" s="2">
        <v>3.7075</v>
      </c>
      <c r="BB212" s="3">
        <v>45894</v>
      </c>
      <c r="BC212" s="1">
        <v>3.5</v>
      </c>
      <c r="BD212" s="3">
        <v>45894</v>
      </c>
      <c r="BE212" s="1">
        <v>3.5</v>
      </c>
      <c r="BF212" s="3">
        <v>45908</v>
      </c>
      <c r="BG212" s="1">
        <v>3.4849999999999999</v>
      </c>
      <c r="BH212" s="3">
        <v>45908</v>
      </c>
      <c r="BI212" s="1">
        <v>3.484</v>
      </c>
      <c r="BJ212" s="3">
        <v>45908</v>
      </c>
      <c r="BK212" s="1">
        <v>3.4750000000000001</v>
      </c>
      <c r="BL212" s="3">
        <v>45908</v>
      </c>
      <c r="BM212" s="1">
        <v>3.46</v>
      </c>
      <c r="BN212" s="3">
        <v>45908</v>
      </c>
      <c r="BO212" s="1">
        <v>3.4550000000000001</v>
      </c>
      <c r="BP212" s="3">
        <v>45908</v>
      </c>
      <c r="BQ212" s="1">
        <v>3.5030000000000001</v>
      </c>
      <c r="BR212" s="3">
        <v>45908</v>
      </c>
      <c r="BS212" s="1">
        <v>3.5649999999999999</v>
      </c>
      <c r="BT212" s="3">
        <v>45908</v>
      </c>
      <c r="BU212" s="1">
        <v>3.613</v>
      </c>
      <c r="BV212" s="3">
        <v>45908</v>
      </c>
      <c r="BW212" s="1">
        <v>3.6549999999999998</v>
      </c>
      <c r="BY212" s="3">
        <v>45903</v>
      </c>
      <c r="BZ212" s="1">
        <v>6.5</v>
      </c>
      <c r="CA212" s="3">
        <v>45891</v>
      </c>
      <c r="CB212" s="1">
        <v>6.5</v>
      </c>
      <c r="CC212" s="3">
        <v>45908</v>
      </c>
      <c r="CD212" s="1">
        <v>6.48</v>
      </c>
      <c r="CE212" s="3">
        <v>45908</v>
      </c>
      <c r="CF212" s="1">
        <v>6.47</v>
      </c>
      <c r="CG212" s="3">
        <v>45908</v>
      </c>
      <c r="CH212" s="1">
        <v>6.42</v>
      </c>
      <c r="CI212" s="3">
        <v>45908</v>
      </c>
      <c r="CJ212" s="1">
        <v>6.2</v>
      </c>
      <c r="CK212" s="3">
        <v>45908</v>
      </c>
      <c r="CL212" s="1">
        <v>5.98</v>
      </c>
      <c r="CM212" s="3">
        <v>45908</v>
      </c>
      <c r="CN212" s="1">
        <v>5.69</v>
      </c>
      <c r="CO212" s="3">
        <v>45902</v>
      </c>
      <c r="CP212" s="1">
        <v>5.68</v>
      </c>
      <c r="CQ212" s="3">
        <v>45902</v>
      </c>
      <c r="CR212" s="1">
        <v>5.68</v>
      </c>
      <c r="CS212" s="3">
        <v>45902</v>
      </c>
      <c r="CT212" s="1">
        <v>5.69</v>
      </c>
    </row>
    <row r="213" spans="31:98" x14ac:dyDescent="0.2">
      <c r="AE213" s="3">
        <v>45905</v>
      </c>
      <c r="AF213" s="1">
        <v>4.75</v>
      </c>
      <c r="AG213" s="3">
        <v>45891</v>
      </c>
      <c r="AH213" s="1">
        <v>4.8499999999999996</v>
      </c>
      <c r="AI213" s="3">
        <v>45905</v>
      </c>
      <c r="AJ213" s="2">
        <v>4.6050000000000004</v>
      </c>
      <c r="AK213" s="3">
        <v>45905</v>
      </c>
      <c r="AL213" s="2">
        <v>4.45</v>
      </c>
      <c r="AM213" s="3">
        <v>45905</v>
      </c>
      <c r="AN213" s="2">
        <v>4.37</v>
      </c>
      <c r="AO213" s="3">
        <v>45905</v>
      </c>
      <c r="AP213" s="2">
        <v>4.0350000000000001</v>
      </c>
      <c r="AQ213" s="3">
        <v>45905</v>
      </c>
      <c r="AR213" s="2">
        <v>3.7549999999999999</v>
      </c>
      <c r="AS213" s="3">
        <v>45905</v>
      </c>
      <c r="AT213" s="2">
        <v>3.6775000000000002</v>
      </c>
      <c r="AU213" s="3">
        <v>45905</v>
      </c>
      <c r="AV213" s="2">
        <v>3.69</v>
      </c>
      <c r="AW213" s="3">
        <v>45905</v>
      </c>
      <c r="AX213" s="2">
        <v>3.7149999999999999</v>
      </c>
      <c r="AY213" s="3">
        <v>45905</v>
      </c>
      <c r="AZ213" s="2">
        <v>3.7450000000000001</v>
      </c>
      <c r="BB213" s="3">
        <v>45891</v>
      </c>
      <c r="BC213" s="1">
        <v>3.5</v>
      </c>
      <c r="BD213" s="3">
        <v>45891</v>
      </c>
      <c r="BE213" s="1">
        <v>3.5</v>
      </c>
      <c r="BF213" s="3">
        <v>45905</v>
      </c>
      <c r="BG213" s="1">
        <v>3.4849999999999999</v>
      </c>
      <c r="BH213" s="3">
        <v>45905</v>
      </c>
      <c r="BI213" s="1">
        <v>3.4849999999999999</v>
      </c>
      <c r="BJ213" s="3">
        <v>45905</v>
      </c>
      <c r="BK213" s="1">
        <v>3.4780000000000002</v>
      </c>
      <c r="BL213" s="3">
        <v>45905</v>
      </c>
      <c r="BM213" s="1">
        <v>3.46</v>
      </c>
      <c r="BN213" s="3">
        <v>45905</v>
      </c>
      <c r="BO213" s="1">
        <v>3.4430000000000001</v>
      </c>
      <c r="BP213" s="3">
        <v>45905</v>
      </c>
      <c r="BQ213" s="1">
        <v>3.5030000000000001</v>
      </c>
      <c r="BR213" s="3">
        <v>45905</v>
      </c>
      <c r="BS213" s="1">
        <v>3.55</v>
      </c>
      <c r="BT213" s="3">
        <v>45905</v>
      </c>
      <c r="BU213" s="1">
        <v>3.5950000000000002</v>
      </c>
      <c r="BV213" s="3">
        <v>45905</v>
      </c>
      <c r="BW213" s="1">
        <v>3.64</v>
      </c>
      <c r="BY213" s="3">
        <v>45902</v>
      </c>
      <c r="BZ213" s="1">
        <v>6.5</v>
      </c>
      <c r="CA213" s="3">
        <v>45890</v>
      </c>
      <c r="CB213" s="1">
        <v>6.5</v>
      </c>
      <c r="CC213" s="3">
        <v>45905</v>
      </c>
      <c r="CD213" s="1">
        <v>6.4870000000000001</v>
      </c>
      <c r="CE213" s="3">
        <v>45905</v>
      </c>
      <c r="CF213" s="1">
        <v>6.4660000000000002</v>
      </c>
      <c r="CG213" s="3">
        <v>45905</v>
      </c>
      <c r="CH213" s="1">
        <v>6.42</v>
      </c>
      <c r="CI213" s="3">
        <v>45905</v>
      </c>
      <c r="CJ213" s="1">
        <v>6.21</v>
      </c>
      <c r="CK213" s="3">
        <v>45905</v>
      </c>
      <c r="CL213" s="1">
        <v>5.99</v>
      </c>
      <c r="CM213" s="3">
        <v>45905</v>
      </c>
      <c r="CN213" s="1">
        <v>5.73</v>
      </c>
      <c r="CO213" s="3">
        <v>45901</v>
      </c>
      <c r="CP213" s="1">
        <v>5.625</v>
      </c>
      <c r="CQ213" s="3">
        <v>45901</v>
      </c>
      <c r="CR213" s="1">
        <v>5.6050000000000004</v>
      </c>
      <c r="CS213" s="3">
        <v>45901</v>
      </c>
      <c r="CT213" s="1">
        <v>5.6150000000000002</v>
      </c>
    </row>
    <row r="214" spans="31:98" x14ac:dyDescent="0.2">
      <c r="AE214" s="3">
        <v>45904</v>
      </c>
      <c r="AF214" s="1">
        <v>4.75</v>
      </c>
      <c r="AG214" s="3">
        <v>45890</v>
      </c>
      <c r="AH214" s="1">
        <v>4.8499999999999996</v>
      </c>
      <c r="AI214" s="3">
        <v>45904</v>
      </c>
      <c r="AJ214" s="2">
        <v>4.6399999999999997</v>
      </c>
      <c r="AK214" s="3">
        <v>45904</v>
      </c>
      <c r="AL214" s="2">
        <v>4.5250000000000004</v>
      </c>
      <c r="AM214" s="3">
        <v>45904</v>
      </c>
      <c r="AN214" s="2">
        <v>4.43</v>
      </c>
      <c r="AO214" s="3">
        <v>45904</v>
      </c>
      <c r="AP214" s="2">
        <v>4.1074999999999999</v>
      </c>
      <c r="AQ214" s="3">
        <v>45904</v>
      </c>
      <c r="AR214" s="2">
        <v>3.8212999999999999</v>
      </c>
      <c r="AS214" s="3">
        <v>45904</v>
      </c>
      <c r="AT214" s="2">
        <v>3.7450000000000001</v>
      </c>
      <c r="AU214" s="3">
        <v>45904</v>
      </c>
      <c r="AV214" s="2">
        <v>3.7675000000000001</v>
      </c>
      <c r="AW214" s="3">
        <v>45904</v>
      </c>
      <c r="AX214" s="2">
        <v>3.7925</v>
      </c>
      <c r="AY214" s="3">
        <v>45904</v>
      </c>
      <c r="AZ214" s="2">
        <v>3.82</v>
      </c>
      <c r="BB214" s="3">
        <v>45890</v>
      </c>
      <c r="BC214" s="1">
        <v>3.5</v>
      </c>
      <c r="BD214" s="3">
        <v>45890</v>
      </c>
      <c r="BE214" s="1">
        <v>3.5</v>
      </c>
      <c r="BF214" s="3">
        <v>45904</v>
      </c>
      <c r="BG214" s="1">
        <v>3.4950000000000001</v>
      </c>
      <c r="BH214" s="3">
        <v>45904</v>
      </c>
      <c r="BI214" s="1">
        <v>3.4980000000000002</v>
      </c>
      <c r="BJ214" s="3">
        <v>45904</v>
      </c>
      <c r="BK214" s="1">
        <v>3.4950000000000001</v>
      </c>
      <c r="BL214" s="3">
        <v>45904</v>
      </c>
      <c r="BM214" s="1">
        <v>3.4750000000000001</v>
      </c>
      <c r="BN214" s="3">
        <v>45904</v>
      </c>
      <c r="BO214" s="1">
        <v>3.4649999999999999</v>
      </c>
      <c r="BP214" s="3">
        <v>45904</v>
      </c>
      <c r="BQ214" s="1">
        <v>3.5230000000000001</v>
      </c>
      <c r="BR214" s="3">
        <v>45904</v>
      </c>
      <c r="BS214" s="1">
        <v>3.5750000000000002</v>
      </c>
      <c r="BT214" s="3">
        <v>45904</v>
      </c>
      <c r="BU214" s="1">
        <v>3.625</v>
      </c>
      <c r="BV214" s="3">
        <v>45904</v>
      </c>
      <c r="BW214" s="1">
        <v>3.67</v>
      </c>
      <c r="BY214" s="3">
        <v>45901</v>
      </c>
      <c r="BZ214" s="1">
        <v>6.5</v>
      </c>
      <c r="CA214" s="3">
        <v>45888</v>
      </c>
      <c r="CB214" s="1">
        <v>6.5</v>
      </c>
      <c r="CC214" s="3">
        <v>45904</v>
      </c>
      <c r="CD214" s="1">
        <v>6.4880000000000004</v>
      </c>
      <c r="CE214" s="3">
        <v>45904</v>
      </c>
      <c r="CF214" s="1">
        <v>6.4749999999999996</v>
      </c>
      <c r="CG214" s="3">
        <v>45904</v>
      </c>
      <c r="CH214" s="1">
        <v>6.4349999999999996</v>
      </c>
      <c r="CI214" s="3">
        <v>45904</v>
      </c>
      <c r="CJ214" s="1">
        <v>6.25</v>
      </c>
      <c r="CK214" s="3">
        <v>45904</v>
      </c>
      <c r="CL214" s="1">
        <v>6.05</v>
      </c>
      <c r="CM214" s="3">
        <v>45904</v>
      </c>
      <c r="CN214" s="1">
        <v>5.81</v>
      </c>
      <c r="CO214" s="3">
        <v>45898</v>
      </c>
      <c r="CP214" s="1">
        <v>5.64</v>
      </c>
      <c r="CQ214" s="3">
        <v>45898</v>
      </c>
      <c r="CR214" s="1">
        <v>5.62</v>
      </c>
      <c r="CS214" s="3">
        <v>45898</v>
      </c>
      <c r="CT214" s="1">
        <v>5.63</v>
      </c>
    </row>
    <row r="215" spans="31:98" x14ac:dyDescent="0.2">
      <c r="AE215" s="3">
        <v>45903</v>
      </c>
      <c r="AF215" s="1">
        <v>4.75</v>
      </c>
      <c r="AG215" s="3">
        <v>45889</v>
      </c>
      <c r="AH215" s="1">
        <v>4.87</v>
      </c>
      <c r="AI215" s="3">
        <v>45903</v>
      </c>
      <c r="AJ215" s="2">
        <v>4.67</v>
      </c>
      <c r="AK215" s="3">
        <v>45903</v>
      </c>
      <c r="AL215" s="2">
        <v>4.5824999999999996</v>
      </c>
      <c r="AM215" s="3">
        <v>45903</v>
      </c>
      <c r="AN215" s="2">
        <v>4.4775</v>
      </c>
      <c r="AO215" s="3">
        <v>45903</v>
      </c>
      <c r="AP215" s="2">
        <v>4.1375000000000002</v>
      </c>
      <c r="AQ215" s="3">
        <v>45903</v>
      </c>
      <c r="AR215" s="2">
        <v>3.8450000000000002</v>
      </c>
      <c r="AS215" s="3">
        <v>45903</v>
      </c>
      <c r="AT215" s="2">
        <v>3.7675000000000001</v>
      </c>
      <c r="AU215" s="3">
        <v>45903</v>
      </c>
      <c r="AV215" s="2">
        <v>3.7774999999999999</v>
      </c>
      <c r="AW215" s="3">
        <v>45903</v>
      </c>
      <c r="AX215" s="2">
        <v>3.7925</v>
      </c>
      <c r="AY215" s="3">
        <v>45903</v>
      </c>
      <c r="AZ215" s="2">
        <v>3.81</v>
      </c>
      <c r="BB215" s="3">
        <v>45889</v>
      </c>
      <c r="BC215" s="1">
        <v>3.5</v>
      </c>
      <c r="BD215" s="3">
        <v>45889</v>
      </c>
      <c r="BE215" s="1">
        <v>3.5</v>
      </c>
      <c r="BF215" s="3">
        <v>45903</v>
      </c>
      <c r="BG215" s="1">
        <v>3.4950000000000001</v>
      </c>
      <c r="BH215" s="3">
        <v>45903</v>
      </c>
      <c r="BI215" s="1">
        <v>3.4990000000000001</v>
      </c>
      <c r="BJ215" s="3">
        <v>45903</v>
      </c>
      <c r="BK215" s="1">
        <v>3.4950000000000001</v>
      </c>
      <c r="BL215" s="3">
        <v>45903</v>
      </c>
      <c r="BM215" s="1">
        <v>3.4780000000000002</v>
      </c>
      <c r="BN215" s="3">
        <v>45903</v>
      </c>
      <c r="BO215" s="1">
        <v>3.47</v>
      </c>
      <c r="BP215" s="3">
        <v>45903</v>
      </c>
      <c r="BQ215" s="1">
        <v>3.51</v>
      </c>
      <c r="BR215" s="3">
        <v>45903</v>
      </c>
      <c r="BS215" s="1">
        <v>3.5579999999999998</v>
      </c>
      <c r="BT215" s="3">
        <v>45903</v>
      </c>
      <c r="BU215" s="1">
        <v>3.613</v>
      </c>
      <c r="BV215" s="3">
        <v>45903</v>
      </c>
      <c r="BW215" s="1">
        <v>3.6549999999999998</v>
      </c>
      <c r="BY215" s="3">
        <v>45898</v>
      </c>
      <c r="BZ215" s="1">
        <v>6.5</v>
      </c>
      <c r="CA215" s="3">
        <v>45887</v>
      </c>
      <c r="CB215" s="1">
        <v>6.5</v>
      </c>
      <c r="CC215" s="3">
        <v>45903</v>
      </c>
      <c r="CD215" s="1">
        <v>6.49</v>
      </c>
      <c r="CE215" s="3">
        <v>45903</v>
      </c>
      <c r="CF215" s="1">
        <v>6.47</v>
      </c>
      <c r="CG215" s="3">
        <v>45903</v>
      </c>
      <c r="CH215" s="1">
        <v>6.43</v>
      </c>
      <c r="CI215" s="3">
        <v>45903</v>
      </c>
      <c r="CJ215" s="1">
        <v>6.23</v>
      </c>
      <c r="CK215" s="3">
        <v>45903</v>
      </c>
      <c r="CL215" s="1">
        <v>6.03</v>
      </c>
      <c r="CM215" s="3">
        <v>45903</v>
      </c>
      <c r="CN215" s="1">
        <v>5.77</v>
      </c>
      <c r="CO215" s="3">
        <v>45897</v>
      </c>
      <c r="CP215" s="1">
        <v>5.63</v>
      </c>
      <c r="CQ215" s="3">
        <v>45897</v>
      </c>
      <c r="CR215" s="1">
        <v>5.6</v>
      </c>
      <c r="CS215" s="3">
        <v>45897</v>
      </c>
      <c r="CT215" s="1">
        <v>5.61</v>
      </c>
    </row>
    <row r="216" spans="31:98" x14ac:dyDescent="0.2">
      <c r="AE216" s="3">
        <v>45902</v>
      </c>
      <c r="AF216" s="1">
        <v>5</v>
      </c>
      <c r="AG216" s="3">
        <v>45888</v>
      </c>
      <c r="AH216" s="1">
        <v>4.88</v>
      </c>
      <c r="AI216" s="3">
        <v>45902</v>
      </c>
      <c r="AJ216" s="2">
        <v>4.665</v>
      </c>
      <c r="AK216" s="3">
        <v>45902</v>
      </c>
      <c r="AL216" s="2">
        <v>4.585</v>
      </c>
      <c r="AM216" s="3">
        <v>45902</v>
      </c>
      <c r="AN216" s="2">
        <v>4.4775</v>
      </c>
      <c r="AO216" s="3">
        <v>45902</v>
      </c>
      <c r="AP216" s="2">
        <v>4.1325000000000003</v>
      </c>
      <c r="AQ216" s="3">
        <v>45902</v>
      </c>
      <c r="AR216" s="2">
        <v>3.84</v>
      </c>
      <c r="AS216" s="3">
        <v>45902</v>
      </c>
      <c r="AT216" s="2">
        <v>3.7625000000000002</v>
      </c>
      <c r="AU216" s="3">
        <v>45902</v>
      </c>
      <c r="AV216" s="2">
        <v>3.7725</v>
      </c>
      <c r="AW216" s="3">
        <v>45902</v>
      </c>
      <c r="AX216" s="2">
        <v>3.7875000000000001</v>
      </c>
      <c r="AY216" s="3">
        <v>45902</v>
      </c>
      <c r="AZ216" s="2">
        <v>3.8050000000000002</v>
      </c>
      <c r="BB216" s="3">
        <v>45888</v>
      </c>
      <c r="BC216" s="1">
        <v>3.5</v>
      </c>
      <c r="BD216" s="3">
        <v>45888</v>
      </c>
      <c r="BE216" s="1">
        <v>3.5</v>
      </c>
      <c r="BF216" s="3">
        <v>45902</v>
      </c>
      <c r="BG216" s="1">
        <v>3.5049999999999999</v>
      </c>
      <c r="BH216" s="3">
        <v>45902</v>
      </c>
      <c r="BI216" s="1">
        <v>3.5049999999999999</v>
      </c>
      <c r="BJ216" s="3">
        <v>45902</v>
      </c>
      <c r="BK216" s="1">
        <v>3.4950000000000001</v>
      </c>
      <c r="BL216" s="3">
        <v>45902</v>
      </c>
      <c r="BM216" s="1">
        <v>3.48</v>
      </c>
      <c r="BN216" s="3">
        <v>45902</v>
      </c>
      <c r="BO216" s="1">
        <v>3.468</v>
      </c>
      <c r="BP216" s="3">
        <v>45902</v>
      </c>
      <c r="BQ216" s="1">
        <v>3.508</v>
      </c>
      <c r="BR216" s="3">
        <v>45902</v>
      </c>
      <c r="BS216" s="1">
        <v>3.548</v>
      </c>
      <c r="BT216" s="3">
        <v>45902</v>
      </c>
      <c r="BU216" s="1">
        <v>3.5880000000000001</v>
      </c>
      <c r="BV216" s="3">
        <v>45902</v>
      </c>
      <c r="BW216" s="1">
        <v>3.6280000000000001</v>
      </c>
      <c r="BY216" s="3">
        <v>45897</v>
      </c>
      <c r="BZ216" s="1">
        <v>6.5</v>
      </c>
      <c r="CA216" s="3">
        <v>45884</v>
      </c>
      <c r="CB216" s="1">
        <v>6.5</v>
      </c>
      <c r="CC216" s="3">
        <v>45902</v>
      </c>
      <c r="CD216" s="1">
        <v>6.4850000000000003</v>
      </c>
      <c r="CE216" s="3">
        <v>45902</v>
      </c>
      <c r="CF216" s="1">
        <v>6.47</v>
      </c>
      <c r="CG216" s="3">
        <v>45902</v>
      </c>
      <c r="CH216" s="1">
        <v>6.43</v>
      </c>
      <c r="CI216" s="3">
        <v>45902</v>
      </c>
      <c r="CJ216" s="1">
        <v>6.23</v>
      </c>
      <c r="CK216" s="3">
        <v>45902</v>
      </c>
      <c r="CL216" s="1">
        <v>6.02</v>
      </c>
      <c r="CM216" s="3">
        <v>45902</v>
      </c>
      <c r="CN216" s="1">
        <v>5.75</v>
      </c>
      <c r="CO216" s="3">
        <v>45896</v>
      </c>
      <c r="CP216" s="1">
        <v>5.63</v>
      </c>
      <c r="CQ216" s="3">
        <v>45896</v>
      </c>
      <c r="CR216" s="1">
        <v>5.6</v>
      </c>
      <c r="CS216" s="3">
        <v>45896</v>
      </c>
      <c r="CT216" s="1">
        <v>5.61</v>
      </c>
    </row>
    <row r="217" spans="31:98" x14ac:dyDescent="0.2">
      <c r="AE217" s="3">
        <v>45901</v>
      </c>
      <c r="AF217" s="1">
        <v>5</v>
      </c>
      <c r="AG217" s="3">
        <v>45887</v>
      </c>
      <c r="AH217" s="1">
        <v>4.88</v>
      </c>
      <c r="AI217" s="3">
        <v>45901</v>
      </c>
      <c r="AJ217" s="2">
        <v>4.6775000000000002</v>
      </c>
      <c r="AK217" s="3">
        <v>45901</v>
      </c>
      <c r="AL217" s="2">
        <v>4.585</v>
      </c>
      <c r="AM217" s="3">
        <v>45901</v>
      </c>
      <c r="AN217" s="2">
        <v>4.4775</v>
      </c>
      <c r="AO217" s="3">
        <v>45901</v>
      </c>
      <c r="AP217" s="2">
        <v>4.1325000000000003</v>
      </c>
      <c r="AQ217" s="3">
        <v>45901</v>
      </c>
      <c r="AR217" s="2">
        <v>3.8275000000000001</v>
      </c>
      <c r="AS217" s="3">
        <v>45901</v>
      </c>
      <c r="AT217" s="2">
        <v>3.7524999999999999</v>
      </c>
      <c r="AU217" s="3">
        <v>45901</v>
      </c>
      <c r="AV217" s="2">
        <v>3.7625000000000002</v>
      </c>
      <c r="AW217" s="3">
        <v>45901</v>
      </c>
      <c r="AX217" s="2">
        <v>3.7774999999999999</v>
      </c>
      <c r="AY217" s="3">
        <v>45901</v>
      </c>
      <c r="AZ217" s="2">
        <v>3.7949999999999999</v>
      </c>
      <c r="BB217" s="3">
        <v>45887</v>
      </c>
      <c r="BC217" s="1">
        <v>3.5</v>
      </c>
      <c r="BD217" s="3">
        <v>45887</v>
      </c>
      <c r="BE217" s="1">
        <v>3.5</v>
      </c>
      <c r="BF217" s="3">
        <v>45901</v>
      </c>
      <c r="BG217" s="1">
        <v>3.51</v>
      </c>
      <c r="BH217" s="3">
        <v>45901</v>
      </c>
      <c r="BI217" s="1">
        <v>3.508</v>
      </c>
      <c r="BJ217" s="3">
        <v>45901</v>
      </c>
      <c r="BK217" s="1">
        <v>3.5</v>
      </c>
      <c r="BL217" s="3">
        <v>45901</v>
      </c>
      <c r="BM217" s="1">
        <v>3.4830000000000001</v>
      </c>
      <c r="BN217" s="3">
        <v>45901</v>
      </c>
      <c r="BO217" s="1">
        <v>3.468</v>
      </c>
      <c r="BP217" s="3">
        <v>45901</v>
      </c>
      <c r="BQ217" s="1">
        <v>3.508</v>
      </c>
      <c r="BR217" s="3">
        <v>45901</v>
      </c>
      <c r="BS217" s="1">
        <v>3.548</v>
      </c>
      <c r="BT217" s="3">
        <v>45901</v>
      </c>
      <c r="BU217" s="1">
        <v>3.59</v>
      </c>
      <c r="BV217" s="3">
        <v>45901</v>
      </c>
      <c r="BW217" s="1">
        <v>3.63</v>
      </c>
      <c r="BY217" s="3">
        <v>45896</v>
      </c>
      <c r="BZ217" s="1">
        <v>6.5</v>
      </c>
      <c r="CA217" s="3">
        <v>45883</v>
      </c>
      <c r="CB217" s="1">
        <v>6.5</v>
      </c>
      <c r="CC217" s="3">
        <v>45901</v>
      </c>
      <c r="CD217" s="1">
        <v>6.4850000000000003</v>
      </c>
      <c r="CE217" s="3">
        <v>45901</v>
      </c>
      <c r="CF217" s="1">
        <v>6.48</v>
      </c>
      <c r="CG217" s="3">
        <v>45901</v>
      </c>
      <c r="CH217" s="1">
        <v>6.43</v>
      </c>
      <c r="CI217" s="3">
        <v>45901</v>
      </c>
      <c r="CJ217" s="1">
        <v>6.2050000000000001</v>
      </c>
      <c r="CK217" s="3">
        <v>45901</v>
      </c>
      <c r="CL217" s="1">
        <v>5.97</v>
      </c>
      <c r="CM217" s="3">
        <v>45901</v>
      </c>
      <c r="CN217" s="1">
        <v>5.7050000000000001</v>
      </c>
      <c r="CO217" s="3">
        <v>45895</v>
      </c>
      <c r="CP217" s="1">
        <v>5.6</v>
      </c>
      <c r="CQ217" s="3">
        <v>45895</v>
      </c>
      <c r="CR217" s="1">
        <v>5.57</v>
      </c>
      <c r="CS217" s="3">
        <v>45895</v>
      </c>
      <c r="CT217" s="1">
        <v>5.58</v>
      </c>
    </row>
    <row r="218" spans="31:98" x14ac:dyDescent="0.2">
      <c r="AE218" s="3">
        <v>45898</v>
      </c>
      <c r="AF218" s="1">
        <v>5</v>
      </c>
      <c r="AG218" s="3">
        <v>45883</v>
      </c>
      <c r="AH218" s="1">
        <v>4.88</v>
      </c>
      <c r="AI218" s="3">
        <v>45898</v>
      </c>
      <c r="AJ218" s="2">
        <v>4.6725000000000003</v>
      </c>
      <c r="AK218" s="3">
        <v>45898</v>
      </c>
      <c r="AL218" s="2">
        <v>4.5724999999999998</v>
      </c>
      <c r="AM218" s="3">
        <v>45898</v>
      </c>
      <c r="AN218" s="2">
        <v>4.4649999999999999</v>
      </c>
      <c r="AO218" s="3">
        <v>45898</v>
      </c>
      <c r="AP218" s="2">
        <v>4.12</v>
      </c>
      <c r="AQ218" s="3">
        <v>45898</v>
      </c>
      <c r="AR218" s="2">
        <v>3.8125</v>
      </c>
      <c r="AS218" s="3">
        <v>45898</v>
      </c>
      <c r="AT218" s="2">
        <v>3.7374999999999998</v>
      </c>
      <c r="AU218" s="3">
        <v>45898</v>
      </c>
      <c r="AV218" s="2">
        <v>3.7475000000000001</v>
      </c>
      <c r="AW218" s="3">
        <v>45898</v>
      </c>
      <c r="AX218" s="2">
        <v>3.76</v>
      </c>
      <c r="AY218" s="3">
        <v>45898</v>
      </c>
      <c r="AZ218" s="2">
        <v>3.7774999999999999</v>
      </c>
      <c r="BB218" s="3">
        <v>45884</v>
      </c>
      <c r="BC218" s="1">
        <v>3.5</v>
      </c>
      <c r="BD218" s="3">
        <v>45884</v>
      </c>
      <c r="BE218" s="1">
        <v>3.5</v>
      </c>
      <c r="BF218" s="3">
        <v>45898</v>
      </c>
      <c r="BG218" s="1">
        <v>3.51</v>
      </c>
      <c r="BH218" s="3">
        <v>45898</v>
      </c>
      <c r="BI218" s="1">
        <v>3.5059999999999998</v>
      </c>
      <c r="BJ218" s="3">
        <v>45898</v>
      </c>
      <c r="BK218" s="1">
        <v>3.4980000000000002</v>
      </c>
      <c r="BL218" s="3">
        <v>45898</v>
      </c>
      <c r="BM218" s="1">
        <v>3.4830000000000001</v>
      </c>
      <c r="BN218" s="3">
        <v>45898</v>
      </c>
      <c r="BO218" s="1">
        <v>3.468</v>
      </c>
      <c r="BP218" s="3">
        <v>45898</v>
      </c>
      <c r="BQ218" s="1">
        <v>3.4980000000000002</v>
      </c>
      <c r="BR218" s="3">
        <v>45898</v>
      </c>
      <c r="BS218" s="1">
        <v>3.5329999999999999</v>
      </c>
      <c r="BT218" s="3">
        <v>45898</v>
      </c>
      <c r="BU218" s="1">
        <v>3.57</v>
      </c>
      <c r="BV218" s="3">
        <v>45898</v>
      </c>
      <c r="BW218" s="1">
        <v>3.62</v>
      </c>
      <c r="BY218" s="3">
        <v>45895</v>
      </c>
      <c r="BZ218" s="1">
        <v>6.5</v>
      </c>
      <c r="CA218" s="3">
        <v>45882</v>
      </c>
      <c r="CB218" s="1">
        <v>6.5</v>
      </c>
      <c r="CC218" s="3">
        <v>45898</v>
      </c>
      <c r="CD218" s="1">
        <v>6.49</v>
      </c>
      <c r="CE218" s="3">
        <v>45898</v>
      </c>
      <c r="CF218" s="1">
        <v>6.48</v>
      </c>
      <c r="CG218" s="3">
        <v>45898</v>
      </c>
      <c r="CH218" s="1">
        <v>6.43</v>
      </c>
      <c r="CI218" s="3">
        <v>45898</v>
      </c>
      <c r="CJ218" s="1">
        <v>6.21</v>
      </c>
      <c r="CK218" s="3">
        <v>45898</v>
      </c>
      <c r="CL218" s="1">
        <v>5.99</v>
      </c>
      <c r="CM218" s="3">
        <v>45898</v>
      </c>
      <c r="CN218" s="1">
        <v>5.72</v>
      </c>
      <c r="CO218" s="3">
        <v>45894</v>
      </c>
      <c r="CP218" s="1">
        <v>5.6</v>
      </c>
      <c r="CQ218" s="3">
        <v>45894</v>
      </c>
      <c r="CR218" s="1">
        <v>5.57</v>
      </c>
      <c r="CS218" s="3">
        <v>45894</v>
      </c>
      <c r="CT218" s="1">
        <v>5.58</v>
      </c>
    </row>
    <row r="219" spans="31:98" x14ac:dyDescent="0.2">
      <c r="AE219" s="3">
        <v>45897</v>
      </c>
      <c r="AF219" s="1">
        <v>5</v>
      </c>
      <c r="AG219" s="3">
        <v>45882</v>
      </c>
      <c r="AH219" s="1">
        <v>4.88</v>
      </c>
      <c r="AI219" s="3">
        <v>45897</v>
      </c>
      <c r="AJ219" s="2">
        <v>4.6675000000000004</v>
      </c>
      <c r="AK219" s="3">
        <v>45897</v>
      </c>
      <c r="AL219" s="2">
        <v>4.5609999999999999</v>
      </c>
      <c r="AM219" s="3">
        <v>45897</v>
      </c>
      <c r="AN219" s="2">
        <v>4.4627999999999997</v>
      </c>
      <c r="AO219" s="3">
        <v>45897</v>
      </c>
      <c r="AP219" s="2">
        <v>4.1139999999999999</v>
      </c>
      <c r="AQ219" s="3">
        <v>45897</v>
      </c>
      <c r="AR219" s="2">
        <v>3.7825000000000002</v>
      </c>
      <c r="AS219" s="3">
        <v>45897</v>
      </c>
      <c r="AT219" s="2">
        <v>3.7225000000000001</v>
      </c>
      <c r="AU219" s="3">
        <v>45897</v>
      </c>
      <c r="AV219" s="2">
        <v>3.7349999999999999</v>
      </c>
      <c r="AW219" s="3">
        <v>45897</v>
      </c>
      <c r="AX219" s="2">
        <v>3.75</v>
      </c>
      <c r="AY219" s="3">
        <v>45897</v>
      </c>
      <c r="AZ219" s="2">
        <v>3.7675000000000001</v>
      </c>
      <c r="BB219" s="3">
        <v>45883</v>
      </c>
      <c r="BC219" s="1">
        <v>3.5</v>
      </c>
      <c r="BD219" s="3">
        <v>45883</v>
      </c>
      <c r="BE219" s="1">
        <v>3.5</v>
      </c>
      <c r="BF219" s="3">
        <v>45897</v>
      </c>
      <c r="BG219" s="1">
        <v>3.51</v>
      </c>
      <c r="BH219" s="3">
        <v>45897</v>
      </c>
      <c r="BI219" s="1">
        <v>3.5049999999999999</v>
      </c>
      <c r="BJ219" s="3">
        <v>45897</v>
      </c>
      <c r="BK219" s="1">
        <v>3.49</v>
      </c>
      <c r="BL219" s="3">
        <v>45897</v>
      </c>
      <c r="BM219" s="1">
        <v>3.45</v>
      </c>
      <c r="BN219" s="3">
        <v>45897</v>
      </c>
      <c r="BO219" s="1">
        <v>3.423</v>
      </c>
      <c r="BP219" s="3">
        <v>45897</v>
      </c>
      <c r="BQ219" s="1">
        <v>3.4430000000000001</v>
      </c>
      <c r="BR219" s="3">
        <v>45897</v>
      </c>
      <c r="BS219" s="1">
        <v>3.4729999999999999</v>
      </c>
      <c r="BT219" s="3">
        <v>45897</v>
      </c>
      <c r="BU219" s="1">
        <v>3.51</v>
      </c>
      <c r="BV219" s="3">
        <v>45897</v>
      </c>
      <c r="BW219" s="1">
        <v>3.56</v>
      </c>
      <c r="BY219" s="3">
        <v>45894</v>
      </c>
      <c r="BZ219" s="1">
        <v>6.5</v>
      </c>
      <c r="CA219" s="3">
        <v>45881</v>
      </c>
      <c r="CB219" s="1">
        <v>6.5</v>
      </c>
      <c r="CC219" s="3">
        <v>45897</v>
      </c>
      <c r="CD219" s="1">
        <v>6.49</v>
      </c>
      <c r="CE219" s="3">
        <v>45897</v>
      </c>
      <c r="CF219" s="1">
        <v>6.48</v>
      </c>
      <c r="CG219" s="3">
        <v>45897</v>
      </c>
      <c r="CH219" s="1">
        <v>6.42</v>
      </c>
      <c r="CI219" s="3">
        <v>45897</v>
      </c>
      <c r="CJ219" s="1">
        <v>6.19</v>
      </c>
      <c r="CK219" s="3">
        <v>45897</v>
      </c>
      <c r="CL219" s="1">
        <v>5.97</v>
      </c>
      <c r="CM219" s="3">
        <v>45897</v>
      </c>
      <c r="CN219" s="1">
        <v>5.71</v>
      </c>
      <c r="CO219" s="3">
        <v>45891</v>
      </c>
      <c r="CP219" s="1">
        <v>5.6</v>
      </c>
      <c r="CQ219" s="3">
        <v>45891</v>
      </c>
      <c r="CR219" s="1">
        <v>5.57</v>
      </c>
      <c r="CS219" s="3">
        <v>45891</v>
      </c>
      <c r="CT219" s="1">
        <v>5.58</v>
      </c>
    </row>
    <row r="220" spans="31:98" x14ac:dyDescent="0.2">
      <c r="AE220" s="3">
        <v>45896</v>
      </c>
      <c r="AF220" s="1">
        <v>5</v>
      </c>
      <c r="AG220" s="3">
        <v>45881</v>
      </c>
      <c r="AH220" s="1">
        <v>4.8899999999999997</v>
      </c>
      <c r="AI220" s="3">
        <v>45896</v>
      </c>
      <c r="AJ220" s="2">
        <v>4.6749999999999998</v>
      </c>
      <c r="AK220" s="3">
        <v>45896</v>
      </c>
      <c r="AL220" s="2">
        <v>4.55</v>
      </c>
      <c r="AM220" s="3">
        <v>45896</v>
      </c>
      <c r="AN220" s="2">
        <v>4.4474999999999998</v>
      </c>
      <c r="AO220" s="3">
        <v>45896</v>
      </c>
      <c r="AP220" s="2">
        <v>4.0750000000000002</v>
      </c>
      <c r="AQ220" s="3">
        <v>45896</v>
      </c>
      <c r="AR220" s="2">
        <v>3.75</v>
      </c>
      <c r="AS220" s="3">
        <v>45896</v>
      </c>
      <c r="AT220" s="2">
        <v>3.6749999999999998</v>
      </c>
      <c r="AU220" s="3">
        <v>45896</v>
      </c>
      <c r="AV220" s="2">
        <v>3.68</v>
      </c>
      <c r="AW220" s="3">
        <v>45896</v>
      </c>
      <c r="AX220" s="2">
        <v>3.6924999999999999</v>
      </c>
      <c r="AY220" s="3">
        <v>45896</v>
      </c>
      <c r="AZ220" s="2">
        <v>3.71</v>
      </c>
      <c r="BB220" s="3">
        <v>45882</v>
      </c>
      <c r="BC220" s="1">
        <v>3.5</v>
      </c>
      <c r="BD220" s="3">
        <v>45882</v>
      </c>
      <c r="BE220" s="1">
        <v>3.51</v>
      </c>
      <c r="BF220" s="3">
        <v>45896</v>
      </c>
      <c r="BG220" s="1">
        <v>3.5150000000000001</v>
      </c>
      <c r="BH220" s="3">
        <v>45896</v>
      </c>
      <c r="BI220" s="1">
        <v>3.508</v>
      </c>
      <c r="BJ220" s="3">
        <v>45896</v>
      </c>
      <c r="BK220" s="1">
        <v>3.4849999999999999</v>
      </c>
      <c r="BL220" s="3">
        <v>45896</v>
      </c>
      <c r="BM220" s="1">
        <v>3.448</v>
      </c>
      <c r="BN220" s="3">
        <v>45896</v>
      </c>
      <c r="BO220" s="1">
        <v>3.4129999999999998</v>
      </c>
      <c r="BP220" s="3">
        <v>45896</v>
      </c>
      <c r="BQ220" s="1">
        <v>3.4329999999999998</v>
      </c>
      <c r="BR220" s="3">
        <v>45896</v>
      </c>
      <c r="BS220" s="1">
        <v>3.4649999999999999</v>
      </c>
      <c r="BT220" s="3">
        <v>45896</v>
      </c>
      <c r="BU220" s="1">
        <v>3.5030000000000001</v>
      </c>
      <c r="BV220" s="3">
        <v>45896</v>
      </c>
      <c r="BW220" s="1">
        <v>3.5630000000000002</v>
      </c>
      <c r="BY220" s="3">
        <v>45891</v>
      </c>
      <c r="BZ220" s="1">
        <v>6.5</v>
      </c>
      <c r="CA220" s="3">
        <v>45880</v>
      </c>
      <c r="CB220" s="1">
        <v>6.5</v>
      </c>
      <c r="CC220" s="3">
        <v>45896</v>
      </c>
      <c r="CD220" s="1">
        <v>6.4790000000000001</v>
      </c>
      <c r="CE220" s="3">
        <v>45896</v>
      </c>
      <c r="CF220" s="1">
        <v>6.4690000000000003</v>
      </c>
      <c r="CG220" s="3">
        <v>45896</v>
      </c>
      <c r="CH220" s="1">
        <v>6.42</v>
      </c>
      <c r="CI220" s="3">
        <v>45896</v>
      </c>
      <c r="CJ220" s="1">
        <v>6.22</v>
      </c>
      <c r="CK220" s="3">
        <v>45896</v>
      </c>
      <c r="CL220" s="1">
        <v>5.9950000000000001</v>
      </c>
      <c r="CM220" s="3">
        <v>45896</v>
      </c>
      <c r="CN220" s="1">
        <v>5.75</v>
      </c>
      <c r="CO220" s="3">
        <v>45890</v>
      </c>
      <c r="CP220" s="1">
        <v>5.64</v>
      </c>
      <c r="CQ220" s="3">
        <v>45890</v>
      </c>
      <c r="CR220" s="1">
        <v>5.61</v>
      </c>
      <c r="CS220" s="3">
        <v>45890</v>
      </c>
      <c r="CT220" s="1">
        <v>5.62</v>
      </c>
    </row>
    <row r="221" spans="31:98" x14ac:dyDescent="0.2">
      <c r="AE221" s="3">
        <v>45895</v>
      </c>
      <c r="AF221" s="1">
        <v>5</v>
      </c>
      <c r="AG221" s="3">
        <v>45880</v>
      </c>
      <c r="AH221" s="1">
        <v>4.9000000000000004</v>
      </c>
      <c r="AI221" s="3">
        <v>45895</v>
      </c>
      <c r="AJ221" s="2">
        <v>4.62</v>
      </c>
      <c r="AK221" s="3">
        <v>45895</v>
      </c>
      <c r="AL221" s="2">
        <v>4.4824999999999999</v>
      </c>
      <c r="AM221" s="3">
        <v>45895</v>
      </c>
      <c r="AN221" s="2">
        <v>4.3550000000000004</v>
      </c>
      <c r="AO221" s="3">
        <v>45895</v>
      </c>
      <c r="AP221" s="2">
        <v>3.9874999999999998</v>
      </c>
      <c r="AQ221" s="3">
        <v>45895</v>
      </c>
      <c r="AR221" s="2">
        <v>3.6749999999999998</v>
      </c>
      <c r="AS221" s="3">
        <v>45895</v>
      </c>
      <c r="AT221" s="2">
        <v>3.605</v>
      </c>
      <c r="AU221" s="3">
        <v>45895</v>
      </c>
      <c r="AV221" s="2">
        <v>3.6124999999999998</v>
      </c>
      <c r="AW221" s="3">
        <v>45895</v>
      </c>
      <c r="AX221" s="2">
        <v>3.62</v>
      </c>
      <c r="AY221" s="3">
        <v>45895</v>
      </c>
      <c r="AZ221" s="2">
        <v>3.6375000000000002</v>
      </c>
      <c r="BB221" s="3">
        <v>45881</v>
      </c>
      <c r="BC221" s="1">
        <v>3.5</v>
      </c>
      <c r="BD221" s="3">
        <v>45881</v>
      </c>
      <c r="BE221" s="1">
        <v>3.51</v>
      </c>
      <c r="BF221" s="3">
        <v>45895</v>
      </c>
      <c r="BG221" s="1">
        <v>3.51</v>
      </c>
      <c r="BH221" s="3">
        <v>45895</v>
      </c>
      <c r="BI221" s="1">
        <v>3.5030000000000001</v>
      </c>
      <c r="BJ221" s="3">
        <v>45895</v>
      </c>
      <c r="BK221" s="1">
        <v>3.4849999999999999</v>
      </c>
      <c r="BL221" s="3">
        <v>45895</v>
      </c>
      <c r="BM221" s="1">
        <v>3.45</v>
      </c>
      <c r="BN221" s="3">
        <v>45895</v>
      </c>
      <c r="BO221" s="1">
        <v>3.42</v>
      </c>
      <c r="BP221" s="3">
        <v>45895</v>
      </c>
      <c r="BQ221" s="1">
        <v>3.4380000000000002</v>
      </c>
      <c r="BR221" s="3">
        <v>45895</v>
      </c>
      <c r="BS221" s="1">
        <v>3.468</v>
      </c>
      <c r="BT221" s="3">
        <v>45895</v>
      </c>
      <c r="BU221" s="1">
        <v>3.5049999999999999</v>
      </c>
      <c r="BV221" s="3">
        <v>45895</v>
      </c>
      <c r="BW221" s="1">
        <v>3.5430000000000001</v>
      </c>
      <c r="BY221" s="3">
        <v>45890</v>
      </c>
      <c r="BZ221" s="1">
        <v>6.5</v>
      </c>
      <c r="CA221" s="3">
        <v>45877</v>
      </c>
      <c r="CB221" s="1">
        <v>6.5</v>
      </c>
      <c r="CC221" s="3">
        <v>45895</v>
      </c>
      <c r="CD221" s="1">
        <v>6.48</v>
      </c>
      <c r="CE221" s="3">
        <v>45895</v>
      </c>
      <c r="CF221" s="1">
        <v>6.47</v>
      </c>
      <c r="CG221" s="3">
        <v>45895</v>
      </c>
      <c r="CH221" s="1">
        <v>6.41</v>
      </c>
      <c r="CI221" s="3">
        <v>45895</v>
      </c>
      <c r="CJ221" s="1">
        <v>6.18</v>
      </c>
      <c r="CK221" s="3">
        <v>45895</v>
      </c>
      <c r="CL221" s="1">
        <v>5.97</v>
      </c>
      <c r="CM221" s="3">
        <v>45895</v>
      </c>
      <c r="CN221" s="1">
        <v>5.73</v>
      </c>
      <c r="CO221" s="3">
        <v>45889</v>
      </c>
      <c r="CP221" s="1">
        <v>5.61</v>
      </c>
      <c r="CQ221" s="3">
        <v>45889</v>
      </c>
      <c r="CR221" s="1">
        <v>5.59</v>
      </c>
      <c r="CS221" s="3">
        <v>45889</v>
      </c>
      <c r="CT221" s="1">
        <v>5.6</v>
      </c>
    </row>
    <row r="222" spans="31:98" x14ac:dyDescent="0.2">
      <c r="AE222" s="3">
        <v>45894</v>
      </c>
      <c r="AF222" s="1">
        <v>5</v>
      </c>
      <c r="AG222" s="3">
        <v>45877</v>
      </c>
      <c r="AH222" s="1">
        <v>4.91</v>
      </c>
      <c r="AI222" s="3">
        <v>45894</v>
      </c>
      <c r="AJ222" s="2">
        <v>4.6375000000000002</v>
      </c>
      <c r="AK222" s="3">
        <v>45894</v>
      </c>
      <c r="AL222" s="2">
        <v>4.5030000000000001</v>
      </c>
      <c r="AM222" s="3">
        <v>45894</v>
      </c>
      <c r="AN222" s="2">
        <v>4.3674999999999997</v>
      </c>
      <c r="AO222" s="3">
        <v>45894</v>
      </c>
      <c r="AP222" s="2">
        <v>4.0025000000000004</v>
      </c>
      <c r="AQ222" s="3">
        <v>45894</v>
      </c>
      <c r="AR222" s="2">
        <v>3.69</v>
      </c>
      <c r="AS222" s="3">
        <v>45894</v>
      </c>
      <c r="AT222" s="2">
        <v>3.6324999999999998</v>
      </c>
      <c r="AU222" s="3">
        <v>45894</v>
      </c>
      <c r="AV222" s="2">
        <v>3.6375000000000002</v>
      </c>
      <c r="AW222" s="3">
        <v>45894</v>
      </c>
      <c r="AX222" s="2">
        <v>3.645</v>
      </c>
      <c r="AY222" s="3">
        <v>45894</v>
      </c>
      <c r="AZ222" s="2">
        <v>3.6625000000000001</v>
      </c>
      <c r="BB222" s="3">
        <v>45880</v>
      </c>
      <c r="BC222" s="1">
        <v>3.5</v>
      </c>
      <c r="BD222" s="3">
        <v>45880</v>
      </c>
      <c r="BE222" s="1">
        <v>3.51</v>
      </c>
      <c r="BF222" s="3">
        <v>45894</v>
      </c>
      <c r="BG222" s="1">
        <v>3.508</v>
      </c>
      <c r="BH222" s="3">
        <v>45894</v>
      </c>
      <c r="BI222" s="1">
        <v>3.4950000000000001</v>
      </c>
      <c r="BJ222" s="3">
        <v>45894</v>
      </c>
      <c r="BK222" s="1">
        <v>3.488</v>
      </c>
      <c r="BL222" s="3">
        <v>45894</v>
      </c>
      <c r="BM222" s="1">
        <v>3.45</v>
      </c>
      <c r="BN222" s="3">
        <v>45894</v>
      </c>
      <c r="BO222" s="1">
        <v>3.4129999999999998</v>
      </c>
      <c r="BP222" s="3">
        <v>45894</v>
      </c>
      <c r="BQ222" s="1">
        <v>3.4279999999999999</v>
      </c>
      <c r="BR222" s="3">
        <v>45894</v>
      </c>
      <c r="BS222" s="1">
        <v>3.4580000000000002</v>
      </c>
      <c r="BT222" s="3">
        <v>45894</v>
      </c>
      <c r="BU222" s="1">
        <v>3.488</v>
      </c>
      <c r="BV222" s="3">
        <v>45894</v>
      </c>
      <c r="BW222" s="1">
        <v>3.52</v>
      </c>
      <c r="BY222" s="3">
        <v>45889</v>
      </c>
      <c r="BZ222" s="1">
        <v>6.5</v>
      </c>
      <c r="CA222" s="3">
        <v>45876</v>
      </c>
      <c r="CB222" s="1">
        <v>6.5</v>
      </c>
      <c r="CC222" s="3">
        <v>45894</v>
      </c>
      <c r="CD222" s="1">
        <v>6.4779999999999998</v>
      </c>
      <c r="CE222" s="3">
        <v>45894</v>
      </c>
      <c r="CF222" s="1">
        <v>6.4710000000000001</v>
      </c>
      <c r="CG222" s="3">
        <v>45894</v>
      </c>
      <c r="CH222" s="1">
        <v>6.4</v>
      </c>
      <c r="CI222" s="3">
        <v>45894</v>
      </c>
      <c r="CJ222" s="1">
        <v>6.18</v>
      </c>
      <c r="CK222" s="3">
        <v>45894</v>
      </c>
      <c r="CL222" s="1">
        <v>5.97</v>
      </c>
      <c r="CM222" s="3">
        <v>45894</v>
      </c>
      <c r="CN222" s="1">
        <v>5.73</v>
      </c>
      <c r="CO222" s="3">
        <v>45888</v>
      </c>
      <c r="CP222" s="1">
        <v>5.61</v>
      </c>
      <c r="CQ222" s="3">
        <v>45888</v>
      </c>
      <c r="CR222" s="1">
        <v>5.59</v>
      </c>
      <c r="CS222" s="3">
        <v>45888</v>
      </c>
      <c r="CT222" s="1">
        <v>5.6</v>
      </c>
    </row>
    <row r="223" spans="31:98" x14ac:dyDescent="0.2">
      <c r="AE223" s="3">
        <v>45891</v>
      </c>
      <c r="AF223" s="1">
        <v>5</v>
      </c>
      <c r="AG223" s="3">
        <v>45876</v>
      </c>
      <c r="AH223" s="1">
        <v>4.92</v>
      </c>
      <c r="AI223" s="3">
        <v>45891</v>
      </c>
      <c r="AJ223" s="2">
        <v>4.6375000000000002</v>
      </c>
      <c r="AK223" s="3">
        <v>45891</v>
      </c>
      <c r="AL223" s="2">
        <v>4.4974999999999996</v>
      </c>
      <c r="AM223" s="3">
        <v>45891</v>
      </c>
      <c r="AN223" s="2">
        <v>4.3674999999999997</v>
      </c>
      <c r="AO223" s="3">
        <v>45891</v>
      </c>
      <c r="AP223" s="2">
        <v>4.0025000000000004</v>
      </c>
      <c r="AQ223" s="3">
        <v>45891</v>
      </c>
      <c r="AR223" s="2">
        <v>3.69</v>
      </c>
      <c r="AS223" s="3">
        <v>45891</v>
      </c>
      <c r="AT223" s="2">
        <v>3.6324999999999998</v>
      </c>
      <c r="AU223" s="3">
        <v>45891</v>
      </c>
      <c r="AV223" s="2">
        <v>3.6375000000000002</v>
      </c>
      <c r="AW223" s="3">
        <v>45891</v>
      </c>
      <c r="AX223" s="2">
        <v>3.645</v>
      </c>
      <c r="AY223" s="3">
        <v>45891</v>
      </c>
      <c r="AZ223" s="2">
        <v>3.6625000000000001</v>
      </c>
      <c r="BB223" s="3">
        <v>45877</v>
      </c>
      <c r="BC223" s="1">
        <v>3.5</v>
      </c>
      <c r="BD223" s="3">
        <v>45877</v>
      </c>
      <c r="BE223" s="1">
        <v>3.51</v>
      </c>
      <c r="BF223" s="3">
        <v>45891</v>
      </c>
      <c r="BG223" s="1">
        <v>3.5</v>
      </c>
      <c r="BH223" s="3">
        <v>45891</v>
      </c>
      <c r="BI223" s="1">
        <v>3.4950000000000001</v>
      </c>
      <c r="BJ223" s="3">
        <v>45891</v>
      </c>
      <c r="BK223" s="1">
        <v>3.488</v>
      </c>
      <c r="BL223" s="3">
        <v>45891</v>
      </c>
      <c r="BM223" s="1">
        <v>3.45</v>
      </c>
      <c r="BN223" s="3">
        <v>45891</v>
      </c>
      <c r="BO223" s="1">
        <v>3.4129999999999998</v>
      </c>
      <c r="BP223" s="3">
        <v>45891</v>
      </c>
      <c r="BQ223" s="1">
        <v>3.4279999999999999</v>
      </c>
      <c r="BR223" s="3">
        <v>45891</v>
      </c>
      <c r="BS223" s="1">
        <v>3.4580000000000002</v>
      </c>
      <c r="BT223" s="3">
        <v>45891</v>
      </c>
      <c r="BU223" s="1">
        <v>3.488</v>
      </c>
      <c r="BV223" s="3">
        <v>45891</v>
      </c>
      <c r="BW223" s="1">
        <v>3.52</v>
      </c>
      <c r="BY223" s="3">
        <v>45888</v>
      </c>
      <c r="BZ223" s="1">
        <v>6.5</v>
      </c>
      <c r="CA223" s="3">
        <v>45875</v>
      </c>
      <c r="CB223" s="1">
        <v>6.5</v>
      </c>
      <c r="CC223" s="3">
        <v>45891</v>
      </c>
      <c r="CD223" s="1">
        <v>6.48</v>
      </c>
      <c r="CE223" s="3">
        <v>45891</v>
      </c>
      <c r="CF223" s="1">
        <v>6.47</v>
      </c>
      <c r="CG223" s="3">
        <v>45891</v>
      </c>
      <c r="CH223" s="1">
        <v>6.4</v>
      </c>
      <c r="CI223" s="3">
        <v>45891</v>
      </c>
      <c r="CJ223" s="1">
        <v>6.18</v>
      </c>
      <c r="CK223" s="3">
        <v>45891</v>
      </c>
      <c r="CL223" s="1">
        <v>5.97</v>
      </c>
      <c r="CM223" s="3">
        <v>45891</v>
      </c>
      <c r="CN223" s="1">
        <v>5.73</v>
      </c>
      <c r="CO223" s="3">
        <v>45887</v>
      </c>
      <c r="CP223" s="1">
        <v>5.62</v>
      </c>
      <c r="CQ223" s="3">
        <v>45887</v>
      </c>
      <c r="CR223" s="1">
        <v>5.6</v>
      </c>
      <c r="CS223" s="3">
        <v>45887</v>
      </c>
      <c r="CT223" s="1">
        <v>5.61</v>
      </c>
    </row>
    <row r="224" spans="31:98" x14ac:dyDescent="0.2">
      <c r="AE224" s="3">
        <v>45890</v>
      </c>
      <c r="AF224" s="1">
        <v>5</v>
      </c>
      <c r="AG224" s="3">
        <v>45875</v>
      </c>
      <c r="AH224" s="1">
        <v>4.93</v>
      </c>
      <c r="AI224" s="3">
        <v>45890</v>
      </c>
      <c r="AJ224" s="2">
        <v>4.6475</v>
      </c>
      <c r="AK224" s="3">
        <v>45890</v>
      </c>
      <c r="AL224" s="2">
        <v>4.5125000000000002</v>
      </c>
      <c r="AM224" s="3">
        <v>45890</v>
      </c>
      <c r="AN224" s="2">
        <v>4.3849999999999998</v>
      </c>
      <c r="AO224" s="3">
        <v>45890</v>
      </c>
      <c r="AP224" s="2">
        <v>4.0274999999999999</v>
      </c>
      <c r="AQ224" s="3">
        <v>45890</v>
      </c>
      <c r="AR224" s="2">
        <v>3.7174999999999998</v>
      </c>
      <c r="AS224" s="3">
        <v>45890</v>
      </c>
      <c r="AT224" s="2">
        <v>3.6575000000000002</v>
      </c>
      <c r="AU224" s="3">
        <v>45890</v>
      </c>
      <c r="AV224" s="2">
        <v>3.6625000000000001</v>
      </c>
      <c r="AW224" s="3">
        <v>45890</v>
      </c>
      <c r="AX224" s="2">
        <v>3.67</v>
      </c>
      <c r="AY224" s="3">
        <v>45890</v>
      </c>
      <c r="AZ224" s="2">
        <v>3.6875</v>
      </c>
      <c r="BB224" s="3">
        <v>45876</v>
      </c>
      <c r="BC224" s="1">
        <v>3.5</v>
      </c>
      <c r="BD224" s="3">
        <v>45876</v>
      </c>
      <c r="BE224" s="1">
        <v>3.5</v>
      </c>
      <c r="BF224" s="3">
        <v>45890</v>
      </c>
      <c r="BG224" s="1">
        <v>3.51</v>
      </c>
      <c r="BH224" s="3">
        <v>45890</v>
      </c>
      <c r="BI224" s="1">
        <v>3.5059999999999998</v>
      </c>
      <c r="BJ224" s="3">
        <v>45890</v>
      </c>
      <c r="BK224" s="1">
        <v>3.49</v>
      </c>
      <c r="BL224" s="3">
        <v>45890</v>
      </c>
      <c r="BM224" s="1">
        <v>3.4649999999999999</v>
      </c>
      <c r="BN224" s="3">
        <v>45890</v>
      </c>
      <c r="BO224" s="1">
        <v>3.4329999999999998</v>
      </c>
      <c r="BP224" s="3">
        <v>45890</v>
      </c>
      <c r="BQ224" s="1">
        <v>3.4529999999999998</v>
      </c>
      <c r="BR224" s="3">
        <v>45890</v>
      </c>
      <c r="BS224" s="1">
        <v>3.488</v>
      </c>
      <c r="BT224" s="3">
        <v>45890</v>
      </c>
      <c r="BU224" s="1">
        <v>3.5249999999999999</v>
      </c>
      <c r="BV224" s="3">
        <v>45890</v>
      </c>
      <c r="BW224" s="1">
        <v>3.56</v>
      </c>
      <c r="BY224" s="3">
        <v>45887</v>
      </c>
      <c r="BZ224" s="1">
        <v>6.5</v>
      </c>
      <c r="CA224" s="3">
        <v>45874</v>
      </c>
      <c r="CB224" s="1">
        <v>6.5</v>
      </c>
      <c r="CC224" s="3">
        <v>45890</v>
      </c>
      <c r="CD224" s="1">
        <v>6.4950000000000001</v>
      </c>
      <c r="CE224" s="3">
        <v>45890</v>
      </c>
      <c r="CF224" s="1">
        <v>6.48</v>
      </c>
      <c r="CG224" s="3">
        <v>45890</v>
      </c>
      <c r="CH224" s="1">
        <v>6.42</v>
      </c>
      <c r="CI224" s="3">
        <v>45890</v>
      </c>
      <c r="CJ224" s="1">
        <v>6.23</v>
      </c>
      <c r="CK224" s="3">
        <v>45890</v>
      </c>
      <c r="CL224" s="1">
        <v>6.03</v>
      </c>
      <c r="CM224" s="3">
        <v>45890</v>
      </c>
      <c r="CN224" s="1">
        <v>5.77</v>
      </c>
      <c r="CO224" s="3">
        <v>45884</v>
      </c>
      <c r="CP224" s="1">
        <v>5.55</v>
      </c>
      <c r="CQ224" s="3">
        <v>45884</v>
      </c>
      <c r="CR224" s="1">
        <v>5.53</v>
      </c>
      <c r="CS224" s="3">
        <v>45884</v>
      </c>
      <c r="CT224" s="1">
        <v>5.54</v>
      </c>
    </row>
    <row r="225" spans="31:98" x14ac:dyDescent="0.2">
      <c r="AE225" s="3">
        <v>45889</v>
      </c>
      <c r="AF225" s="1">
        <v>5</v>
      </c>
      <c r="AG225" s="3">
        <v>45874</v>
      </c>
      <c r="AH225" s="1">
        <v>4.9400000000000004</v>
      </c>
      <c r="AI225" s="3">
        <v>45889</v>
      </c>
      <c r="AJ225" s="2">
        <v>4.6500000000000004</v>
      </c>
      <c r="AK225" s="3">
        <v>45889</v>
      </c>
      <c r="AL225" s="2">
        <v>4.51</v>
      </c>
      <c r="AM225" s="3">
        <v>45889</v>
      </c>
      <c r="AN225" s="2">
        <v>4.37</v>
      </c>
      <c r="AO225" s="3">
        <v>45889</v>
      </c>
      <c r="AP225" s="2">
        <v>4.0163000000000002</v>
      </c>
      <c r="AQ225" s="3">
        <v>45889</v>
      </c>
      <c r="AR225" s="2">
        <v>3.7050000000000001</v>
      </c>
      <c r="AS225" s="3">
        <v>45889</v>
      </c>
      <c r="AT225" s="2">
        <v>3.6425000000000001</v>
      </c>
      <c r="AU225" s="3">
        <v>45889</v>
      </c>
      <c r="AV225" s="2">
        <v>3.645</v>
      </c>
      <c r="AW225" s="3">
        <v>45889</v>
      </c>
      <c r="AX225" s="2">
        <v>3.6524999999999999</v>
      </c>
      <c r="AY225" s="3">
        <v>45889</v>
      </c>
      <c r="AZ225" s="2">
        <v>3.67</v>
      </c>
      <c r="BB225" s="3">
        <v>45875</v>
      </c>
      <c r="BC225" s="1">
        <v>3.5</v>
      </c>
      <c r="BD225" s="3">
        <v>45875</v>
      </c>
      <c r="BE225" s="1">
        <v>3.5</v>
      </c>
      <c r="BF225" s="3">
        <v>45889</v>
      </c>
      <c r="BG225" s="1">
        <v>3.51</v>
      </c>
      <c r="BH225" s="3">
        <v>45889</v>
      </c>
      <c r="BI225" s="1">
        <v>3.5059999999999998</v>
      </c>
      <c r="BJ225" s="3">
        <v>45889</v>
      </c>
      <c r="BK225" s="1">
        <v>3.49</v>
      </c>
      <c r="BL225" s="3">
        <v>45889</v>
      </c>
      <c r="BM225" s="1">
        <v>3.4630000000000001</v>
      </c>
      <c r="BN225" s="3">
        <v>45889</v>
      </c>
      <c r="BO225" s="1">
        <v>3.4329999999999998</v>
      </c>
      <c r="BP225" s="3">
        <v>45889</v>
      </c>
      <c r="BQ225" s="1">
        <v>3.4529999999999998</v>
      </c>
      <c r="BR225" s="3">
        <v>45889</v>
      </c>
      <c r="BS225" s="1">
        <v>3.49</v>
      </c>
      <c r="BT225" s="3">
        <v>45889</v>
      </c>
      <c r="BU225" s="1">
        <v>3.5230000000000001</v>
      </c>
      <c r="BV225" s="3">
        <v>45889</v>
      </c>
      <c r="BW225" s="1">
        <v>3.5579999999999998</v>
      </c>
      <c r="BY225" s="3">
        <v>45884</v>
      </c>
      <c r="BZ225" s="1">
        <v>6.5</v>
      </c>
      <c r="CA225" s="3">
        <v>45873</v>
      </c>
      <c r="CB225" s="1">
        <v>6.5</v>
      </c>
      <c r="CC225" s="3">
        <v>45889</v>
      </c>
      <c r="CD225" s="1">
        <v>6.4950999999999999</v>
      </c>
      <c r="CE225" s="3">
        <v>45889</v>
      </c>
      <c r="CF225" s="1">
        <v>6.4748999999999999</v>
      </c>
      <c r="CG225" s="3">
        <v>45889</v>
      </c>
      <c r="CH225" s="1">
        <v>6.4004000000000003</v>
      </c>
      <c r="CI225" s="3">
        <v>45889</v>
      </c>
      <c r="CJ225" s="1">
        <v>6.2011000000000003</v>
      </c>
      <c r="CK225" s="3">
        <v>45889</v>
      </c>
      <c r="CL225" s="1">
        <v>5.9912999999999998</v>
      </c>
      <c r="CM225" s="3">
        <v>45889</v>
      </c>
      <c r="CN225" s="1">
        <v>5.74</v>
      </c>
      <c r="CO225" s="3">
        <v>45883</v>
      </c>
      <c r="CP225" s="1">
        <v>5.6</v>
      </c>
      <c r="CQ225" s="3">
        <v>45883</v>
      </c>
      <c r="CR225" s="1">
        <v>5.58</v>
      </c>
      <c r="CS225" s="3">
        <v>45883</v>
      </c>
      <c r="CT225" s="1">
        <v>5.59</v>
      </c>
    </row>
    <row r="226" spans="31:98" x14ac:dyDescent="0.2">
      <c r="AE226" s="3">
        <v>45888</v>
      </c>
      <c r="AF226" s="1">
        <v>5</v>
      </c>
      <c r="AG226" s="3">
        <v>45873</v>
      </c>
      <c r="AH226" s="1">
        <v>4.93</v>
      </c>
      <c r="AI226" s="3">
        <v>45888</v>
      </c>
      <c r="AJ226" s="2">
        <v>4.6500000000000004</v>
      </c>
      <c r="AK226" s="3">
        <v>45888</v>
      </c>
      <c r="AL226" s="2">
        <v>4.5149999999999997</v>
      </c>
      <c r="AM226" s="3">
        <v>45888</v>
      </c>
      <c r="AN226" s="2">
        <v>4.3849999999999998</v>
      </c>
      <c r="AO226" s="3">
        <v>45888</v>
      </c>
      <c r="AP226" s="2">
        <v>4.0374999999999996</v>
      </c>
      <c r="AQ226" s="3">
        <v>45888</v>
      </c>
      <c r="AR226" s="2">
        <v>3.7275</v>
      </c>
      <c r="AS226" s="3">
        <v>45888</v>
      </c>
      <c r="AT226" s="2">
        <v>3.6625000000000001</v>
      </c>
      <c r="AU226" s="3">
        <v>45888</v>
      </c>
      <c r="AV226" s="2">
        <v>3.6625000000000001</v>
      </c>
      <c r="AW226" s="3">
        <v>45888</v>
      </c>
      <c r="AX226" s="2">
        <v>3.67</v>
      </c>
      <c r="AY226" s="3">
        <v>45888</v>
      </c>
      <c r="AZ226" s="2">
        <v>3.6850000000000001</v>
      </c>
      <c r="BB226" s="3">
        <v>45874</v>
      </c>
      <c r="BC226" s="1">
        <v>3.5</v>
      </c>
      <c r="BD226" s="3">
        <v>45874</v>
      </c>
      <c r="BE226" s="1">
        <v>3.5</v>
      </c>
      <c r="BF226" s="3">
        <v>45888</v>
      </c>
      <c r="BG226" s="1">
        <v>3.51</v>
      </c>
      <c r="BH226" s="3">
        <v>45888</v>
      </c>
      <c r="BI226" s="1">
        <v>3.5150000000000001</v>
      </c>
      <c r="BJ226" s="3">
        <v>45888</v>
      </c>
      <c r="BK226" s="1">
        <v>3.5049999999999999</v>
      </c>
      <c r="BL226" s="3">
        <v>45888</v>
      </c>
      <c r="BM226" s="1">
        <v>3.488</v>
      </c>
      <c r="BN226" s="3">
        <v>45888</v>
      </c>
      <c r="BO226" s="1">
        <v>3.47</v>
      </c>
      <c r="BP226" s="3">
        <v>45888</v>
      </c>
      <c r="BQ226" s="1">
        <v>3.4950000000000001</v>
      </c>
      <c r="BR226" s="3">
        <v>45888</v>
      </c>
      <c r="BS226" s="1">
        <v>3.5249999999999999</v>
      </c>
      <c r="BT226" s="3">
        <v>45888</v>
      </c>
      <c r="BU226" s="1">
        <v>3.5550000000000002</v>
      </c>
      <c r="BV226" s="3">
        <v>45888</v>
      </c>
      <c r="BW226" s="1">
        <v>3.59</v>
      </c>
      <c r="BY226" s="3">
        <v>45883</v>
      </c>
      <c r="BZ226" s="1">
        <v>6.5</v>
      </c>
      <c r="CA226" s="3">
        <v>45870</v>
      </c>
      <c r="CB226" s="1">
        <v>6.5</v>
      </c>
      <c r="CC226" s="3">
        <v>45888</v>
      </c>
      <c r="CD226" s="1">
        <v>6.4950000000000001</v>
      </c>
      <c r="CE226" s="3">
        <v>45888</v>
      </c>
      <c r="CF226" s="1">
        <v>6.4749999999999996</v>
      </c>
      <c r="CG226" s="3">
        <v>45888</v>
      </c>
      <c r="CH226" s="1">
        <v>6.4</v>
      </c>
      <c r="CI226" s="3">
        <v>45888</v>
      </c>
      <c r="CJ226" s="1">
        <v>6.2</v>
      </c>
      <c r="CK226" s="3">
        <v>45888</v>
      </c>
      <c r="CL226" s="1">
        <v>5.99</v>
      </c>
      <c r="CM226" s="3">
        <v>45888</v>
      </c>
      <c r="CN226" s="1">
        <v>5.74</v>
      </c>
      <c r="CO226" s="3">
        <v>45882</v>
      </c>
      <c r="CP226" s="1">
        <v>5.57</v>
      </c>
      <c r="CQ226" s="3">
        <v>45882</v>
      </c>
      <c r="CR226" s="1">
        <v>5.55</v>
      </c>
      <c r="CS226" s="3">
        <v>45882</v>
      </c>
      <c r="CT226" s="1">
        <v>5.56</v>
      </c>
    </row>
    <row r="227" spans="31:98" x14ac:dyDescent="0.2">
      <c r="AE227" s="3">
        <v>45887</v>
      </c>
      <c r="AF227" s="1">
        <v>5</v>
      </c>
      <c r="AG227" s="3">
        <v>45870</v>
      </c>
      <c r="AH227" s="1">
        <v>4.93</v>
      </c>
      <c r="AI227" s="3">
        <v>45887</v>
      </c>
      <c r="AJ227" s="2">
        <v>4.6475</v>
      </c>
      <c r="AK227" s="3">
        <v>45887</v>
      </c>
      <c r="AL227" s="2">
        <v>4.5125000000000002</v>
      </c>
      <c r="AM227" s="3">
        <v>45887</v>
      </c>
      <c r="AN227" s="2">
        <v>4.38</v>
      </c>
      <c r="AO227" s="3">
        <v>45887</v>
      </c>
      <c r="AP227" s="2">
        <v>4.0324999999999998</v>
      </c>
      <c r="AQ227" s="3">
        <v>45887</v>
      </c>
      <c r="AR227" s="2">
        <v>3.7250000000000001</v>
      </c>
      <c r="AS227" s="3">
        <v>45887</v>
      </c>
      <c r="AT227" s="2">
        <v>3.66</v>
      </c>
      <c r="AU227" s="3">
        <v>45887</v>
      </c>
      <c r="AV227" s="2">
        <v>3.66</v>
      </c>
      <c r="AW227" s="3">
        <v>45887</v>
      </c>
      <c r="AX227" s="2">
        <v>3.665</v>
      </c>
      <c r="AY227" s="3">
        <v>45887</v>
      </c>
      <c r="AZ227" s="2">
        <v>3.6775000000000002</v>
      </c>
      <c r="BB227" s="3">
        <v>45873</v>
      </c>
      <c r="BC227" s="1">
        <v>3.5</v>
      </c>
      <c r="BD227" s="3">
        <v>45873</v>
      </c>
      <c r="BE227" s="1">
        <v>3.5</v>
      </c>
      <c r="BF227" s="3">
        <v>45887</v>
      </c>
      <c r="BG227" s="1">
        <v>3.5249999999999999</v>
      </c>
      <c r="BH227" s="3">
        <v>45887</v>
      </c>
      <c r="BI227" s="1">
        <v>3.524</v>
      </c>
      <c r="BJ227" s="3">
        <v>45887</v>
      </c>
      <c r="BK227" s="1">
        <v>3.52</v>
      </c>
      <c r="BL227" s="3">
        <v>45887</v>
      </c>
      <c r="BM227" s="1">
        <v>3.5030000000000001</v>
      </c>
      <c r="BN227" s="3">
        <v>45887</v>
      </c>
      <c r="BO227" s="1">
        <v>3.488</v>
      </c>
      <c r="BP227" s="3">
        <v>45887</v>
      </c>
      <c r="BQ227" s="1">
        <v>3.52</v>
      </c>
      <c r="BR227" s="3">
        <v>45887</v>
      </c>
      <c r="BS227" s="1">
        <v>3.56</v>
      </c>
      <c r="BT227" s="3">
        <v>45887</v>
      </c>
      <c r="BU227" s="1">
        <v>3.6</v>
      </c>
      <c r="BV227" s="3">
        <v>45887</v>
      </c>
      <c r="BW227" s="1">
        <v>3.645</v>
      </c>
      <c r="BY227" s="3">
        <v>45882</v>
      </c>
      <c r="BZ227" s="1">
        <v>6.5</v>
      </c>
      <c r="CA227" s="3">
        <v>45869</v>
      </c>
      <c r="CB227" s="1">
        <v>6.5</v>
      </c>
      <c r="CC227" s="3">
        <v>45887</v>
      </c>
      <c r="CD227" s="1">
        <v>6.4969999999999999</v>
      </c>
      <c r="CE227" s="3">
        <v>45887</v>
      </c>
      <c r="CF227" s="1">
        <v>6.4779999999999998</v>
      </c>
      <c r="CG227" s="3">
        <v>45887</v>
      </c>
      <c r="CH227" s="1">
        <v>6.41</v>
      </c>
      <c r="CI227" s="3">
        <v>45887</v>
      </c>
      <c r="CJ227" s="1">
        <v>6.21</v>
      </c>
      <c r="CK227" s="3">
        <v>45887</v>
      </c>
      <c r="CL227" s="1">
        <v>6</v>
      </c>
      <c r="CM227" s="3">
        <v>45887</v>
      </c>
      <c r="CN227" s="1">
        <v>5.75</v>
      </c>
      <c r="CO227" s="3">
        <v>45881</v>
      </c>
      <c r="CP227" s="1">
        <v>5.63</v>
      </c>
      <c r="CQ227" s="3">
        <v>45881</v>
      </c>
      <c r="CR227" s="1">
        <v>5.61</v>
      </c>
      <c r="CS227" s="3">
        <v>45881</v>
      </c>
      <c r="CT227" s="1">
        <v>5.62</v>
      </c>
    </row>
    <row r="228" spans="31:98" x14ac:dyDescent="0.2">
      <c r="AE228" s="3">
        <v>45884</v>
      </c>
      <c r="AF228" s="1">
        <v>5</v>
      </c>
      <c r="AG228" s="3">
        <v>45869</v>
      </c>
      <c r="AH228" s="1">
        <v>4.93</v>
      </c>
      <c r="AI228" s="3">
        <v>45884</v>
      </c>
      <c r="AJ228" s="2">
        <v>4.6399999999999997</v>
      </c>
      <c r="AK228" s="3">
        <v>45884</v>
      </c>
      <c r="AL228" s="2">
        <v>4.49</v>
      </c>
      <c r="AM228" s="3">
        <v>45884</v>
      </c>
      <c r="AN228" s="2">
        <v>4.3579999999999997</v>
      </c>
      <c r="AO228" s="3">
        <v>45884</v>
      </c>
      <c r="AP228" s="2">
        <v>4.0049999999999999</v>
      </c>
      <c r="AQ228" s="3">
        <v>45884</v>
      </c>
      <c r="AR228" s="2">
        <v>3.6850000000000001</v>
      </c>
      <c r="AS228" s="3">
        <v>45884</v>
      </c>
      <c r="AT228" s="2">
        <v>3.6124999999999998</v>
      </c>
      <c r="AU228" s="3">
        <v>45884</v>
      </c>
      <c r="AV228" s="2">
        <v>3.61</v>
      </c>
      <c r="AW228" s="3">
        <v>45884</v>
      </c>
      <c r="AX228" s="2">
        <v>3.6150000000000002</v>
      </c>
      <c r="AY228" s="3">
        <v>45884</v>
      </c>
      <c r="AZ228" s="2">
        <v>3.6274999999999999</v>
      </c>
      <c r="BB228" s="3">
        <v>45870</v>
      </c>
      <c r="BC228" s="1">
        <v>3.5</v>
      </c>
      <c r="BD228" s="3">
        <v>45870</v>
      </c>
      <c r="BE228" s="1">
        <v>3.51</v>
      </c>
      <c r="BF228" s="3">
        <v>45884</v>
      </c>
      <c r="BG228" s="1">
        <v>3.5249999999999999</v>
      </c>
      <c r="BH228" s="3">
        <v>45884</v>
      </c>
      <c r="BI228" s="1">
        <v>3.5259999999999998</v>
      </c>
      <c r="BJ228" s="3">
        <v>45884</v>
      </c>
      <c r="BK228" s="1">
        <v>3.5150000000000001</v>
      </c>
      <c r="BL228" s="3">
        <v>45884</v>
      </c>
      <c r="BM228" s="1">
        <v>3.49</v>
      </c>
      <c r="BN228" s="3">
        <v>45884</v>
      </c>
      <c r="BO228" s="1">
        <v>3.4649999999999999</v>
      </c>
      <c r="BP228" s="3">
        <v>45884</v>
      </c>
      <c r="BQ228" s="1">
        <v>3.4980000000000002</v>
      </c>
      <c r="BR228" s="3">
        <v>45884</v>
      </c>
      <c r="BS228" s="1">
        <v>3.53</v>
      </c>
      <c r="BT228" s="3">
        <v>45884</v>
      </c>
      <c r="BU228" s="1">
        <v>3.57</v>
      </c>
      <c r="BV228" s="3">
        <v>45884</v>
      </c>
      <c r="BW228" s="1">
        <v>3.6150000000000002</v>
      </c>
      <c r="BY228" s="3">
        <v>45881</v>
      </c>
      <c r="BZ228" s="1">
        <v>6.5</v>
      </c>
      <c r="CA228" s="3">
        <v>45868</v>
      </c>
      <c r="CB228" s="1">
        <v>6.5</v>
      </c>
      <c r="CC228" s="3">
        <v>45884</v>
      </c>
      <c r="CD228" s="1">
        <v>6.4950000000000001</v>
      </c>
      <c r="CE228" s="3">
        <v>45884</v>
      </c>
      <c r="CF228" s="1">
        <v>6.47</v>
      </c>
      <c r="CG228" s="3">
        <v>45884</v>
      </c>
      <c r="CH228" s="1">
        <v>6.41</v>
      </c>
      <c r="CI228" s="3">
        <v>45884</v>
      </c>
      <c r="CJ228" s="1">
        <v>6.16</v>
      </c>
      <c r="CK228" s="3">
        <v>45884</v>
      </c>
      <c r="CL228" s="1">
        <v>5.94</v>
      </c>
      <c r="CM228" s="3">
        <v>45884</v>
      </c>
      <c r="CN228" s="1">
        <v>5.69</v>
      </c>
      <c r="CO228" s="3">
        <v>45880</v>
      </c>
      <c r="CP228" s="1">
        <v>5.62</v>
      </c>
      <c r="CQ228" s="3">
        <v>45880</v>
      </c>
      <c r="CR228" s="1">
        <v>5.6</v>
      </c>
      <c r="CS228" s="3">
        <v>45880</v>
      </c>
      <c r="CT228" s="1">
        <v>5.61</v>
      </c>
    </row>
    <row r="229" spans="31:98" x14ac:dyDescent="0.2">
      <c r="AE229" s="3">
        <v>45883</v>
      </c>
      <c r="AF229" s="1">
        <v>5</v>
      </c>
      <c r="AG229" s="3">
        <v>45868</v>
      </c>
      <c r="AH229" s="1">
        <v>4.9400000000000004</v>
      </c>
      <c r="AI229" s="3">
        <v>45883</v>
      </c>
      <c r="AJ229" s="2">
        <v>4.6399999999999997</v>
      </c>
      <c r="AK229" s="3">
        <v>45883</v>
      </c>
      <c r="AL229" s="2">
        <v>4.49</v>
      </c>
      <c r="AM229" s="3">
        <v>45883</v>
      </c>
      <c r="AN229" s="2">
        <v>4.3579999999999997</v>
      </c>
      <c r="AO229" s="3">
        <v>45883</v>
      </c>
      <c r="AP229" s="2">
        <v>4.0049999999999999</v>
      </c>
      <c r="AQ229" s="3">
        <v>45883</v>
      </c>
      <c r="AR229" s="2">
        <v>3.6850000000000001</v>
      </c>
      <c r="AS229" s="3">
        <v>45883</v>
      </c>
      <c r="AT229" s="2">
        <v>3.6124999999999998</v>
      </c>
      <c r="AU229" s="3">
        <v>45883</v>
      </c>
      <c r="AV229" s="2">
        <v>3.61</v>
      </c>
      <c r="AW229" s="3">
        <v>45883</v>
      </c>
      <c r="AX229" s="2">
        <v>3.6150000000000002</v>
      </c>
      <c r="AY229" s="3">
        <v>45883</v>
      </c>
      <c r="AZ229" s="2">
        <v>3.6274999999999999</v>
      </c>
      <c r="BB229" s="3">
        <v>45869</v>
      </c>
      <c r="BC229" s="1">
        <v>3.5</v>
      </c>
      <c r="BD229" s="3">
        <v>45869</v>
      </c>
      <c r="BE229" s="1">
        <v>3.5</v>
      </c>
      <c r="BF229" s="3">
        <v>45883</v>
      </c>
      <c r="BG229" s="1">
        <v>3.53</v>
      </c>
      <c r="BH229" s="3">
        <v>45883</v>
      </c>
      <c r="BI229" s="1">
        <v>3.5209999999999999</v>
      </c>
      <c r="BJ229" s="3">
        <v>45883</v>
      </c>
      <c r="BK229" s="1">
        <v>3.5129999999999999</v>
      </c>
      <c r="BL229" s="3">
        <v>45883</v>
      </c>
      <c r="BM229" s="1">
        <v>3.47</v>
      </c>
      <c r="BN229" s="3">
        <v>45883</v>
      </c>
      <c r="BO229" s="1">
        <v>3.4550000000000001</v>
      </c>
      <c r="BP229" s="3">
        <v>45883</v>
      </c>
      <c r="BQ229" s="1">
        <v>3.4830000000000001</v>
      </c>
      <c r="BR229" s="3">
        <v>45883</v>
      </c>
      <c r="BS229" s="1">
        <v>3.5179999999999998</v>
      </c>
      <c r="BT229" s="3">
        <v>45883</v>
      </c>
      <c r="BU229" s="1">
        <v>3.5579999999999998</v>
      </c>
      <c r="BV229" s="3">
        <v>45883</v>
      </c>
      <c r="BW229" s="1">
        <v>3.5979999999999999</v>
      </c>
      <c r="BY229" s="3">
        <v>45880</v>
      </c>
      <c r="BZ229" s="1">
        <v>6.5</v>
      </c>
      <c r="CA229" s="3">
        <v>45867</v>
      </c>
      <c r="CB229" s="1">
        <v>6.5</v>
      </c>
      <c r="CC229" s="3">
        <v>45883</v>
      </c>
      <c r="CD229" s="1">
        <v>6.4950000000000001</v>
      </c>
      <c r="CE229" s="3">
        <v>45883</v>
      </c>
      <c r="CF229" s="1">
        <v>6.47</v>
      </c>
      <c r="CG229" s="3">
        <v>45883</v>
      </c>
      <c r="CH229" s="1">
        <v>6.42</v>
      </c>
      <c r="CI229" s="3">
        <v>45883</v>
      </c>
      <c r="CJ229" s="1">
        <v>6.2</v>
      </c>
      <c r="CK229" s="3">
        <v>45883</v>
      </c>
      <c r="CL229" s="1">
        <v>5.98</v>
      </c>
      <c r="CM229" s="3">
        <v>45883</v>
      </c>
      <c r="CN229" s="1">
        <v>5.73</v>
      </c>
      <c r="CO229" s="3">
        <v>45877</v>
      </c>
      <c r="CP229" s="1">
        <v>5.61</v>
      </c>
      <c r="CQ229" s="3">
        <v>45877</v>
      </c>
      <c r="CR229" s="1">
        <v>5.59</v>
      </c>
      <c r="CS229" s="3">
        <v>45877</v>
      </c>
      <c r="CT229" s="1">
        <v>5.6</v>
      </c>
    </row>
    <row r="230" spans="31:98" x14ac:dyDescent="0.2">
      <c r="AE230" s="3">
        <v>45882</v>
      </c>
      <c r="AF230" s="1">
        <v>5</v>
      </c>
      <c r="AG230" s="3">
        <v>45867</v>
      </c>
      <c r="AH230" s="1">
        <v>4.95</v>
      </c>
      <c r="AI230" s="3">
        <v>45882</v>
      </c>
      <c r="AJ230" s="2">
        <v>4.6399999999999997</v>
      </c>
      <c r="AK230" s="3">
        <v>45882</v>
      </c>
      <c r="AL230" s="2">
        <v>4.4800000000000004</v>
      </c>
      <c r="AM230" s="3">
        <v>45882</v>
      </c>
      <c r="AN230" s="2">
        <v>4.3550000000000004</v>
      </c>
      <c r="AO230" s="3">
        <v>45882</v>
      </c>
      <c r="AP230" s="2">
        <v>3.98</v>
      </c>
      <c r="AQ230" s="3">
        <v>45882</v>
      </c>
      <c r="AR230" s="2">
        <v>3.665</v>
      </c>
      <c r="AS230" s="3">
        <v>45882</v>
      </c>
      <c r="AT230" s="2">
        <v>3.5750000000000002</v>
      </c>
      <c r="AU230" s="3">
        <v>45882</v>
      </c>
      <c r="AV230" s="2">
        <v>3.57</v>
      </c>
      <c r="AW230" s="3">
        <v>45882</v>
      </c>
      <c r="AX230" s="2">
        <v>3.5724999999999998</v>
      </c>
      <c r="AY230" s="3">
        <v>45882</v>
      </c>
      <c r="AZ230" s="2">
        <v>3.5825</v>
      </c>
      <c r="BB230" s="3">
        <v>45868</v>
      </c>
      <c r="BC230" s="1">
        <v>3.5</v>
      </c>
      <c r="BD230" s="3">
        <v>45868</v>
      </c>
      <c r="BE230" s="1">
        <v>3.5</v>
      </c>
      <c r="BF230" s="3">
        <v>45882</v>
      </c>
      <c r="BG230" s="1">
        <v>3.53</v>
      </c>
      <c r="BH230" s="3">
        <v>45882</v>
      </c>
      <c r="BI230" s="1">
        <v>3.524</v>
      </c>
      <c r="BJ230" s="3">
        <v>45882</v>
      </c>
      <c r="BK230" s="1">
        <v>3.5129999999999999</v>
      </c>
      <c r="BL230" s="3">
        <v>45882</v>
      </c>
      <c r="BM230" s="1">
        <v>3.46</v>
      </c>
      <c r="BN230" s="3">
        <v>45882</v>
      </c>
      <c r="BO230" s="1">
        <v>3.415</v>
      </c>
      <c r="BP230" s="3">
        <v>45882</v>
      </c>
      <c r="BQ230" s="1">
        <v>3.44</v>
      </c>
      <c r="BR230" s="3">
        <v>45882</v>
      </c>
      <c r="BS230" s="1">
        <v>3.468</v>
      </c>
      <c r="BT230" s="3">
        <v>45882</v>
      </c>
      <c r="BU230" s="1">
        <v>3.5030000000000001</v>
      </c>
      <c r="BV230" s="3">
        <v>45882</v>
      </c>
      <c r="BW230" s="1">
        <v>3.5430000000000001</v>
      </c>
      <c r="BY230" s="3">
        <v>45877</v>
      </c>
      <c r="BZ230" s="1">
        <v>6.5</v>
      </c>
      <c r="CA230" s="3">
        <v>45866</v>
      </c>
      <c r="CB230" s="1">
        <v>6.5</v>
      </c>
      <c r="CC230" s="3">
        <v>45882</v>
      </c>
      <c r="CD230" s="1">
        <v>6.4909999999999997</v>
      </c>
      <c r="CE230" s="3">
        <v>45882</v>
      </c>
      <c r="CF230" s="1">
        <v>6.4610000000000003</v>
      </c>
      <c r="CG230" s="3">
        <v>45882</v>
      </c>
      <c r="CH230" s="1">
        <v>6.4</v>
      </c>
      <c r="CI230" s="3">
        <v>45882</v>
      </c>
      <c r="CJ230" s="1">
        <v>6.17</v>
      </c>
      <c r="CK230" s="3">
        <v>45882</v>
      </c>
      <c r="CL230" s="1">
        <v>5.94</v>
      </c>
      <c r="CM230" s="3">
        <v>45882</v>
      </c>
      <c r="CN230" s="1">
        <v>5.7</v>
      </c>
      <c r="CO230" s="3">
        <v>45876</v>
      </c>
      <c r="CP230" s="1">
        <v>5.56</v>
      </c>
      <c r="CQ230" s="3">
        <v>45876</v>
      </c>
      <c r="CR230" s="1">
        <v>5.54</v>
      </c>
      <c r="CS230" s="3">
        <v>45876</v>
      </c>
      <c r="CT230" s="1">
        <v>5.55</v>
      </c>
    </row>
    <row r="231" spans="31:98" x14ac:dyDescent="0.2">
      <c r="AE231" s="3">
        <v>45881</v>
      </c>
      <c r="AF231" s="1">
        <v>5</v>
      </c>
      <c r="AG231" s="3">
        <v>45866</v>
      </c>
      <c r="AH231" s="1">
        <v>4.95</v>
      </c>
      <c r="AI231" s="3">
        <v>45881</v>
      </c>
      <c r="AJ231" s="2">
        <v>4.67</v>
      </c>
      <c r="AK231" s="3">
        <v>45881</v>
      </c>
      <c r="AL231" s="2">
        <v>4.5049999999999999</v>
      </c>
      <c r="AM231" s="3">
        <v>45881</v>
      </c>
      <c r="AN231" s="2">
        <v>4.38</v>
      </c>
      <c r="AO231" s="3">
        <v>45881</v>
      </c>
      <c r="AP231" s="2">
        <v>4.0250000000000004</v>
      </c>
      <c r="AQ231" s="3">
        <v>45881</v>
      </c>
      <c r="AR231" s="2">
        <v>3.71</v>
      </c>
      <c r="AS231" s="3">
        <v>45881</v>
      </c>
      <c r="AT231" s="2">
        <v>3.6225000000000001</v>
      </c>
      <c r="AU231" s="3">
        <v>45881</v>
      </c>
      <c r="AV231" s="2">
        <v>3.6124999999999998</v>
      </c>
      <c r="AW231" s="3">
        <v>45881</v>
      </c>
      <c r="AX231" s="2">
        <v>3.6124999999999998</v>
      </c>
      <c r="AY231" s="3">
        <v>45881</v>
      </c>
      <c r="AZ231" s="2">
        <v>3.625</v>
      </c>
      <c r="BB231" s="3">
        <v>45867</v>
      </c>
      <c r="BC231" s="1">
        <v>3.5</v>
      </c>
      <c r="BD231" s="3">
        <v>45867</v>
      </c>
      <c r="BE231" s="1">
        <v>3.49</v>
      </c>
      <c r="BF231" s="3">
        <v>45881</v>
      </c>
      <c r="BG231" s="1">
        <v>3.53</v>
      </c>
      <c r="BH231" s="3">
        <v>45881</v>
      </c>
      <c r="BI231" s="1">
        <v>3.5310000000000001</v>
      </c>
      <c r="BJ231" s="3">
        <v>45881</v>
      </c>
      <c r="BK231" s="1">
        <v>3.5329999999999999</v>
      </c>
      <c r="BL231" s="3">
        <v>45881</v>
      </c>
      <c r="BM231" s="1">
        <v>3.508</v>
      </c>
      <c r="BN231" s="3">
        <v>45881</v>
      </c>
      <c r="BO231" s="1">
        <v>3.468</v>
      </c>
      <c r="BP231" s="3">
        <v>45881</v>
      </c>
      <c r="BQ231" s="1">
        <v>3.4980000000000002</v>
      </c>
      <c r="BR231" s="3">
        <v>45881</v>
      </c>
      <c r="BS231" s="1">
        <v>3.528</v>
      </c>
      <c r="BT231" s="3">
        <v>45881</v>
      </c>
      <c r="BU231" s="1">
        <v>3.5630000000000002</v>
      </c>
      <c r="BV231" s="3">
        <v>45881</v>
      </c>
      <c r="BW231" s="1">
        <v>3.6030000000000002</v>
      </c>
      <c r="BY231" s="3">
        <v>45876</v>
      </c>
      <c r="BZ231" s="1">
        <v>6.5</v>
      </c>
      <c r="CA231" s="3">
        <v>45863</v>
      </c>
      <c r="CB231" s="1">
        <v>6.5</v>
      </c>
      <c r="CC231" s="3">
        <v>45881</v>
      </c>
      <c r="CD231" s="1">
        <v>6.4950000000000001</v>
      </c>
      <c r="CE231" s="3">
        <v>45881</v>
      </c>
      <c r="CF231" s="1">
        <v>6.47</v>
      </c>
      <c r="CG231" s="3">
        <v>45881</v>
      </c>
      <c r="CH231" s="1">
        <v>6.43</v>
      </c>
      <c r="CI231" s="3">
        <v>45881</v>
      </c>
      <c r="CJ231" s="1">
        <v>6.19</v>
      </c>
      <c r="CK231" s="3">
        <v>45881</v>
      </c>
      <c r="CL231" s="1">
        <v>5.98</v>
      </c>
      <c r="CM231" s="3">
        <v>45881</v>
      </c>
      <c r="CN231" s="1">
        <v>5.74</v>
      </c>
      <c r="CO231" s="3">
        <v>45875</v>
      </c>
      <c r="CP231" s="1">
        <v>5.6749999999999998</v>
      </c>
      <c r="CQ231" s="3">
        <v>45875</v>
      </c>
      <c r="CR231" s="1">
        <v>5.6550000000000002</v>
      </c>
      <c r="CS231" s="3">
        <v>45875</v>
      </c>
      <c r="CT231" s="1">
        <v>5.665</v>
      </c>
    </row>
    <row r="232" spans="31:98" x14ac:dyDescent="0.2">
      <c r="AE232" s="3">
        <v>45880</v>
      </c>
      <c r="AF232" s="1">
        <v>5</v>
      </c>
      <c r="AG232" s="3">
        <v>45863</v>
      </c>
      <c r="AH232" s="1">
        <v>4.96</v>
      </c>
      <c r="AI232" s="3">
        <v>45880</v>
      </c>
      <c r="AJ232" s="2">
        <v>4.68</v>
      </c>
      <c r="AK232" s="3">
        <v>45880</v>
      </c>
      <c r="AL232" s="2">
        <v>4.5199999999999996</v>
      </c>
      <c r="AM232" s="3">
        <v>45880</v>
      </c>
      <c r="AN232" s="2">
        <v>4.3849999999999998</v>
      </c>
      <c r="AO232" s="3">
        <v>45880</v>
      </c>
      <c r="AP232" s="2">
        <v>4.0350000000000001</v>
      </c>
      <c r="AQ232" s="3">
        <v>45880</v>
      </c>
      <c r="AR232" s="2">
        <v>3.7225000000000001</v>
      </c>
      <c r="AS232" s="3">
        <v>45880</v>
      </c>
      <c r="AT232" s="2">
        <v>3.6324999999999998</v>
      </c>
      <c r="AU232" s="3">
        <v>45880</v>
      </c>
      <c r="AV232" s="2">
        <v>3.625</v>
      </c>
      <c r="AW232" s="3">
        <v>45880</v>
      </c>
      <c r="AX232" s="2">
        <v>3.6274999999999999</v>
      </c>
      <c r="AY232" s="3">
        <v>45880</v>
      </c>
      <c r="AZ232" s="2">
        <v>3.64</v>
      </c>
      <c r="BB232" s="3">
        <v>45866</v>
      </c>
      <c r="BC232" s="1">
        <v>3.5</v>
      </c>
      <c r="BD232" s="3">
        <v>45866</v>
      </c>
      <c r="BE232" s="1">
        <v>3.49</v>
      </c>
      <c r="BF232" s="3">
        <v>45880</v>
      </c>
      <c r="BG232" s="1">
        <v>3.53</v>
      </c>
      <c r="BH232" s="3">
        <v>45880</v>
      </c>
      <c r="BI232" s="1">
        <v>3.5379999999999998</v>
      </c>
      <c r="BJ232" s="3">
        <v>45880</v>
      </c>
      <c r="BK232" s="1">
        <v>3.5430000000000001</v>
      </c>
      <c r="BL232" s="3">
        <v>45880</v>
      </c>
      <c r="BM232" s="1">
        <v>3.51</v>
      </c>
      <c r="BN232" s="3">
        <v>45880</v>
      </c>
      <c r="BO232" s="1">
        <v>3.47</v>
      </c>
      <c r="BP232" s="3">
        <v>45880</v>
      </c>
      <c r="BQ232" s="1">
        <v>3.5</v>
      </c>
      <c r="BR232" s="3">
        <v>45880</v>
      </c>
      <c r="BS232" s="1">
        <v>3.5329999999999999</v>
      </c>
      <c r="BT232" s="3">
        <v>45880</v>
      </c>
      <c r="BU232" s="1">
        <v>3.5649999999999999</v>
      </c>
      <c r="BV232" s="3">
        <v>45880</v>
      </c>
      <c r="BW232" s="1">
        <v>3.5979999999999999</v>
      </c>
      <c r="BY232" s="3">
        <v>45875</v>
      </c>
      <c r="BZ232" s="1">
        <v>6.5</v>
      </c>
      <c r="CA232" s="3">
        <v>45862</v>
      </c>
      <c r="CB232" s="1">
        <v>6.5</v>
      </c>
      <c r="CC232" s="3">
        <v>45880</v>
      </c>
      <c r="CD232" s="1">
        <v>6.4930000000000003</v>
      </c>
      <c r="CE232" s="3">
        <v>45880</v>
      </c>
      <c r="CF232" s="1">
        <v>6.4619999999999997</v>
      </c>
      <c r="CG232" s="3">
        <v>45880</v>
      </c>
      <c r="CH232" s="1">
        <v>6.42</v>
      </c>
      <c r="CI232" s="3">
        <v>45880</v>
      </c>
      <c r="CJ232" s="1">
        <v>6.18</v>
      </c>
      <c r="CK232" s="3">
        <v>45880</v>
      </c>
      <c r="CL232" s="1">
        <v>5.98</v>
      </c>
      <c r="CM232" s="3">
        <v>45880</v>
      </c>
      <c r="CN232" s="1">
        <v>5.73</v>
      </c>
      <c r="CO232" s="3">
        <v>45874</v>
      </c>
      <c r="CP232" s="1">
        <v>5.72</v>
      </c>
      <c r="CQ232" s="3">
        <v>45874</v>
      </c>
      <c r="CR232" s="1">
        <v>5.67</v>
      </c>
      <c r="CS232" s="3">
        <v>45874</v>
      </c>
      <c r="CT232" s="1">
        <v>5.68</v>
      </c>
    </row>
    <row r="233" spans="31:98" x14ac:dyDescent="0.2">
      <c r="AE233" s="3">
        <v>45877</v>
      </c>
      <c r="AF233" s="1">
        <v>5</v>
      </c>
      <c r="AG233" s="3">
        <v>45862</v>
      </c>
      <c r="AH233" s="1">
        <v>4.97</v>
      </c>
      <c r="AI233" s="3">
        <v>45877</v>
      </c>
      <c r="AJ233" s="2">
        <v>4.6849999999999996</v>
      </c>
      <c r="AK233" s="3">
        <v>45877</v>
      </c>
      <c r="AL233" s="2">
        <v>4.5274999999999999</v>
      </c>
      <c r="AM233" s="3">
        <v>45877</v>
      </c>
      <c r="AN233" s="2">
        <v>4.3899999999999997</v>
      </c>
      <c r="AO233" s="3">
        <v>45877</v>
      </c>
      <c r="AP233" s="2">
        <v>4.03</v>
      </c>
      <c r="AQ233" s="3">
        <v>45877</v>
      </c>
      <c r="AR233" s="2">
        <v>3.7174999999999998</v>
      </c>
      <c r="AS233" s="3">
        <v>45877</v>
      </c>
      <c r="AT233" s="2">
        <v>3.6274999999999999</v>
      </c>
      <c r="AU233" s="3">
        <v>45877</v>
      </c>
      <c r="AV233" s="2">
        <v>3.62</v>
      </c>
      <c r="AW233" s="3">
        <v>45877</v>
      </c>
      <c r="AX233" s="2">
        <v>3.6225000000000001</v>
      </c>
      <c r="AY233" s="3">
        <v>45877</v>
      </c>
      <c r="AZ233" s="2">
        <v>3.6349999999999998</v>
      </c>
      <c r="BB233" s="3">
        <v>45863</v>
      </c>
      <c r="BC233" s="1">
        <v>3.5</v>
      </c>
      <c r="BD233" s="3">
        <v>45863</v>
      </c>
      <c r="BE233" s="1">
        <v>3.5</v>
      </c>
      <c r="BF233" s="3">
        <v>45877</v>
      </c>
      <c r="BG233" s="1">
        <v>3.53</v>
      </c>
      <c r="BH233" s="3">
        <v>45877</v>
      </c>
      <c r="BI233" s="1">
        <v>3.5390000000000001</v>
      </c>
      <c r="BJ233" s="3">
        <v>45877</v>
      </c>
      <c r="BK233" s="1">
        <v>3.5449999999999999</v>
      </c>
      <c r="BL233" s="3">
        <v>45877</v>
      </c>
      <c r="BM233" s="1">
        <v>3.5329999999999999</v>
      </c>
      <c r="BN233" s="3">
        <v>45877</v>
      </c>
      <c r="BO233" s="1">
        <v>3.48</v>
      </c>
      <c r="BP233" s="3">
        <v>45877</v>
      </c>
      <c r="BQ233" s="1">
        <v>3.51</v>
      </c>
      <c r="BR233" s="3">
        <v>45877</v>
      </c>
      <c r="BS233" s="1">
        <v>3.5449999999999999</v>
      </c>
      <c r="BT233" s="3">
        <v>45877</v>
      </c>
      <c r="BU233" s="1">
        <v>3.58</v>
      </c>
      <c r="BV233" s="3">
        <v>45877</v>
      </c>
      <c r="BW233" s="1">
        <v>3.62</v>
      </c>
      <c r="BY233" s="3">
        <v>45874</v>
      </c>
      <c r="BZ233" s="1">
        <v>6.5</v>
      </c>
      <c r="CA233" s="3">
        <v>45861</v>
      </c>
      <c r="CB233" s="1">
        <v>6.5</v>
      </c>
      <c r="CC233" s="3">
        <v>45877</v>
      </c>
      <c r="CD233" s="1">
        <v>6.4950000000000001</v>
      </c>
      <c r="CE233" s="3">
        <v>45877</v>
      </c>
      <c r="CF233" s="1">
        <v>6.46</v>
      </c>
      <c r="CG233" s="3">
        <v>45877</v>
      </c>
      <c r="CH233" s="1">
        <v>6.42</v>
      </c>
      <c r="CI233" s="3">
        <v>45877</v>
      </c>
      <c r="CJ233" s="1">
        <v>6.16</v>
      </c>
      <c r="CK233" s="3">
        <v>45877</v>
      </c>
      <c r="CL233" s="1">
        <v>5.96</v>
      </c>
      <c r="CM233" s="3">
        <v>45877</v>
      </c>
      <c r="CN233" s="1">
        <v>5.72</v>
      </c>
      <c r="CO233" s="3">
        <v>45873</v>
      </c>
      <c r="CP233" s="1">
        <v>5.7149999999999999</v>
      </c>
      <c r="CQ233" s="3">
        <v>45873</v>
      </c>
      <c r="CR233" s="1">
        <v>5.665</v>
      </c>
      <c r="CS233" s="3">
        <v>45873</v>
      </c>
      <c r="CT233" s="1">
        <v>5.68</v>
      </c>
    </row>
    <row r="234" spans="31:98" x14ac:dyDescent="0.2">
      <c r="AE234" s="3">
        <v>45876</v>
      </c>
      <c r="AF234" s="1">
        <v>5</v>
      </c>
      <c r="AG234" s="3">
        <v>45861</v>
      </c>
      <c r="AH234" s="1">
        <v>4.96</v>
      </c>
      <c r="AI234" s="3">
        <v>45876</v>
      </c>
      <c r="AJ234" s="2">
        <v>4.6775000000000002</v>
      </c>
      <c r="AK234" s="3">
        <v>45876</v>
      </c>
      <c r="AL234" s="2">
        <v>4.5</v>
      </c>
      <c r="AM234" s="3">
        <v>45876</v>
      </c>
      <c r="AN234" s="2">
        <v>4.3650000000000002</v>
      </c>
      <c r="AO234" s="3">
        <v>45876</v>
      </c>
      <c r="AP234" s="2">
        <v>3.9975000000000001</v>
      </c>
      <c r="AQ234" s="3">
        <v>45876</v>
      </c>
      <c r="AR234" s="2">
        <v>3.6825000000000001</v>
      </c>
      <c r="AS234" s="3">
        <v>45876</v>
      </c>
      <c r="AT234" s="2">
        <v>3.5775000000000001</v>
      </c>
      <c r="AU234" s="3">
        <v>45876</v>
      </c>
      <c r="AV234" s="2">
        <v>3.5674999999999999</v>
      </c>
      <c r="AW234" s="3">
        <v>45876</v>
      </c>
      <c r="AX234" s="2">
        <v>3.5674999999999999</v>
      </c>
      <c r="AY234" s="3">
        <v>45876</v>
      </c>
      <c r="AZ234" s="2">
        <v>3.5775000000000001</v>
      </c>
      <c r="BB234" s="3">
        <v>45862</v>
      </c>
      <c r="BC234" s="1">
        <v>3.5</v>
      </c>
      <c r="BD234" s="3">
        <v>45862</v>
      </c>
      <c r="BE234" s="1">
        <v>3.49</v>
      </c>
      <c r="BF234" s="3">
        <v>45876</v>
      </c>
      <c r="BG234" s="1">
        <v>3.53</v>
      </c>
      <c r="BH234" s="3">
        <v>45876</v>
      </c>
      <c r="BI234" s="1">
        <v>3.536</v>
      </c>
      <c r="BJ234" s="3">
        <v>45876</v>
      </c>
      <c r="BK234" s="1">
        <v>3.54</v>
      </c>
      <c r="BL234" s="3">
        <v>45876</v>
      </c>
      <c r="BM234" s="1">
        <v>3.5129999999999999</v>
      </c>
      <c r="BN234" s="3">
        <v>45876</v>
      </c>
      <c r="BO234" s="1">
        <v>3.5049999999999999</v>
      </c>
      <c r="BP234" s="3">
        <v>45876</v>
      </c>
      <c r="BQ234" s="1">
        <v>3.52</v>
      </c>
      <c r="BR234" s="3">
        <v>45876</v>
      </c>
      <c r="BS234" s="1">
        <v>3.5529999999999999</v>
      </c>
      <c r="BT234" s="3">
        <v>45876</v>
      </c>
      <c r="BU234" s="1">
        <v>3.585</v>
      </c>
      <c r="BV234" s="3">
        <v>45876</v>
      </c>
      <c r="BW234" s="1">
        <v>3.63</v>
      </c>
      <c r="BY234" s="3">
        <v>45873</v>
      </c>
      <c r="BZ234" s="1">
        <v>6.5</v>
      </c>
      <c r="CA234" s="3">
        <v>45860</v>
      </c>
      <c r="CB234" s="1">
        <v>6.5</v>
      </c>
      <c r="CC234" s="3">
        <v>45876</v>
      </c>
      <c r="CD234" s="1">
        <v>6.49</v>
      </c>
      <c r="CE234" s="3">
        <v>45876</v>
      </c>
      <c r="CF234" s="1">
        <v>6.44</v>
      </c>
      <c r="CG234" s="3">
        <v>45876</v>
      </c>
      <c r="CH234" s="1">
        <v>6.39</v>
      </c>
      <c r="CI234" s="3">
        <v>45876</v>
      </c>
      <c r="CJ234" s="1">
        <v>6.13</v>
      </c>
      <c r="CK234" s="3">
        <v>45876</v>
      </c>
      <c r="CL234" s="1">
        <v>5.92</v>
      </c>
      <c r="CM234" s="3">
        <v>45876</v>
      </c>
      <c r="CN234" s="1">
        <v>5.68</v>
      </c>
      <c r="CO234" s="3">
        <v>45870</v>
      </c>
      <c r="CP234" s="1">
        <v>5.78</v>
      </c>
      <c r="CQ234" s="3">
        <v>45870</v>
      </c>
      <c r="CR234" s="1">
        <v>5.73</v>
      </c>
      <c r="CS234" s="3">
        <v>45870</v>
      </c>
      <c r="CT234" s="1">
        <v>5.7350000000000003</v>
      </c>
    </row>
    <row r="235" spans="31:98" x14ac:dyDescent="0.2">
      <c r="AE235" s="3">
        <v>45875</v>
      </c>
      <c r="AF235" s="1">
        <v>5</v>
      </c>
      <c r="AG235" s="3">
        <v>45860</v>
      </c>
      <c r="AH235" s="1">
        <v>4.96</v>
      </c>
      <c r="AI235" s="3">
        <v>45875</v>
      </c>
      <c r="AJ235" s="2">
        <v>4.7175000000000002</v>
      </c>
      <c r="AK235" s="3">
        <v>45875</v>
      </c>
      <c r="AL235" s="2">
        <v>4.5650000000000004</v>
      </c>
      <c r="AM235" s="3">
        <v>45875</v>
      </c>
      <c r="AN235" s="2">
        <v>4.375</v>
      </c>
      <c r="AO235" s="3">
        <v>45875</v>
      </c>
      <c r="AP235" s="2">
        <v>4.0175000000000001</v>
      </c>
      <c r="AQ235" s="3">
        <v>45875</v>
      </c>
      <c r="AR235" s="2">
        <v>3.7250000000000001</v>
      </c>
      <c r="AS235" s="3">
        <v>45875</v>
      </c>
      <c r="AT235" s="2">
        <v>3.62</v>
      </c>
      <c r="AU235" s="3">
        <v>45875</v>
      </c>
      <c r="AV235" s="2">
        <v>3.6074999999999999</v>
      </c>
      <c r="AW235" s="3">
        <v>45875</v>
      </c>
      <c r="AX235" s="2">
        <v>3.605</v>
      </c>
      <c r="AY235" s="3">
        <v>45875</v>
      </c>
      <c r="AZ235" s="2">
        <v>3.6150000000000002</v>
      </c>
      <c r="BB235" s="3">
        <v>45861</v>
      </c>
      <c r="BC235" s="1">
        <v>3.5</v>
      </c>
      <c r="BD235" s="3">
        <v>45861</v>
      </c>
      <c r="BE235" s="1">
        <v>3.49</v>
      </c>
      <c r="BF235" s="3">
        <v>45875</v>
      </c>
      <c r="BG235" s="1">
        <v>3.53</v>
      </c>
      <c r="BH235" s="3">
        <v>45875</v>
      </c>
      <c r="BI235" s="1">
        <v>3.5289999999999999</v>
      </c>
      <c r="BJ235" s="3">
        <v>45875</v>
      </c>
      <c r="BK235" s="1">
        <v>3.53</v>
      </c>
      <c r="BL235" s="3">
        <v>45875</v>
      </c>
      <c r="BM235" s="1">
        <v>3.5030000000000001</v>
      </c>
      <c r="BN235" s="3">
        <v>45875</v>
      </c>
      <c r="BO235" s="1">
        <v>3.4729999999999999</v>
      </c>
      <c r="BP235" s="3">
        <v>45875</v>
      </c>
      <c r="BQ235" s="1">
        <v>3.4950000000000001</v>
      </c>
      <c r="BR235" s="3">
        <v>45875</v>
      </c>
      <c r="BS235" s="1">
        <v>3.5379999999999998</v>
      </c>
      <c r="BT235" s="3">
        <v>45875</v>
      </c>
      <c r="BU235" s="1">
        <v>3.5779999999999998</v>
      </c>
      <c r="BV235" s="3">
        <v>45875</v>
      </c>
      <c r="BW235" s="1">
        <v>3.62</v>
      </c>
      <c r="BY235" s="3">
        <v>45870</v>
      </c>
      <c r="BZ235" s="1">
        <v>6.5</v>
      </c>
      <c r="CA235" s="3">
        <v>45859</v>
      </c>
      <c r="CB235" s="1">
        <v>6.5</v>
      </c>
      <c r="CC235" s="3">
        <v>45875</v>
      </c>
      <c r="CD235" s="1">
        <v>6.4889999999999999</v>
      </c>
      <c r="CE235" s="3">
        <v>45875</v>
      </c>
      <c r="CF235" s="1">
        <v>6.4589999999999996</v>
      </c>
      <c r="CG235" s="3">
        <v>45875</v>
      </c>
      <c r="CH235" s="1">
        <v>6.43</v>
      </c>
      <c r="CI235" s="3">
        <v>45875</v>
      </c>
      <c r="CJ235" s="1">
        <v>6.21</v>
      </c>
      <c r="CK235" s="3">
        <v>45875</v>
      </c>
      <c r="CL235" s="1">
        <v>6</v>
      </c>
      <c r="CM235" s="3">
        <v>45875</v>
      </c>
      <c r="CN235" s="1">
        <v>5.7549999999999999</v>
      </c>
      <c r="CO235" s="3">
        <v>45869</v>
      </c>
      <c r="CP235" s="1">
        <v>5.9</v>
      </c>
      <c r="CQ235" s="3">
        <v>45869</v>
      </c>
      <c r="CR235" s="1">
        <v>5.8650000000000002</v>
      </c>
      <c r="CS235" s="3">
        <v>45869</v>
      </c>
      <c r="CT235" s="1">
        <v>5.87</v>
      </c>
    </row>
    <row r="236" spans="31:98" x14ac:dyDescent="0.2">
      <c r="AE236" s="3">
        <v>45874</v>
      </c>
      <c r="AF236" s="1">
        <v>5</v>
      </c>
      <c r="AG236" s="3">
        <v>45859</v>
      </c>
      <c r="AH236" s="1">
        <v>4.99</v>
      </c>
      <c r="AI236" s="3">
        <v>45874</v>
      </c>
      <c r="AJ236" s="2">
        <v>4.7249999999999996</v>
      </c>
      <c r="AK236" s="3">
        <v>45874</v>
      </c>
      <c r="AL236" s="2">
        <v>4.5599999999999996</v>
      </c>
      <c r="AM236" s="3">
        <v>45874</v>
      </c>
      <c r="AN236" s="2">
        <v>4.4249999999999998</v>
      </c>
      <c r="AO236" s="3">
        <v>45874</v>
      </c>
      <c r="AP236" s="2">
        <v>4.0149999999999997</v>
      </c>
      <c r="AQ236" s="3">
        <v>45874</v>
      </c>
      <c r="AR236" s="2">
        <v>3.7250000000000001</v>
      </c>
      <c r="AS236" s="3">
        <v>45874</v>
      </c>
      <c r="AT236" s="2">
        <v>3.63</v>
      </c>
      <c r="AU236" s="3">
        <v>45874</v>
      </c>
      <c r="AV236" s="2">
        <v>3.6175000000000002</v>
      </c>
      <c r="AW236" s="3">
        <v>45874</v>
      </c>
      <c r="AX236" s="2">
        <v>3.6274999999999999</v>
      </c>
      <c r="AY236" s="3">
        <v>45874</v>
      </c>
      <c r="AZ236" s="2">
        <v>3.6425000000000001</v>
      </c>
      <c r="BB236" s="3">
        <v>45860</v>
      </c>
      <c r="BC236" s="1">
        <v>3.5</v>
      </c>
      <c r="BD236" s="3">
        <v>45860</v>
      </c>
      <c r="BE236" s="1">
        <v>3.49</v>
      </c>
      <c r="BF236" s="3">
        <v>45874</v>
      </c>
      <c r="BG236" s="1">
        <v>3.53</v>
      </c>
      <c r="BH236" s="3">
        <v>45874</v>
      </c>
      <c r="BI236" s="1">
        <v>3.5209999999999999</v>
      </c>
      <c r="BJ236" s="3">
        <v>45874</v>
      </c>
      <c r="BK236" s="1">
        <v>3.51</v>
      </c>
      <c r="BL236" s="3">
        <v>45874</v>
      </c>
      <c r="BM236" s="1">
        <v>3.4729999999999999</v>
      </c>
      <c r="BN236" s="3">
        <v>45874</v>
      </c>
      <c r="BO236" s="1">
        <v>3.448</v>
      </c>
      <c r="BP236" s="3">
        <v>45874</v>
      </c>
      <c r="BQ236" s="1">
        <v>3.48</v>
      </c>
      <c r="BR236" s="3">
        <v>45874</v>
      </c>
      <c r="BS236" s="1">
        <v>3.5179999999999998</v>
      </c>
      <c r="BT236" s="3">
        <v>45874</v>
      </c>
      <c r="BU236" s="1">
        <v>3.5550000000000002</v>
      </c>
      <c r="BV236" s="3">
        <v>45874</v>
      </c>
      <c r="BW236" s="1">
        <v>3.6030000000000002</v>
      </c>
      <c r="BY236" s="3">
        <v>45869</v>
      </c>
      <c r="BZ236" s="1">
        <v>6.5</v>
      </c>
      <c r="CA236" s="3">
        <v>45856</v>
      </c>
      <c r="CB236" s="1">
        <v>6.5</v>
      </c>
      <c r="CC236" s="3">
        <v>45874</v>
      </c>
      <c r="CD236" s="1">
        <v>6.5</v>
      </c>
      <c r="CE236" s="3">
        <v>45874</v>
      </c>
      <c r="CF236" s="1">
        <v>6.4850000000000003</v>
      </c>
      <c r="CG236" s="3">
        <v>45874</v>
      </c>
      <c r="CH236" s="1">
        <v>6.45</v>
      </c>
      <c r="CI236" s="3">
        <v>45874</v>
      </c>
      <c r="CJ236" s="1">
        <v>6.23</v>
      </c>
      <c r="CK236" s="3">
        <v>45874</v>
      </c>
      <c r="CL236" s="1">
        <v>6.02</v>
      </c>
      <c r="CM236" s="3">
        <v>45874</v>
      </c>
      <c r="CN236" s="1">
        <v>5.81</v>
      </c>
      <c r="CO236" s="3">
        <v>45868</v>
      </c>
      <c r="CP236" s="1">
        <v>5.82</v>
      </c>
      <c r="CQ236" s="3">
        <v>45868</v>
      </c>
      <c r="CR236" s="1">
        <v>5.8049999999999997</v>
      </c>
      <c r="CS236" s="3">
        <v>45868</v>
      </c>
      <c r="CT236" s="1">
        <v>5.83</v>
      </c>
    </row>
    <row r="237" spans="31:98" x14ac:dyDescent="0.2">
      <c r="AE237" s="3">
        <v>45873</v>
      </c>
      <c r="AF237" s="1">
        <v>5</v>
      </c>
      <c r="AG237" s="3">
        <v>45856</v>
      </c>
      <c r="AH237" s="1">
        <v>4.99</v>
      </c>
      <c r="AI237" s="3">
        <v>45873</v>
      </c>
      <c r="AJ237" s="2">
        <v>4.7249999999999996</v>
      </c>
      <c r="AK237" s="3">
        <v>45873</v>
      </c>
      <c r="AL237" s="2">
        <v>4.5599999999999996</v>
      </c>
      <c r="AM237" s="3">
        <v>45873</v>
      </c>
      <c r="AN237" s="2">
        <v>4.4249999999999998</v>
      </c>
      <c r="AO237" s="3">
        <v>45873</v>
      </c>
      <c r="AP237" s="2">
        <v>4.0449999999999999</v>
      </c>
      <c r="AQ237" s="3">
        <v>45873</v>
      </c>
      <c r="AR237" s="2">
        <v>3.73</v>
      </c>
      <c r="AS237" s="3">
        <v>45873</v>
      </c>
      <c r="AT237" s="2">
        <v>3.64</v>
      </c>
      <c r="AU237" s="3">
        <v>45873</v>
      </c>
      <c r="AV237" s="2">
        <v>3.63</v>
      </c>
      <c r="AW237" s="3">
        <v>45873</v>
      </c>
      <c r="AX237" s="2">
        <v>3.6425000000000001</v>
      </c>
      <c r="AY237" s="3">
        <v>45873</v>
      </c>
      <c r="AZ237" s="2">
        <v>3.66</v>
      </c>
      <c r="BB237" s="3">
        <v>45859</v>
      </c>
      <c r="BC237" s="1">
        <v>3.5</v>
      </c>
      <c r="BD237" s="3">
        <v>45859</v>
      </c>
      <c r="BE237" s="1">
        <v>3.49</v>
      </c>
      <c r="BF237" s="3">
        <v>45873</v>
      </c>
      <c r="BG237" s="1">
        <v>3.5350000000000001</v>
      </c>
      <c r="BH237" s="3">
        <v>45873</v>
      </c>
      <c r="BI237" s="1">
        <v>3.528</v>
      </c>
      <c r="BJ237" s="3">
        <v>45873</v>
      </c>
      <c r="BK237" s="1">
        <v>3.5049999999999999</v>
      </c>
      <c r="BL237" s="3">
        <v>45873</v>
      </c>
      <c r="BM237" s="1">
        <v>3.4729999999999999</v>
      </c>
      <c r="BN237" s="3">
        <v>45873</v>
      </c>
      <c r="BO237" s="1">
        <v>3.4550000000000001</v>
      </c>
      <c r="BP237" s="3">
        <v>45873</v>
      </c>
      <c r="BQ237" s="1">
        <v>3.4950000000000001</v>
      </c>
      <c r="BR237" s="3">
        <v>45873</v>
      </c>
      <c r="BS237" s="1">
        <v>3.5150000000000001</v>
      </c>
      <c r="BT237" s="3">
        <v>45873</v>
      </c>
      <c r="BU237" s="1">
        <v>3.55</v>
      </c>
      <c r="BV237" s="3">
        <v>45873</v>
      </c>
      <c r="BW237" s="1">
        <v>3.59</v>
      </c>
      <c r="BY237" s="3">
        <v>45868</v>
      </c>
      <c r="BZ237" s="1">
        <v>6.5</v>
      </c>
      <c r="CA237" s="3">
        <v>45855</v>
      </c>
      <c r="CB237" s="1">
        <v>6.5</v>
      </c>
      <c r="CC237" s="3">
        <v>45873</v>
      </c>
      <c r="CD237" s="1">
        <v>6.4989999999999997</v>
      </c>
      <c r="CE237" s="3">
        <v>45873</v>
      </c>
      <c r="CF237" s="1">
        <v>6.484</v>
      </c>
      <c r="CG237" s="3">
        <v>45873</v>
      </c>
      <c r="CH237" s="1">
        <v>6.45</v>
      </c>
      <c r="CI237" s="3">
        <v>45873</v>
      </c>
      <c r="CJ237" s="1">
        <v>6.23</v>
      </c>
      <c r="CK237" s="3">
        <v>45873</v>
      </c>
      <c r="CL237" s="1">
        <v>6.02</v>
      </c>
      <c r="CM237" s="3">
        <v>45873</v>
      </c>
      <c r="CN237" s="1">
        <v>5.8049999999999997</v>
      </c>
      <c r="CO237" s="3">
        <v>45867</v>
      </c>
      <c r="CP237" s="1">
        <v>5.72</v>
      </c>
      <c r="CQ237" s="3">
        <v>45867</v>
      </c>
      <c r="CR237" s="1">
        <v>5.72</v>
      </c>
      <c r="CS237" s="3">
        <v>45867</v>
      </c>
      <c r="CT237" s="1">
        <v>5.72</v>
      </c>
    </row>
    <row r="238" spans="31:98" x14ac:dyDescent="0.2">
      <c r="AE238" s="3">
        <v>45870</v>
      </c>
      <c r="AF238" s="1">
        <v>5</v>
      </c>
      <c r="AG238" s="3">
        <v>45855</v>
      </c>
      <c r="AH238" s="1">
        <v>5</v>
      </c>
      <c r="AI238" s="3">
        <v>45870</v>
      </c>
      <c r="AJ238" s="2">
        <v>4.8150000000000004</v>
      </c>
      <c r="AK238" s="3">
        <v>45870</v>
      </c>
      <c r="AL238" s="2">
        <v>4.57</v>
      </c>
      <c r="AM238" s="3">
        <v>45870</v>
      </c>
      <c r="AN238" s="2">
        <v>4.4349999999999996</v>
      </c>
      <c r="AO238" s="3">
        <v>45870</v>
      </c>
      <c r="AP238" s="2">
        <v>4.0750000000000002</v>
      </c>
      <c r="AQ238" s="3">
        <v>45870</v>
      </c>
      <c r="AR238" s="2">
        <v>3.77</v>
      </c>
      <c r="AS238" s="3">
        <v>45870</v>
      </c>
      <c r="AT238" s="2">
        <v>3.69</v>
      </c>
      <c r="AU238" s="3">
        <v>45870</v>
      </c>
      <c r="AV238" s="2">
        <v>3.6850000000000001</v>
      </c>
      <c r="AW238" s="3">
        <v>45870</v>
      </c>
      <c r="AX238" s="2">
        <v>3.7</v>
      </c>
      <c r="AY238" s="3">
        <v>45870</v>
      </c>
      <c r="AZ238" s="2">
        <v>3.72</v>
      </c>
      <c r="BB238" s="3">
        <v>45856</v>
      </c>
      <c r="BC238" s="1">
        <v>3.5</v>
      </c>
      <c r="BD238" s="3">
        <v>45856</v>
      </c>
      <c r="BE238" s="1">
        <v>3.49</v>
      </c>
      <c r="BF238" s="3">
        <v>45870</v>
      </c>
      <c r="BG238" s="1">
        <v>3.5350000000000001</v>
      </c>
      <c r="BH238" s="3">
        <v>45870</v>
      </c>
      <c r="BI238" s="1">
        <v>3.5379999999999998</v>
      </c>
      <c r="BJ238" s="3">
        <v>45870</v>
      </c>
      <c r="BK238" s="1">
        <v>3.5350000000000001</v>
      </c>
      <c r="BL238" s="3">
        <v>45870</v>
      </c>
      <c r="BM238" s="1">
        <v>3.5049999999999999</v>
      </c>
      <c r="BN238" s="3">
        <v>45870</v>
      </c>
      <c r="BO238" s="1">
        <v>3.49</v>
      </c>
      <c r="BP238" s="3">
        <v>45870</v>
      </c>
      <c r="BQ238" s="1">
        <v>3.5230000000000001</v>
      </c>
      <c r="BR238" s="3">
        <v>45870</v>
      </c>
      <c r="BS238" s="1">
        <v>3.55</v>
      </c>
      <c r="BT238" s="3">
        <v>45870</v>
      </c>
      <c r="BU238" s="1">
        <v>3.585</v>
      </c>
      <c r="BV238" s="3">
        <v>45870</v>
      </c>
      <c r="BW238" s="1">
        <v>3.63</v>
      </c>
      <c r="BY238" s="3">
        <v>45867</v>
      </c>
      <c r="BZ238" s="1">
        <v>6.5</v>
      </c>
      <c r="CA238" s="3">
        <v>45854</v>
      </c>
      <c r="CB238" s="1">
        <v>6.5</v>
      </c>
      <c r="CC238" s="3">
        <v>45870</v>
      </c>
      <c r="CD238" s="1">
        <v>6.4989999999999997</v>
      </c>
      <c r="CE238" s="3">
        <v>45870</v>
      </c>
      <c r="CF238" s="1">
        <v>6.4889999999999999</v>
      </c>
      <c r="CG238" s="3">
        <v>45870</v>
      </c>
      <c r="CH238" s="1">
        <v>6.45</v>
      </c>
      <c r="CI238" s="3">
        <v>45870</v>
      </c>
      <c r="CJ238" s="1">
        <v>6.27</v>
      </c>
      <c r="CK238" s="3">
        <v>45870</v>
      </c>
      <c r="CL238" s="1">
        <v>6.06</v>
      </c>
      <c r="CM238" s="3">
        <v>45870</v>
      </c>
      <c r="CN238" s="1">
        <v>5.87</v>
      </c>
      <c r="CO238" s="3">
        <v>45866</v>
      </c>
      <c r="CP238" s="1">
        <v>5.7</v>
      </c>
      <c r="CQ238" s="3">
        <v>45866</v>
      </c>
      <c r="CR238" s="1">
        <v>5.68</v>
      </c>
      <c r="CS238" s="3">
        <v>45866</v>
      </c>
      <c r="CT238" s="1">
        <v>5.7</v>
      </c>
    </row>
    <row r="239" spans="31:98" x14ac:dyDescent="0.2">
      <c r="AE239" s="3">
        <v>45869</v>
      </c>
      <c r="AF239" s="1">
        <v>5</v>
      </c>
      <c r="AG239" s="3">
        <v>45854</v>
      </c>
      <c r="AH239" s="1">
        <v>4.96</v>
      </c>
      <c r="AI239" s="3">
        <v>45869</v>
      </c>
      <c r="AJ239" s="2">
        <v>4.8250000000000002</v>
      </c>
      <c r="AK239" s="3">
        <v>45869</v>
      </c>
      <c r="AL239" s="2">
        <v>4.6100000000000003</v>
      </c>
      <c r="AM239" s="3">
        <v>45869</v>
      </c>
      <c r="AN239" s="2">
        <v>4.49</v>
      </c>
      <c r="AO239" s="3">
        <v>45869</v>
      </c>
      <c r="AP239" s="2">
        <v>4.165</v>
      </c>
      <c r="AQ239" s="3">
        <v>45869</v>
      </c>
      <c r="AR239" s="2">
        <v>3.8725000000000001</v>
      </c>
      <c r="AS239" s="3">
        <v>45869</v>
      </c>
      <c r="AT239" s="2">
        <v>3.7825000000000002</v>
      </c>
      <c r="AU239" s="3">
        <v>45869</v>
      </c>
      <c r="AV239" s="2">
        <v>3.7725</v>
      </c>
      <c r="AW239" s="3">
        <v>45869</v>
      </c>
      <c r="AX239" s="2">
        <v>3.78</v>
      </c>
      <c r="AY239" s="3">
        <v>45869</v>
      </c>
      <c r="AZ239" s="2">
        <v>3.7974999999999999</v>
      </c>
      <c r="BB239" s="3">
        <v>45855</v>
      </c>
      <c r="BC239" s="1">
        <v>3.5</v>
      </c>
      <c r="BD239" s="3">
        <v>45855</v>
      </c>
      <c r="BE239" s="1">
        <v>3.49</v>
      </c>
      <c r="BF239" s="3">
        <v>45869</v>
      </c>
      <c r="BG239" s="1">
        <v>3.5449999999999999</v>
      </c>
      <c r="BH239" s="3">
        <v>45869</v>
      </c>
      <c r="BI239" s="1">
        <v>3.5539999999999998</v>
      </c>
      <c r="BJ239" s="3">
        <v>45869</v>
      </c>
      <c r="BK239" s="1">
        <v>3.5649999999999999</v>
      </c>
      <c r="BL239" s="3">
        <v>45869</v>
      </c>
      <c r="BM239" s="1">
        <v>3.5649999999999999</v>
      </c>
      <c r="BN239" s="3">
        <v>45869</v>
      </c>
      <c r="BO239" s="1">
        <v>3.57</v>
      </c>
      <c r="BP239" s="3">
        <v>45869</v>
      </c>
      <c r="BQ239" s="1">
        <v>3.6150000000000002</v>
      </c>
      <c r="BR239" s="3">
        <v>45869</v>
      </c>
      <c r="BS239" s="1">
        <v>3.665</v>
      </c>
      <c r="BT239" s="3">
        <v>45869</v>
      </c>
      <c r="BU239" s="1">
        <v>3.71</v>
      </c>
      <c r="BV239" s="3">
        <v>45869</v>
      </c>
      <c r="BW239" s="1">
        <v>3.75</v>
      </c>
      <c r="BY239" s="3">
        <v>45866</v>
      </c>
      <c r="BZ239" s="1">
        <v>6.5</v>
      </c>
      <c r="CA239" s="3">
        <v>45853</v>
      </c>
      <c r="CB239" s="1">
        <v>6.5</v>
      </c>
      <c r="CC239" s="3">
        <v>45869</v>
      </c>
      <c r="CD239" s="1">
        <v>6.5010000000000003</v>
      </c>
      <c r="CE239" s="3">
        <v>45869</v>
      </c>
      <c r="CF239" s="1">
        <v>6.4950000000000001</v>
      </c>
      <c r="CG239" s="3">
        <v>45869</v>
      </c>
      <c r="CH239" s="1">
        <v>6.48</v>
      </c>
      <c r="CI239" s="3">
        <v>45869</v>
      </c>
      <c r="CJ239" s="1">
        <v>6.32</v>
      </c>
      <c r="CK239" s="3">
        <v>45869</v>
      </c>
      <c r="CL239" s="1">
        <v>6.13</v>
      </c>
      <c r="CM239" s="3">
        <v>45869</v>
      </c>
      <c r="CN239" s="1">
        <v>5.94</v>
      </c>
      <c r="CO239" s="3">
        <v>45863</v>
      </c>
      <c r="CP239" s="1">
        <v>5.7</v>
      </c>
      <c r="CQ239" s="3">
        <v>45863</v>
      </c>
      <c r="CR239" s="1">
        <v>5.68</v>
      </c>
      <c r="CS239" s="3">
        <v>45863</v>
      </c>
      <c r="CT239" s="1">
        <v>5.7</v>
      </c>
    </row>
    <row r="240" spans="31:98" x14ac:dyDescent="0.2">
      <c r="AE240" s="3">
        <v>45868</v>
      </c>
      <c r="AF240" s="1">
        <v>5</v>
      </c>
      <c r="AG240" s="3">
        <v>45853</v>
      </c>
      <c r="AH240" s="1">
        <v>5.01</v>
      </c>
      <c r="AI240" s="3">
        <v>45868</v>
      </c>
      <c r="AJ240" s="2">
        <v>4.8174999999999999</v>
      </c>
      <c r="AK240" s="3">
        <v>45868</v>
      </c>
      <c r="AL240" s="2">
        <v>4.5875000000000004</v>
      </c>
      <c r="AM240" s="3">
        <v>45868</v>
      </c>
      <c r="AN240" s="2">
        <v>4.4450000000000003</v>
      </c>
      <c r="AO240" s="3">
        <v>45868</v>
      </c>
      <c r="AP240" s="2">
        <v>4.0599999999999996</v>
      </c>
      <c r="AQ240" s="3">
        <v>45868</v>
      </c>
      <c r="AR240" s="2">
        <v>3.7650000000000001</v>
      </c>
      <c r="AS240" s="3">
        <v>45868</v>
      </c>
      <c r="AT240" s="2">
        <v>3.6675</v>
      </c>
      <c r="AU240" s="3">
        <v>45868</v>
      </c>
      <c r="AV240" s="2">
        <v>3.6549999999999998</v>
      </c>
      <c r="AW240" s="3">
        <v>45868</v>
      </c>
      <c r="AX240" s="2">
        <v>3.6625000000000001</v>
      </c>
      <c r="AY240" s="3">
        <v>45868</v>
      </c>
      <c r="AZ240" s="2">
        <v>3.6825000000000001</v>
      </c>
      <c r="BB240" s="3">
        <v>45854</v>
      </c>
      <c r="BC240" s="1">
        <v>3.5</v>
      </c>
      <c r="BD240" s="3">
        <v>45854</v>
      </c>
      <c r="BE240" s="1">
        <v>3.49</v>
      </c>
      <c r="BF240" s="3">
        <v>45868</v>
      </c>
      <c r="BG240" s="1">
        <v>3.5350000000000001</v>
      </c>
      <c r="BH240" s="3">
        <v>45868</v>
      </c>
      <c r="BI240" s="1">
        <v>3.5310000000000001</v>
      </c>
      <c r="BJ240" s="3">
        <v>45868</v>
      </c>
      <c r="BK240" s="1">
        <v>3.5350000000000001</v>
      </c>
      <c r="BL240" s="3">
        <v>45868</v>
      </c>
      <c r="BM240" s="1">
        <v>3.53</v>
      </c>
      <c r="BN240" s="3">
        <v>45868</v>
      </c>
      <c r="BO240" s="1">
        <v>3.5230000000000001</v>
      </c>
      <c r="BP240" s="3">
        <v>45868</v>
      </c>
      <c r="BQ240" s="1">
        <v>3.5630000000000002</v>
      </c>
      <c r="BR240" s="3">
        <v>45868</v>
      </c>
      <c r="BS240" s="1">
        <v>3.6030000000000002</v>
      </c>
      <c r="BT240" s="3">
        <v>45868</v>
      </c>
      <c r="BU240" s="1">
        <v>3.6429999999999998</v>
      </c>
      <c r="BV240" s="3">
        <v>45868</v>
      </c>
      <c r="BW240" s="1">
        <v>3.673</v>
      </c>
      <c r="BY240" s="3">
        <v>45863</v>
      </c>
      <c r="BZ240" s="1">
        <v>6.5</v>
      </c>
      <c r="CA240" s="3">
        <v>45852</v>
      </c>
      <c r="CB240" s="1">
        <v>6.5</v>
      </c>
      <c r="CC240" s="3">
        <v>45868</v>
      </c>
      <c r="CD240" s="1">
        <v>6.5019999999999998</v>
      </c>
      <c r="CE240" s="3">
        <v>45868</v>
      </c>
      <c r="CF240" s="1">
        <v>6.5060000000000002</v>
      </c>
      <c r="CG240" s="3">
        <v>45868</v>
      </c>
      <c r="CH240" s="1">
        <v>6.48</v>
      </c>
      <c r="CI240" s="3">
        <v>45868</v>
      </c>
      <c r="CJ240" s="1">
        <v>6.3</v>
      </c>
      <c r="CK240" s="3">
        <v>45868</v>
      </c>
      <c r="CL240" s="1">
        <v>6.09</v>
      </c>
      <c r="CM240" s="3">
        <v>45868</v>
      </c>
      <c r="CN240" s="1">
        <v>5.88</v>
      </c>
      <c r="CO240" s="3">
        <v>45862</v>
      </c>
      <c r="CP240" s="1">
        <v>5.64</v>
      </c>
      <c r="CQ240" s="3">
        <v>45862</v>
      </c>
      <c r="CR240" s="1">
        <v>5.63</v>
      </c>
      <c r="CS240" s="3">
        <v>45862</v>
      </c>
      <c r="CT240" s="1">
        <v>5.65</v>
      </c>
    </row>
    <row r="241" spans="31:98" x14ac:dyDescent="0.2">
      <c r="AE241" s="3">
        <v>45867</v>
      </c>
      <c r="AF241" s="1">
        <v>5</v>
      </c>
      <c r="AG241" s="3">
        <v>45852</v>
      </c>
      <c r="AH241" s="1">
        <v>5.01</v>
      </c>
      <c r="AI241" s="3">
        <v>45867</v>
      </c>
      <c r="AJ241" s="2">
        <v>4.8099999999999996</v>
      </c>
      <c r="AK241" s="3">
        <v>45867</v>
      </c>
      <c r="AL241" s="2">
        <v>4.5750000000000002</v>
      </c>
      <c r="AM241" s="3">
        <v>45867</v>
      </c>
      <c r="AN241" s="2">
        <v>4.4249999999999998</v>
      </c>
      <c r="AO241" s="3">
        <v>45867</v>
      </c>
      <c r="AP241" s="2">
        <v>4.0350000000000001</v>
      </c>
      <c r="AQ241" s="3">
        <v>45867</v>
      </c>
      <c r="AR241" s="2">
        <v>3.7374999999999998</v>
      </c>
      <c r="AS241" s="3">
        <v>45867</v>
      </c>
      <c r="AT241" s="2">
        <v>3.64</v>
      </c>
      <c r="AU241" s="3">
        <v>45867</v>
      </c>
      <c r="AV241" s="2">
        <v>3.625</v>
      </c>
      <c r="AW241" s="3">
        <v>45867</v>
      </c>
      <c r="AX241" s="2">
        <v>3.63</v>
      </c>
      <c r="AY241" s="3">
        <v>45867</v>
      </c>
      <c r="AZ241" s="2">
        <v>3.65</v>
      </c>
      <c r="BB241" s="3">
        <v>45853</v>
      </c>
      <c r="BC241" s="1">
        <v>3.5</v>
      </c>
      <c r="BD241" s="3">
        <v>45853</v>
      </c>
      <c r="BE241" s="1">
        <v>3.49</v>
      </c>
      <c r="BF241" s="3">
        <v>45867</v>
      </c>
      <c r="BG241" s="1">
        <v>3.51</v>
      </c>
      <c r="BH241" s="3">
        <v>45867</v>
      </c>
      <c r="BI241" s="1">
        <v>3.5129999999999999</v>
      </c>
      <c r="BJ241" s="3">
        <v>45867</v>
      </c>
      <c r="BK241" s="1">
        <v>3.5150000000000001</v>
      </c>
      <c r="BL241" s="3">
        <v>45867</v>
      </c>
      <c r="BM241" s="1">
        <v>3.508</v>
      </c>
      <c r="BN241" s="3">
        <v>45867</v>
      </c>
      <c r="BO241" s="1">
        <v>3.5030000000000001</v>
      </c>
      <c r="BP241" s="3">
        <v>45867</v>
      </c>
      <c r="BQ241" s="1">
        <v>3.5379999999999998</v>
      </c>
      <c r="BR241" s="3">
        <v>45867</v>
      </c>
      <c r="BS241" s="1">
        <v>3.5750000000000002</v>
      </c>
      <c r="BT241" s="3">
        <v>45867</v>
      </c>
      <c r="BU241" s="1">
        <v>3.6150000000000002</v>
      </c>
      <c r="BV241" s="3">
        <v>45867</v>
      </c>
      <c r="BW241" s="1">
        <v>3.66</v>
      </c>
      <c r="BY241" s="3">
        <v>45862</v>
      </c>
      <c r="BZ241" s="1">
        <v>6.5</v>
      </c>
      <c r="CA241" s="3">
        <v>45849</v>
      </c>
      <c r="CB241" s="1">
        <v>6.5</v>
      </c>
      <c r="CC241" s="3">
        <v>45867</v>
      </c>
      <c r="CD241" s="1">
        <v>6.5</v>
      </c>
      <c r="CE241" s="3">
        <v>45867</v>
      </c>
      <c r="CF241" s="1">
        <v>6.51</v>
      </c>
      <c r="CG241" s="3">
        <v>45867</v>
      </c>
      <c r="CH241" s="1">
        <v>6.46</v>
      </c>
      <c r="CI241" s="3">
        <v>45867</v>
      </c>
      <c r="CJ241" s="1">
        <v>6.23</v>
      </c>
      <c r="CK241" s="3">
        <v>45867</v>
      </c>
      <c r="CL241" s="1">
        <v>5.99</v>
      </c>
      <c r="CM241" s="3">
        <v>45867</v>
      </c>
      <c r="CN241" s="1">
        <v>5.77</v>
      </c>
      <c r="CO241" s="3">
        <v>45861</v>
      </c>
      <c r="CP241" s="1">
        <v>5.62</v>
      </c>
      <c r="CQ241" s="3">
        <v>45861</v>
      </c>
      <c r="CR241" s="1">
        <v>5.61</v>
      </c>
      <c r="CS241" s="3">
        <v>45861</v>
      </c>
      <c r="CT241" s="1">
        <v>5.63</v>
      </c>
    </row>
    <row r="242" spans="31:98" x14ac:dyDescent="0.2">
      <c r="AE242" s="3">
        <v>45866</v>
      </c>
      <c r="AF242" s="1">
        <v>5</v>
      </c>
      <c r="AG242" s="3">
        <v>45849</v>
      </c>
      <c r="AH242" s="1">
        <v>5.03</v>
      </c>
      <c r="AI242" s="3">
        <v>45866</v>
      </c>
      <c r="AJ242" s="2">
        <v>4.82</v>
      </c>
      <c r="AK242" s="3">
        <v>45866</v>
      </c>
      <c r="AL242" s="2">
        <v>4.585</v>
      </c>
      <c r="AM242" s="3">
        <v>45866</v>
      </c>
      <c r="AN242" s="2">
        <v>4.43</v>
      </c>
      <c r="AO242" s="3">
        <v>45866</v>
      </c>
      <c r="AP242" s="2">
        <v>4.04</v>
      </c>
      <c r="AQ242" s="3">
        <v>45866</v>
      </c>
      <c r="AR242" s="2">
        <v>3.7349999999999999</v>
      </c>
      <c r="AS242" s="3">
        <v>45866</v>
      </c>
      <c r="AT242" s="2">
        <v>3.64</v>
      </c>
      <c r="AU242" s="3">
        <v>45866</v>
      </c>
      <c r="AV242" s="2">
        <v>3.625</v>
      </c>
      <c r="AW242" s="3">
        <v>45866</v>
      </c>
      <c r="AX242" s="2">
        <v>3.6375000000000002</v>
      </c>
      <c r="AY242" s="3">
        <v>45866</v>
      </c>
      <c r="AZ242" s="2">
        <v>3.66</v>
      </c>
      <c r="BB242" s="3">
        <v>45852</v>
      </c>
      <c r="BC242" s="1">
        <v>3.5</v>
      </c>
      <c r="BD242" s="3">
        <v>45852</v>
      </c>
      <c r="BE242" s="1">
        <v>3.49</v>
      </c>
      <c r="BF242" s="3">
        <v>45866</v>
      </c>
      <c r="BG242" s="1">
        <v>3.5</v>
      </c>
      <c r="BH242" s="3">
        <v>45866</v>
      </c>
      <c r="BI242" s="1">
        <v>3.49</v>
      </c>
      <c r="BJ242" s="3">
        <v>45866</v>
      </c>
      <c r="BK242" s="1">
        <v>3.49</v>
      </c>
      <c r="BL242" s="3">
        <v>45866</v>
      </c>
      <c r="BM242" s="1">
        <v>3.4550000000000001</v>
      </c>
      <c r="BN242" s="3">
        <v>45866</v>
      </c>
      <c r="BO242" s="1">
        <v>3.4350000000000001</v>
      </c>
      <c r="BP242" s="3">
        <v>45866</v>
      </c>
      <c r="BQ242" s="1">
        <v>3.4550000000000001</v>
      </c>
      <c r="BR242" s="3">
        <v>45866</v>
      </c>
      <c r="BS242" s="1">
        <v>3.4950000000000001</v>
      </c>
      <c r="BT242" s="3">
        <v>45866</v>
      </c>
      <c r="BU242" s="1">
        <v>3.5350000000000001</v>
      </c>
      <c r="BV242" s="3">
        <v>45866</v>
      </c>
      <c r="BW242" s="1">
        <v>3.5750000000000002</v>
      </c>
      <c r="BY242" s="3">
        <v>45861</v>
      </c>
      <c r="BZ242" s="1">
        <v>6.5</v>
      </c>
      <c r="CA242" s="3">
        <v>45848</v>
      </c>
      <c r="CB242" s="1">
        <v>6.5</v>
      </c>
      <c r="CC242" s="3">
        <v>45866</v>
      </c>
      <c r="CD242" s="1">
        <v>6.5010000000000003</v>
      </c>
      <c r="CE242" s="3">
        <v>45866</v>
      </c>
      <c r="CF242" s="1">
        <v>6.5010000000000003</v>
      </c>
      <c r="CG242" s="3">
        <v>45866</v>
      </c>
      <c r="CH242" s="1">
        <v>6.46</v>
      </c>
      <c r="CI242" s="3">
        <v>45866</v>
      </c>
      <c r="CJ242" s="1">
        <v>6.23</v>
      </c>
      <c r="CK242" s="3">
        <v>45866</v>
      </c>
      <c r="CL242" s="1">
        <v>6</v>
      </c>
      <c r="CM242" s="3">
        <v>45866</v>
      </c>
      <c r="CN242" s="1">
        <v>5.77</v>
      </c>
      <c r="CO242" s="3">
        <v>45860</v>
      </c>
      <c r="CP242" s="1">
        <v>5.51</v>
      </c>
      <c r="CQ242" s="3">
        <v>45860</v>
      </c>
      <c r="CR242" s="1">
        <v>5.51</v>
      </c>
      <c r="CS242" s="3">
        <v>45860</v>
      </c>
      <c r="CT242" s="1">
        <v>5.51</v>
      </c>
    </row>
    <row r="243" spans="31:98" x14ac:dyDescent="0.2">
      <c r="AE243" s="3">
        <v>45863</v>
      </c>
      <c r="AF243" s="1">
        <v>5</v>
      </c>
      <c r="AG243" s="3">
        <v>45848</v>
      </c>
      <c r="AH243" s="1">
        <v>5.03</v>
      </c>
      <c r="AI243" s="3">
        <v>45863</v>
      </c>
      <c r="AJ243" s="2">
        <v>4.8499999999999996</v>
      </c>
      <c r="AK243" s="3">
        <v>45863</v>
      </c>
      <c r="AL243" s="2">
        <v>4.6224999999999996</v>
      </c>
      <c r="AM243" s="3">
        <v>45863</v>
      </c>
      <c r="AN243" s="2">
        <v>4.4749999999999996</v>
      </c>
      <c r="AO243" s="3">
        <v>45863</v>
      </c>
      <c r="AP243" s="2">
        <v>4.0999999999999996</v>
      </c>
      <c r="AQ243" s="3">
        <v>45863</v>
      </c>
      <c r="AR243" s="2">
        <v>3.82</v>
      </c>
      <c r="AS243" s="3">
        <v>45863</v>
      </c>
      <c r="AT243" s="2">
        <v>3.7374999999999998</v>
      </c>
      <c r="AU243" s="3">
        <v>45863</v>
      </c>
      <c r="AV243" s="2">
        <v>3.7225000000000001</v>
      </c>
      <c r="AW243" s="3">
        <v>45863</v>
      </c>
      <c r="AX243" s="2">
        <v>3.73</v>
      </c>
      <c r="AY243" s="3">
        <v>45863</v>
      </c>
      <c r="AZ243" s="2">
        <v>3.7475000000000001</v>
      </c>
      <c r="BB243" s="3">
        <v>45849</v>
      </c>
      <c r="BC243" s="1">
        <v>3.5</v>
      </c>
      <c r="BD243" s="3">
        <v>45849</v>
      </c>
      <c r="BE243" s="1">
        <v>3.49</v>
      </c>
      <c r="BF243" s="3">
        <v>45863</v>
      </c>
      <c r="BG243" s="1">
        <v>3.5</v>
      </c>
      <c r="BH243" s="3">
        <v>45863</v>
      </c>
      <c r="BI243" s="1">
        <v>3.5009999999999999</v>
      </c>
      <c r="BJ243" s="3">
        <v>45863</v>
      </c>
      <c r="BK243" s="1">
        <v>3.4980000000000002</v>
      </c>
      <c r="BL243" s="3">
        <v>45863</v>
      </c>
      <c r="BM243" s="1">
        <v>3.46</v>
      </c>
      <c r="BN243" s="3">
        <v>45863</v>
      </c>
      <c r="BO243" s="1">
        <v>3.4430000000000001</v>
      </c>
      <c r="BP243" s="3">
        <v>45863</v>
      </c>
      <c r="BQ243" s="1">
        <v>3.4649999999999999</v>
      </c>
      <c r="BR243" s="3">
        <v>45863</v>
      </c>
      <c r="BS243" s="1">
        <v>3.52</v>
      </c>
      <c r="BT243" s="3">
        <v>45863</v>
      </c>
      <c r="BU243" s="1">
        <v>3.5750000000000002</v>
      </c>
      <c r="BV243" s="3">
        <v>45863</v>
      </c>
      <c r="BW243" s="1">
        <v>3.6150000000000002</v>
      </c>
      <c r="BY243" s="3">
        <v>45859</v>
      </c>
      <c r="BZ243" s="1">
        <v>6.5</v>
      </c>
      <c r="CA243" s="3">
        <v>45847</v>
      </c>
      <c r="CB243" s="1">
        <v>6.5</v>
      </c>
      <c r="CC243" s="3">
        <v>45863</v>
      </c>
      <c r="CD243" s="1">
        <v>6.5</v>
      </c>
      <c r="CE243" s="3">
        <v>45863</v>
      </c>
      <c r="CF243" s="1">
        <v>6.5010000000000003</v>
      </c>
      <c r="CG243" s="3">
        <v>45863</v>
      </c>
      <c r="CH243" s="1">
        <v>6.48</v>
      </c>
      <c r="CI243" s="3">
        <v>45863</v>
      </c>
      <c r="CJ243" s="1">
        <v>6.26</v>
      </c>
      <c r="CK243" s="3">
        <v>45863</v>
      </c>
      <c r="CL243" s="1">
        <v>6.01</v>
      </c>
      <c r="CM243" s="3">
        <v>45863</v>
      </c>
      <c r="CN243" s="1">
        <v>5.77</v>
      </c>
      <c r="CO243" s="3">
        <v>45859</v>
      </c>
      <c r="CP243" s="1">
        <v>5.51</v>
      </c>
      <c r="CQ243" s="3">
        <v>45859</v>
      </c>
      <c r="CR243" s="1">
        <v>5.51</v>
      </c>
      <c r="CS243" s="3">
        <v>45859</v>
      </c>
      <c r="CT243" s="1">
        <v>5.51</v>
      </c>
    </row>
    <row r="244" spans="31:98" x14ac:dyDescent="0.2">
      <c r="AE244" s="3">
        <v>45862</v>
      </c>
      <c r="AF244" s="1">
        <v>5</v>
      </c>
      <c r="AG244" s="3">
        <v>45847</v>
      </c>
      <c r="AH244" s="1">
        <v>5.04</v>
      </c>
      <c r="AI244" s="3">
        <v>45862</v>
      </c>
      <c r="AJ244" s="2">
        <v>4.8550000000000004</v>
      </c>
      <c r="AK244" s="3">
        <v>45862</v>
      </c>
      <c r="AL244" s="2">
        <v>4.625</v>
      </c>
      <c r="AM244" s="3">
        <v>45862</v>
      </c>
      <c r="AN244" s="2">
        <v>4.47</v>
      </c>
      <c r="AO244" s="3">
        <v>45862</v>
      </c>
      <c r="AP244" s="2">
        <v>4.09</v>
      </c>
      <c r="AQ244" s="3">
        <v>45862</v>
      </c>
      <c r="AR244" s="2">
        <v>3.7974999999999999</v>
      </c>
      <c r="AS244" s="3">
        <v>45862</v>
      </c>
      <c r="AT244" s="2">
        <v>3.7124999999999999</v>
      </c>
      <c r="AU244" s="3">
        <v>45862</v>
      </c>
      <c r="AV244" s="2">
        <v>3.7050000000000001</v>
      </c>
      <c r="AW244" s="3">
        <v>45862</v>
      </c>
      <c r="AX244" s="2">
        <v>3.71</v>
      </c>
      <c r="AY244" s="3">
        <v>45862</v>
      </c>
      <c r="AZ244" s="2">
        <v>3.7250000000000001</v>
      </c>
      <c r="BB244" s="3">
        <v>45848</v>
      </c>
      <c r="BC244" s="1">
        <v>3.5</v>
      </c>
      <c r="BD244" s="3">
        <v>45848</v>
      </c>
      <c r="BE244" s="1">
        <v>3.49</v>
      </c>
      <c r="BF244" s="3">
        <v>45862</v>
      </c>
      <c r="BG244" s="1">
        <v>3.4950000000000001</v>
      </c>
      <c r="BH244" s="3">
        <v>45862</v>
      </c>
      <c r="BI244" s="1">
        <v>3.4910000000000001</v>
      </c>
      <c r="BJ244" s="3">
        <v>45862</v>
      </c>
      <c r="BK244" s="1">
        <v>3.5</v>
      </c>
      <c r="BL244" s="3">
        <v>45862</v>
      </c>
      <c r="BM244" s="1">
        <v>3.4649999999999999</v>
      </c>
      <c r="BN244" s="3">
        <v>45862</v>
      </c>
      <c r="BO244" s="1">
        <v>3.46</v>
      </c>
      <c r="BP244" s="3">
        <v>45862</v>
      </c>
      <c r="BQ244" s="1">
        <v>3.5030000000000001</v>
      </c>
      <c r="BR244" s="3">
        <v>45862</v>
      </c>
      <c r="BS244" s="1">
        <v>3.548</v>
      </c>
      <c r="BT244" s="3">
        <v>45862</v>
      </c>
      <c r="BU244" s="1">
        <v>3.5979999999999999</v>
      </c>
      <c r="BV244" s="3">
        <v>45862</v>
      </c>
      <c r="BW244" s="1">
        <v>3.6379999999999999</v>
      </c>
      <c r="BY244" s="3">
        <v>45856</v>
      </c>
      <c r="BZ244" s="1">
        <v>6.5</v>
      </c>
      <c r="CA244" s="3">
        <v>45846</v>
      </c>
      <c r="CB244" s="1">
        <v>6.5</v>
      </c>
      <c r="CC244" s="3">
        <v>45862</v>
      </c>
      <c r="CD244" s="1">
        <v>6.5</v>
      </c>
      <c r="CE244" s="3">
        <v>45862</v>
      </c>
      <c r="CF244" s="1">
        <v>6.5</v>
      </c>
      <c r="CG244" s="3">
        <v>45862</v>
      </c>
      <c r="CH244" s="1">
        <v>6.48</v>
      </c>
      <c r="CI244" s="3">
        <v>45862</v>
      </c>
      <c r="CJ244" s="1">
        <v>6.24</v>
      </c>
      <c r="CK244" s="3">
        <v>45862</v>
      </c>
      <c r="CL244" s="1">
        <v>5.96</v>
      </c>
      <c r="CM244" s="3">
        <v>45862</v>
      </c>
      <c r="CN244" s="1">
        <v>5.7</v>
      </c>
      <c r="CO244" s="3">
        <v>45856</v>
      </c>
      <c r="CP244" s="1">
        <v>5.5650000000000004</v>
      </c>
      <c r="CQ244" s="3">
        <v>45856</v>
      </c>
      <c r="CR244" s="1">
        <v>5.5650000000000004</v>
      </c>
      <c r="CS244" s="3">
        <v>45856</v>
      </c>
      <c r="CT244" s="1">
        <v>5.5650000000000004</v>
      </c>
    </row>
    <row r="245" spans="31:98" x14ac:dyDescent="0.2">
      <c r="AE245" s="3">
        <v>45861</v>
      </c>
      <c r="AF245" s="1">
        <v>5</v>
      </c>
      <c r="AG245" s="3">
        <v>45846</v>
      </c>
      <c r="AH245" s="1">
        <v>5.04</v>
      </c>
      <c r="AI245" s="3">
        <v>45861</v>
      </c>
      <c r="AJ245" s="2">
        <v>4.8475000000000001</v>
      </c>
      <c r="AK245" s="3">
        <v>45861</v>
      </c>
      <c r="AL245" s="2">
        <v>4.6174999999999997</v>
      </c>
      <c r="AM245" s="3">
        <v>45861</v>
      </c>
      <c r="AN245" s="2">
        <v>4.4675000000000002</v>
      </c>
      <c r="AO245" s="3">
        <v>45861</v>
      </c>
      <c r="AP245" s="2">
        <v>4.0625</v>
      </c>
      <c r="AQ245" s="3">
        <v>45861</v>
      </c>
      <c r="AR245" s="2">
        <v>3.7275</v>
      </c>
      <c r="AS245" s="3">
        <v>45861</v>
      </c>
      <c r="AT245" s="2">
        <v>3.6124999999999998</v>
      </c>
      <c r="AU245" s="3">
        <v>45861</v>
      </c>
      <c r="AV245" s="2">
        <v>3.5975000000000001</v>
      </c>
      <c r="AW245" s="3">
        <v>45861</v>
      </c>
      <c r="AX245" s="2">
        <v>3.6025</v>
      </c>
      <c r="AY245" s="3">
        <v>45861</v>
      </c>
      <c r="AZ245" s="2">
        <v>3.6175000000000002</v>
      </c>
      <c r="BB245" s="3">
        <v>45847</v>
      </c>
      <c r="BC245" s="1">
        <v>3.5</v>
      </c>
      <c r="BD245" s="3">
        <v>45847</v>
      </c>
      <c r="BE245" s="1">
        <v>3.49</v>
      </c>
      <c r="BF245" s="3">
        <v>45861</v>
      </c>
      <c r="BG245" s="1">
        <v>3.4950000000000001</v>
      </c>
      <c r="BH245" s="3">
        <v>45861</v>
      </c>
      <c r="BI245" s="1">
        <v>3.4849999999999999</v>
      </c>
      <c r="BJ245" s="3">
        <v>45861</v>
      </c>
      <c r="BK245" s="1">
        <v>3.47</v>
      </c>
      <c r="BL245" s="3">
        <v>45861</v>
      </c>
      <c r="BM245" s="1">
        <v>3.423</v>
      </c>
      <c r="BN245" s="3">
        <v>45861</v>
      </c>
      <c r="BO245" s="1">
        <v>3.3929999999999998</v>
      </c>
      <c r="BP245" s="3">
        <v>45861</v>
      </c>
      <c r="BQ245" s="1">
        <v>3.41</v>
      </c>
      <c r="BR245" s="3">
        <v>45861</v>
      </c>
      <c r="BS245" s="1">
        <v>3.448</v>
      </c>
      <c r="BT245" s="3">
        <v>45861</v>
      </c>
      <c r="BU245" s="1">
        <v>3.49</v>
      </c>
      <c r="BV245" s="3">
        <v>45861</v>
      </c>
      <c r="BW245" s="1">
        <v>3.5379999999999998</v>
      </c>
      <c r="BY245" s="3">
        <v>45855</v>
      </c>
      <c r="BZ245" s="1">
        <v>6.5</v>
      </c>
      <c r="CA245" s="3">
        <v>45845</v>
      </c>
      <c r="CB245" s="1">
        <v>6.5</v>
      </c>
      <c r="CC245" s="3">
        <v>45861</v>
      </c>
      <c r="CD245" s="1">
        <v>6.5010000000000003</v>
      </c>
      <c r="CE245" s="3">
        <v>45861</v>
      </c>
      <c r="CF245" s="1">
        <v>6.5039999999999996</v>
      </c>
      <c r="CG245" s="3">
        <v>45861</v>
      </c>
      <c r="CH245" s="1">
        <v>6.46</v>
      </c>
      <c r="CI245" s="3">
        <v>45861</v>
      </c>
      <c r="CJ245" s="1">
        <v>6.2</v>
      </c>
      <c r="CK245" s="3">
        <v>45861</v>
      </c>
      <c r="CL245" s="1">
        <v>5.92</v>
      </c>
      <c r="CM245" s="3">
        <v>45861</v>
      </c>
      <c r="CN245" s="1">
        <v>5.68</v>
      </c>
      <c r="CO245" s="3">
        <v>45855</v>
      </c>
      <c r="CP245" s="1">
        <v>5.65</v>
      </c>
      <c r="CQ245" s="3">
        <v>45855</v>
      </c>
      <c r="CR245" s="1">
        <v>5.65</v>
      </c>
      <c r="CS245" s="3">
        <v>45855</v>
      </c>
      <c r="CT245" s="1">
        <v>5.67</v>
      </c>
    </row>
    <row r="246" spans="31:98" x14ac:dyDescent="0.2">
      <c r="AE246" s="3">
        <v>45860</v>
      </c>
      <c r="AF246" s="1">
        <v>5</v>
      </c>
      <c r="AG246" s="3">
        <v>45845</v>
      </c>
      <c r="AH246" s="1">
        <v>5.05</v>
      </c>
      <c r="AI246" s="3">
        <v>45860</v>
      </c>
      <c r="AJ246" s="2">
        <v>4.8600000000000003</v>
      </c>
      <c r="AK246" s="3">
        <v>45860</v>
      </c>
      <c r="AL246" s="2">
        <v>4.63</v>
      </c>
      <c r="AM246" s="3">
        <v>45860</v>
      </c>
      <c r="AN246" s="2">
        <v>4.4800000000000004</v>
      </c>
      <c r="AO246" s="3">
        <v>45860</v>
      </c>
      <c r="AP246" s="2">
        <v>4.085</v>
      </c>
      <c r="AQ246" s="3">
        <v>45860</v>
      </c>
      <c r="AR246" s="2">
        <v>3.75</v>
      </c>
      <c r="AS246" s="3">
        <v>45860</v>
      </c>
      <c r="AT246" s="2">
        <v>3.62</v>
      </c>
      <c r="AU246" s="3">
        <v>45860</v>
      </c>
      <c r="AV246" s="2">
        <v>3.5825</v>
      </c>
      <c r="AW246" s="3">
        <v>45860</v>
      </c>
      <c r="AX246" s="2">
        <v>3.58</v>
      </c>
      <c r="AY246" s="3">
        <v>45860</v>
      </c>
      <c r="AZ246" s="2">
        <v>3.5975000000000001</v>
      </c>
      <c r="BB246" s="3">
        <v>45846</v>
      </c>
      <c r="BC246" s="1">
        <v>3.5</v>
      </c>
      <c r="BD246" s="3">
        <v>45846</v>
      </c>
      <c r="BE246" s="1">
        <v>3.5</v>
      </c>
      <c r="BF246" s="3">
        <v>45860</v>
      </c>
      <c r="BG246" s="1">
        <v>3.4950000000000001</v>
      </c>
      <c r="BH246" s="3">
        <v>45860</v>
      </c>
      <c r="BI246" s="1">
        <v>3.4830000000000001</v>
      </c>
      <c r="BJ246" s="3">
        <v>45860</v>
      </c>
      <c r="BK246" s="1">
        <v>3.4649999999999999</v>
      </c>
      <c r="BL246" s="3">
        <v>45860</v>
      </c>
      <c r="BM246" s="1">
        <v>3.4350000000000001</v>
      </c>
      <c r="BN246" s="3">
        <v>45860</v>
      </c>
      <c r="BO246" s="1">
        <v>3.4079999999999999</v>
      </c>
      <c r="BP246" s="3">
        <v>45860</v>
      </c>
      <c r="BQ246" s="1">
        <v>3.4129999999999998</v>
      </c>
      <c r="BR246" s="3">
        <v>45860</v>
      </c>
      <c r="BS246" s="1">
        <v>3.448</v>
      </c>
      <c r="BT246" s="3">
        <v>45860</v>
      </c>
      <c r="BU246" s="1">
        <v>3.488</v>
      </c>
      <c r="BV246" s="3">
        <v>45860</v>
      </c>
      <c r="BW246" s="1">
        <v>3.528</v>
      </c>
      <c r="BY246" s="3">
        <v>45854</v>
      </c>
      <c r="BZ246" s="1">
        <v>6.5</v>
      </c>
      <c r="CA246" s="3">
        <v>45842</v>
      </c>
      <c r="CB246" s="1">
        <v>6.5</v>
      </c>
      <c r="CC246" s="3">
        <v>45860</v>
      </c>
      <c r="CD246" s="1">
        <v>6.4989999999999997</v>
      </c>
      <c r="CE246" s="3">
        <v>45860</v>
      </c>
      <c r="CF246" s="1">
        <v>6.4889999999999999</v>
      </c>
      <c r="CG246" s="3">
        <v>45860</v>
      </c>
      <c r="CH246" s="1">
        <v>6.44</v>
      </c>
      <c r="CI246" s="3">
        <v>45860</v>
      </c>
      <c r="CJ246" s="1">
        <v>6.14</v>
      </c>
      <c r="CK246" s="3">
        <v>45860</v>
      </c>
      <c r="CL246" s="1">
        <v>5.85</v>
      </c>
      <c r="CM246" s="3">
        <v>45860</v>
      </c>
      <c r="CN246" s="1">
        <v>5.57</v>
      </c>
      <c r="CO246" s="3">
        <v>45854</v>
      </c>
      <c r="CP246" s="1">
        <v>5.66</v>
      </c>
      <c r="CQ246" s="3">
        <v>45854</v>
      </c>
      <c r="CR246" s="1">
        <v>5.6550000000000002</v>
      </c>
      <c r="CS246" s="3">
        <v>45854</v>
      </c>
      <c r="CT246" s="1">
        <v>5.65</v>
      </c>
    </row>
    <row r="247" spans="31:98" x14ac:dyDescent="0.2">
      <c r="AE247" s="3">
        <v>45859</v>
      </c>
      <c r="AF247" s="1">
        <v>5</v>
      </c>
      <c r="AG247" s="3">
        <v>45842</v>
      </c>
      <c r="AH247" s="1">
        <v>5.07</v>
      </c>
      <c r="AI247" s="3">
        <v>45859</v>
      </c>
      <c r="AJ247" s="2">
        <v>4.8949999999999996</v>
      </c>
      <c r="AK247" s="3">
        <v>45859</v>
      </c>
      <c r="AL247" s="2">
        <v>4.6900000000000004</v>
      </c>
      <c r="AM247" s="3">
        <v>45859</v>
      </c>
      <c r="AN247" s="2">
        <v>4.54</v>
      </c>
      <c r="AO247" s="3">
        <v>45859</v>
      </c>
      <c r="AP247" s="2">
        <v>4.17</v>
      </c>
      <c r="AQ247" s="3">
        <v>45859</v>
      </c>
      <c r="AR247" s="2">
        <v>3.835</v>
      </c>
      <c r="AS247" s="3">
        <v>45859</v>
      </c>
      <c r="AT247" s="2">
        <v>3.72</v>
      </c>
      <c r="AU247" s="3">
        <v>45859</v>
      </c>
      <c r="AV247" s="2">
        <v>3.7</v>
      </c>
      <c r="AW247" s="3">
        <v>45859</v>
      </c>
      <c r="AX247" s="2">
        <v>3.6974999999999998</v>
      </c>
      <c r="AY247" s="3">
        <v>45859</v>
      </c>
      <c r="AZ247" s="2">
        <v>3.7149999999999999</v>
      </c>
      <c r="BB247" s="3">
        <v>45845</v>
      </c>
      <c r="BC247" s="1">
        <v>3.5</v>
      </c>
      <c r="BD247" s="3">
        <v>45845</v>
      </c>
      <c r="BE247" s="1">
        <v>3.49</v>
      </c>
      <c r="BF247" s="3">
        <v>45859</v>
      </c>
      <c r="BG247" s="1">
        <v>3.4950000000000001</v>
      </c>
      <c r="BH247" s="3">
        <v>45859</v>
      </c>
      <c r="BI247" s="1">
        <v>3.4849999999999999</v>
      </c>
      <c r="BJ247" s="3">
        <v>45859</v>
      </c>
      <c r="BK247" s="1">
        <v>3.4750000000000001</v>
      </c>
      <c r="BL247" s="3">
        <v>45859</v>
      </c>
      <c r="BM247" s="1">
        <v>3.4529999999999998</v>
      </c>
      <c r="BN247" s="3">
        <v>45859</v>
      </c>
      <c r="BO247" s="1">
        <v>3.4279999999999999</v>
      </c>
      <c r="BP247" s="3">
        <v>45859</v>
      </c>
      <c r="BQ247" s="1">
        <v>3.4380000000000002</v>
      </c>
      <c r="BR247" s="3">
        <v>45859</v>
      </c>
      <c r="BS247" s="1">
        <v>3.4780000000000002</v>
      </c>
      <c r="BT247" s="3">
        <v>45859</v>
      </c>
      <c r="BU247" s="1">
        <v>3.5179999999999998</v>
      </c>
      <c r="BV247" s="3">
        <v>45859</v>
      </c>
      <c r="BW247" s="1">
        <v>3.5579999999999998</v>
      </c>
      <c r="BY247" s="3">
        <v>45853</v>
      </c>
      <c r="BZ247" s="1">
        <v>6.5</v>
      </c>
      <c r="CA247" s="3">
        <v>45841</v>
      </c>
      <c r="CB247" s="1">
        <v>6.5</v>
      </c>
      <c r="CC247" s="3">
        <v>45859</v>
      </c>
      <c r="CD247" s="1">
        <v>6.5019999999999998</v>
      </c>
      <c r="CE247" s="3">
        <v>45859</v>
      </c>
      <c r="CF247" s="1">
        <v>6.4909999999999997</v>
      </c>
      <c r="CG247" s="3">
        <v>45859</v>
      </c>
      <c r="CH247" s="1">
        <v>6.45</v>
      </c>
      <c r="CI247" s="3">
        <v>45859</v>
      </c>
      <c r="CJ247" s="1">
        <v>6.13</v>
      </c>
      <c r="CK247" s="3">
        <v>45859</v>
      </c>
      <c r="CL247" s="1">
        <v>5.83</v>
      </c>
      <c r="CM247" s="3">
        <v>45859</v>
      </c>
      <c r="CN247" s="1">
        <v>5.57</v>
      </c>
      <c r="CO247" s="3">
        <v>45853</v>
      </c>
      <c r="CP247" s="1">
        <v>5.66</v>
      </c>
      <c r="CQ247" s="3">
        <v>45853</v>
      </c>
      <c r="CR247" s="1">
        <v>5.67</v>
      </c>
      <c r="CS247" s="3">
        <v>45853</v>
      </c>
      <c r="CT247" s="1">
        <v>5.7</v>
      </c>
    </row>
    <row r="248" spans="31:98" x14ac:dyDescent="0.2">
      <c r="AE248" s="3">
        <v>45856</v>
      </c>
      <c r="AF248" s="1">
        <v>5</v>
      </c>
      <c r="AG248" s="3">
        <v>45841</v>
      </c>
      <c r="AH248" s="1">
        <v>5.09</v>
      </c>
      <c r="AI248" s="3">
        <v>45856</v>
      </c>
      <c r="AJ248" s="2">
        <v>4.9000000000000004</v>
      </c>
      <c r="AK248" s="3">
        <v>45856</v>
      </c>
      <c r="AL248" s="2">
        <v>4.6950000000000003</v>
      </c>
      <c r="AM248" s="3">
        <v>45856</v>
      </c>
      <c r="AN248" s="2">
        <v>4.55</v>
      </c>
      <c r="AO248" s="3">
        <v>45856</v>
      </c>
      <c r="AP248" s="2">
        <v>4.1974999999999998</v>
      </c>
      <c r="AQ248" s="3">
        <v>45856</v>
      </c>
      <c r="AR248" s="2">
        <v>3.86</v>
      </c>
      <c r="AS248" s="3">
        <v>45856</v>
      </c>
      <c r="AT248" s="2">
        <v>3.7475000000000001</v>
      </c>
      <c r="AU248" s="3">
        <v>45856</v>
      </c>
      <c r="AV248" s="2">
        <v>3.7275</v>
      </c>
      <c r="AW248" s="3">
        <v>45856</v>
      </c>
      <c r="AX248" s="2">
        <v>3.7250000000000001</v>
      </c>
      <c r="AY248" s="3">
        <v>45856</v>
      </c>
      <c r="AZ248" s="2">
        <v>3.7425000000000002</v>
      </c>
      <c r="BB248" s="3">
        <v>45842</v>
      </c>
      <c r="BC248" s="1">
        <v>3.5</v>
      </c>
      <c r="BD248" s="3">
        <v>45842</v>
      </c>
      <c r="BE248" s="1">
        <v>3.49</v>
      </c>
      <c r="BF248" s="3">
        <v>45856</v>
      </c>
      <c r="BG248" s="1">
        <v>3.5</v>
      </c>
      <c r="BH248" s="3">
        <v>45856</v>
      </c>
      <c r="BI248" s="1">
        <v>3.496</v>
      </c>
      <c r="BJ248" s="3">
        <v>45856</v>
      </c>
      <c r="BK248" s="1">
        <v>3.49</v>
      </c>
      <c r="BL248" s="3">
        <v>45856</v>
      </c>
      <c r="BM248" s="1">
        <v>3.48</v>
      </c>
      <c r="BN248" s="3">
        <v>45856</v>
      </c>
      <c r="BO248" s="1">
        <v>3.47</v>
      </c>
      <c r="BP248" s="3">
        <v>45856</v>
      </c>
      <c r="BQ248" s="1">
        <v>3.4830000000000001</v>
      </c>
      <c r="BR248" s="3">
        <v>45856</v>
      </c>
      <c r="BS248" s="1">
        <v>3.5350000000000001</v>
      </c>
      <c r="BT248" s="3">
        <v>45856</v>
      </c>
      <c r="BU248" s="1">
        <v>3.59</v>
      </c>
      <c r="BV248" s="3">
        <v>45856</v>
      </c>
      <c r="BW248" s="1">
        <v>3.63</v>
      </c>
      <c r="BY248" s="3">
        <v>45849</v>
      </c>
      <c r="BZ248" s="1">
        <v>6.5</v>
      </c>
      <c r="CA248" s="3">
        <v>45840</v>
      </c>
      <c r="CB248" s="1">
        <v>6.5</v>
      </c>
      <c r="CC248" s="3">
        <v>45856</v>
      </c>
      <c r="CD248" s="1">
        <v>6.5049999999999999</v>
      </c>
      <c r="CE248" s="3">
        <v>45856</v>
      </c>
      <c r="CF248" s="1">
        <v>6.4950000000000001</v>
      </c>
      <c r="CG248" s="3">
        <v>45856</v>
      </c>
      <c r="CH248" s="1">
        <v>6.46</v>
      </c>
      <c r="CI248" s="3">
        <v>45856</v>
      </c>
      <c r="CJ248" s="1">
        <v>6.17</v>
      </c>
      <c r="CK248" s="3">
        <v>45856</v>
      </c>
      <c r="CL248" s="1">
        <v>5.88</v>
      </c>
      <c r="CM248" s="3">
        <v>45856</v>
      </c>
      <c r="CN248" s="1">
        <v>5.63</v>
      </c>
      <c r="CO248" s="3">
        <v>45852</v>
      </c>
      <c r="CP248" s="1">
        <v>5.66</v>
      </c>
      <c r="CQ248" s="3">
        <v>45852</v>
      </c>
      <c r="CR248" s="1">
        <v>5.67</v>
      </c>
      <c r="CS248" s="3">
        <v>45852</v>
      </c>
      <c r="CT248" s="1">
        <v>5.68</v>
      </c>
    </row>
    <row r="249" spans="31:98" x14ac:dyDescent="0.2">
      <c r="AE249" s="3">
        <v>45855</v>
      </c>
      <c r="AF249" s="1">
        <v>5</v>
      </c>
      <c r="AG249" s="3">
        <v>45840</v>
      </c>
      <c r="AH249" s="1">
        <v>5.23</v>
      </c>
      <c r="AI249" s="3">
        <v>45855</v>
      </c>
      <c r="AJ249" s="2">
        <v>4.92</v>
      </c>
      <c r="AK249" s="3">
        <v>45855</v>
      </c>
      <c r="AL249" s="2">
        <v>4.7149999999999999</v>
      </c>
      <c r="AM249" s="3">
        <v>45855</v>
      </c>
      <c r="AN249" s="2">
        <v>4.5750000000000002</v>
      </c>
      <c r="AO249" s="3">
        <v>45855</v>
      </c>
      <c r="AP249" s="2">
        <v>4.2249999999999996</v>
      </c>
      <c r="AQ249" s="3">
        <v>45855</v>
      </c>
      <c r="AR249" s="2">
        <v>3.88</v>
      </c>
      <c r="AS249" s="3">
        <v>45855</v>
      </c>
      <c r="AT249" s="2">
        <v>3.77</v>
      </c>
      <c r="AU249" s="3">
        <v>45855</v>
      </c>
      <c r="AV249" s="2">
        <v>3.7475000000000001</v>
      </c>
      <c r="AW249" s="3">
        <v>45855</v>
      </c>
      <c r="AX249" s="2">
        <v>3.7425000000000002</v>
      </c>
      <c r="AY249" s="3">
        <v>45855</v>
      </c>
      <c r="AZ249" s="2">
        <v>3.7574999999999998</v>
      </c>
      <c r="BB249" s="3">
        <v>45841</v>
      </c>
      <c r="BC249" s="1">
        <v>3.5</v>
      </c>
      <c r="BD249" s="3">
        <v>45841</v>
      </c>
      <c r="BE249" s="1">
        <v>3.5</v>
      </c>
      <c r="BF249" s="3">
        <v>45855</v>
      </c>
      <c r="BG249" s="1">
        <v>3.5</v>
      </c>
      <c r="BH249" s="3">
        <v>45855</v>
      </c>
      <c r="BI249" s="1">
        <v>3.4980000000000002</v>
      </c>
      <c r="BJ249" s="3">
        <v>45855</v>
      </c>
      <c r="BK249" s="1">
        <v>3.4950000000000001</v>
      </c>
      <c r="BL249" s="3">
        <v>45855</v>
      </c>
      <c r="BM249" s="1">
        <v>3.4849999999999999</v>
      </c>
      <c r="BN249" s="3">
        <v>45855</v>
      </c>
      <c r="BO249" s="1">
        <v>3.48</v>
      </c>
      <c r="BP249" s="3">
        <v>45855</v>
      </c>
      <c r="BQ249" s="1">
        <v>3.488</v>
      </c>
      <c r="BR249" s="3">
        <v>45855</v>
      </c>
      <c r="BS249" s="1">
        <v>3.5379999999999998</v>
      </c>
      <c r="BT249" s="3">
        <v>45855</v>
      </c>
      <c r="BU249" s="1">
        <v>3.59</v>
      </c>
      <c r="BV249" s="3">
        <v>45855</v>
      </c>
      <c r="BW249" s="1">
        <v>3.63</v>
      </c>
      <c r="BY249" s="3">
        <v>45848</v>
      </c>
      <c r="BZ249" s="1">
        <v>6.5</v>
      </c>
      <c r="CA249" s="3">
        <v>45839</v>
      </c>
      <c r="CB249" s="1">
        <v>6.5</v>
      </c>
      <c r="CC249" s="3">
        <v>45855</v>
      </c>
      <c r="CD249" s="1">
        <v>6.5110000000000001</v>
      </c>
      <c r="CE249" s="3">
        <v>45855</v>
      </c>
      <c r="CF249" s="1">
        <v>6.5010000000000003</v>
      </c>
      <c r="CG249" s="3">
        <v>45855</v>
      </c>
      <c r="CH249" s="1">
        <v>6.47</v>
      </c>
      <c r="CI249" s="3">
        <v>45855</v>
      </c>
      <c r="CJ249" s="1">
        <v>6.2</v>
      </c>
      <c r="CK249" s="3">
        <v>45855</v>
      </c>
      <c r="CL249" s="1">
        <v>5.93</v>
      </c>
      <c r="CM249" s="3">
        <v>45855</v>
      </c>
      <c r="CN249" s="1">
        <v>5.6849999999999996</v>
      </c>
      <c r="CO249" s="3">
        <v>45849</v>
      </c>
      <c r="CP249" s="1">
        <v>5.6150000000000002</v>
      </c>
      <c r="CQ249" s="3">
        <v>45849</v>
      </c>
      <c r="CR249" s="1">
        <v>5.6150000000000002</v>
      </c>
      <c r="CS249" s="3">
        <v>45849</v>
      </c>
      <c r="CT249" s="1">
        <v>5.625</v>
      </c>
    </row>
    <row r="250" spans="31:98" x14ac:dyDescent="0.2">
      <c r="AE250" s="3">
        <v>45854</v>
      </c>
      <c r="AF250" s="1">
        <v>5</v>
      </c>
      <c r="AG250" s="3">
        <v>45839</v>
      </c>
      <c r="AH250" s="1">
        <v>5.24</v>
      </c>
      <c r="AI250" s="3">
        <v>45854</v>
      </c>
      <c r="AJ250" s="2">
        <v>4.9225000000000003</v>
      </c>
      <c r="AK250" s="3">
        <v>45854</v>
      </c>
      <c r="AL250" s="2">
        <v>4.7149999999999999</v>
      </c>
      <c r="AM250" s="3">
        <v>45854</v>
      </c>
      <c r="AN250" s="2">
        <v>4.585</v>
      </c>
      <c r="AO250" s="3">
        <v>45854</v>
      </c>
      <c r="AP250" s="2">
        <v>4.2175000000000002</v>
      </c>
      <c r="AQ250" s="3">
        <v>45854</v>
      </c>
      <c r="AR250" s="2">
        <v>3.88</v>
      </c>
      <c r="AS250" s="3">
        <v>45854</v>
      </c>
      <c r="AT250" s="2">
        <v>3.74</v>
      </c>
      <c r="AU250" s="3">
        <v>45854</v>
      </c>
      <c r="AV250" s="2">
        <v>3.72</v>
      </c>
      <c r="AW250" s="3">
        <v>45854</v>
      </c>
      <c r="AX250" s="2">
        <v>3.7149999999999999</v>
      </c>
      <c r="AY250" s="3">
        <v>45854</v>
      </c>
      <c r="AZ250" s="2">
        <v>3.73</v>
      </c>
      <c r="BB250" s="3">
        <v>45840</v>
      </c>
      <c r="BC250" s="1">
        <v>3.5</v>
      </c>
      <c r="BD250" s="3">
        <v>45840</v>
      </c>
      <c r="BE250" s="1">
        <v>3.5</v>
      </c>
      <c r="BF250" s="3">
        <v>45854</v>
      </c>
      <c r="BG250" s="1">
        <v>3.49</v>
      </c>
      <c r="BH250" s="3">
        <v>45854</v>
      </c>
      <c r="BI250" s="1">
        <v>3.488</v>
      </c>
      <c r="BJ250" s="3">
        <v>45854</v>
      </c>
      <c r="BK250" s="1">
        <v>3.48</v>
      </c>
      <c r="BL250" s="3">
        <v>45854</v>
      </c>
      <c r="BM250" s="1">
        <v>3.4630000000000001</v>
      </c>
      <c r="BN250" s="3">
        <v>45854</v>
      </c>
      <c r="BO250" s="1">
        <v>3.45</v>
      </c>
      <c r="BP250" s="3">
        <v>45854</v>
      </c>
      <c r="BQ250" s="1">
        <v>3.4550000000000001</v>
      </c>
      <c r="BR250" s="3">
        <v>45854</v>
      </c>
      <c r="BS250" s="1">
        <v>3.488</v>
      </c>
      <c r="BT250" s="3">
        <v>45854</v>
      </c>
      <c r="BU250" s="1">
        <v>3.5249999999999999</v>
      </c>
      <c r="BV250" s="3">
        <v>45854</v>
      </c>
      <c r="BW250" s="1">
        <v>3.5630000000000002</v>
      </c>
      <c r="BY250" s="3">
        <v>45847</v>
      </c>
      <c r="BZ250" s="1">
        <v>6.5</v>
      </c>
      <c r="CA250" s="3">
        <v>45838</v>
      </c>
      <c r="CB250" s="1">
        <v>6.5</v>
      </c>
      <c r="CC250" s="3">
        <v>45854</v>
      </c>
      <c r="CD250" s="1">
        <v>6.5090000000000003</v>
      </c>
      <c r="CE250" s="3">
        <v>45854</v>
      </c>
      <c r="CF250" s="1">
        <v>6.5069999999999997</v>
      </c>
      <c r="CG250" s="3">
        <v>45854</v>
      </c>
      <c r="CH250" s="1">
        <v>6.48</v>
      </c>
      <c r="CI250" s="3">
        <v>45854</v>
      </c>
      <c r="CJ250" s="1">
        <v>6.23</v>
      </c>
      <c r="CK250" s="3">
        <v>45854</v>
      </c>
      <c r="CL250" s="1">
        <v>5.97</v>
      </c>
      <c r="CM250" s="3">
        <v>45854</v>
      </c>
      <c r="CN250" s="1">
        <v>5.71</v>
      </c>
      <c r="CO250" s="3">
        <v>45848</v>
      </c>
      <c r="CP250" s="1">
        <v>5.59</v>
      </c>
      <c r="CQ250" s="3">
        <v>45848</v>
      </c>
      <c r="CR250" s="1">
        <v>5.57</v>
      </c>
      <c r="CS250" s="3">
        <v>45848</v>
      </c>
      <c r="CT250" s="1">
        <v>5.57</v>
      </c>
    </row>
    <row r="251" spans="31:98" x14ac:dyDescent="0.2">
      <c r="AE251" s="3">
        <v>45853</v>
      </c>
      <c r="AF251" s="1">
        <v>5</v>
      </c>
      <c r="AG251" s="3">
        <v>45838</v>
      </c>
      <c r="AH251" s="1">
        <v>5.23</v>
      </c>
      <c r="AI251" s="3">
        <v>45853</v>
      </c>
      <c r="AJ251" s="2">
        <v>4.9325000000000001</v>
      </c>
      <c r="AK251" s="3">
        <v>45853</v>
      </c>
      <c r="AL251" s="2">
        <v>4.7149999999999999</v>
      </c>
      <c r="AM251" s="3">
        <v>45853</v>
      </c>
      <c r="AN251" s="2">
        <v>4.58</v>
      </c>
      <c r="AO251" s="3">
        <v>45853</v>
      </c>
      <c r="AP251" s="2">
        <v>4.1924999999999999</v>
      </c>
      <c r="AQ251" s="3">
        <v>45853</v>
      </c>
      <c r="AR251" s="2">
        <v>3.8574999999999999</v>
      </c>
      <c r="AS251" s="3">
        <v>45853</v>
      </c>
      <c r="AT251" s="2">
        <v>3.7</v>
      </c>
      <c r="AU251" s="3">
        <v>45853</v>
      </c>
      <c r="AV251" s="2">
        <v>3.6749999999999998</v>
      </c>
      <c r="AW251" s="3">
        <v>45853</v>
      </c>
      <c r="AX251" s="2">
        <v>3.665</v>
      </c>
      <c r="AY251" s="3">
        <v>45853</v>
      </c>
      <c r="AZ251" s="2">
        <v>3.68</v>
      </c>
      <c r="BB251" s="3">
        <v>45839</v>
      </c>
      <c r="BC251" s="1">
        <v>3.5</v>
      </c>
      <c r="BD251" s="3">
        <v>45839</v>
      </c>
      <c r="BE251" s="1">
        <v>3.5</v>
      </c>
      <c r="BF251" s="3">
        <v>45853</v>
      </c>
      <c r="BG251" s="1">
        <v>3.4849999999999999</v>
      </c>
      <c r="BH251" s="3">
        <v>45853</v>
      </c>
      <c r="BI251" s="1">
        <v>3.4950000000000001</v>
      </c>
      <c r="BJ251" s="3">
        <v>45853</v>
      </c>
      <c r="BK251" s="1">
        <v>3.49</v>
      </c>
      <c r="BL251" s="3">
        <v>45853</v>
      </c>
      <c r="BM251" s="1">
        <v>3.4849999999999999</v>
      </c>
      <c r="BN251" s="3">
        <v>45853</v>
      </c>
      <c r="BO251" s="1">
        <v>3.47</v>
      </c>
      <c r="BP251" s="3">
        <v>45853</v>
      </c>
      <c r="BQ251" s="1">
        <v>3.4630000000000001</v>
      </c>
      <c r="BR251" s="3">
        <v>45853</v>
      </c>
      <c r="BS251" s="1">
        <v>3.4980000000000002</v>
      </c>
      <c r="BT251" s="3">
        <v>45853</v>
      </c>
      <c r="BU251" s="1">
        <v>3.5350000000000001</v>
      </c>
      <c r="BV251" s="3">
        <v>45853</v>
      </c>
      <c r="BW251" s="1">
        <v>3.5750000000000002</v>
      </c>
      <c r="BY251" s="3">
        <v>45846</v>
      </c>
      <c r="BZ251" s="1">
        <v>6.5</v>
      </c>
      <c r="CA251" s="3">
        <v>45835</v>
      </c>
      <c r="CB251" s="1">
        <v>6.5</v>
      </c>
      <c r="CC251" s="3">
        <v>45853</v>
      </c>
      <c r="CD251" s="1">
        <v>6.51</v>
      </c>
      <c r="CE251" s="3">
        <v>45853</v>
      </c>
      <c r="CF251" s="1">
        <v>6.5090000000000003</v>
      </c>
      <c r="CG251" s="3">
        <v>45853</v>
      </c>
      <c r="CH251" s="1">
        <v>6.49</v>
      </c>
      <c r="CI251" s="3">
        <v>45853</v>
      </c>
      <c r="CJ251" s="1">
        <v>6.27</v>
      </c>
      <c r="CK251" s="3">
        <v>45853</v>
      </c>
      <c r="CL251" s="1">
        <v>6</v>
      </c>
      <c r="CM251" s="3">
        <v>45853</v>
      </c>
      <c r="CN251" s="1">
        <v>5.73</v>
      </c>
      <c r="CO251" s="3">
        <v>45847</v>
      </c>
      <c r="CP251" s="1">
        <v>5.52</v>
      </c>
      <c r="CQ251" s="3">
        <v>45847</v>
      </c>
      <c r="CR251" s="1">
        <v>5.49</v>
      </c>
      <c r="CS251" s="3">
        <v>45847</v>
      </c>
      <c r="CT251" s="1">
        <v>5.49</v>
      </c>
    </row>
    <row r="252" spans="31:98" x14ac:dyDescent="0.2">
      <c r="AE252" s="3">
        <v>45852</v>
      </c>
      <c r="AF252" s="1">
        <v>5</v>
      </c>
      <c r="AG252" s="3">
        <v>45835</v>
      </c>
      <c r="AH252" s="1">
        <v>5.24</v>
      </c>
      <c r="AI252" s="3">
        <v>45852</v>
      </c>
      <c r="AJ252" s="2">
        <v>4.9450000000000003</v>
      </c>
      <c r="AK252" s="3">
        <v>45852</v>
      </c>
      <c r="AL252" s="2">
        <v>4.72</v>
      </c>
      <c r="AM252" s="3">
        <v>45852</v>
      </c>
      <c r="AN252" s="2">
        <v>4.5674999999999999</v>
      </c>
      <c r="AO252" s="3">
        <v>45852</v>
      </c>
      <c r="AP252" s="2">
        <v>4.2</v>
      </c>
      <c r="AQ252" s="3">
        <v>45852</v>
      </c>
      <c r="AR252" s="2">
        <v>3.85</v>
      </c>
      <c r="AS252" s="3">
        <v>45852</v>
      </c>
      <c r="AT252" s="2">
        <v>3.69</v>
      </c>
      <c r="AU252" s="3">
        <v>45852</v>
      </c>
      <c r="AV252" s="2">
        <v>3.66</v>
      </c>
      <c r="AW252" s="3">
        <v>45852</v>
      </c>
      <c r="AX252" s="2">
        <v>3.6475</v>
      </c>
      <c r="AY252" s="3">
        <v>45852</v>
      </c>
      <c r="AZ252" s="2">
        <v>3.6625000000000001</v>
      </c>
      <c r="BB252" s="3">
        <v>45838</v>
      </c>
      <c r="BC252" s="1">
        <v>3.5</v>
      </c>
      <c r="BD252" s="3">
        <v>45838</v>
      </c>
      <c r="BE252" s="1">
        <v>3.49</v>
      </c>
      <c r="BF252" s="3">
        <v>45852</v>
      </c>
      <c r="BG252" s="1">
        <v>3.4849999999999999</v>
      </c>
      <c r="BH252" s="3">
        <v>45852</v>
      </c>
      <c r="BI252" s="1">
        <v>3.4729999999999999</v>
      </c>
      <c r="BJ252" s="3">
        <v>45852</v>
      </c>
      <c r="BK252" s="1">
        <v>3.47</v>
      </c>
      <c r="BL252" s="3">
        <v>45852</v>
      </c>
      <c r="BM252" s="1">
        <v>3.4279999999999999</v>
      </c>
      <c r="BN252" s="3">
        <v>45852</v>
      </c>
      <c r="BO252" s="1">
        <v>3.403</v>
      </c>
      <c r="BP252" s="3">
        <v>45852</v>
      </c>
      <c r="BQ252" s="1">
        <v>3.4</v>
      </c>
      <c r="BR252" s="3">
        <v>45852</v>
      </c>
      <c r="BS252" s="1">
        <v>3.4350000000000001</v>
      </c>
      <c r="BT252" s="3">
        <v>45852</v>
      </c>
      <c r="BU252" s="1">
        <v>3.46</v>
      </c>
      <c r="BV252" s="3">
        <v>45852</v>
      </c>
      <c r="BW252" s="1">
        <v>3.49</v>
      </c>
      <c r="BY252" s="3">
        <v>45845</v>
      </c>
      <c r="BZ252" s="1">
        <v>6.5</v>
      </c>
      <c r="CA252" s="3">
        <v>45834</v>
      </c>
      <c r="CB252" s="1">
        <v>6.5</v>
      </c>
      <c r="CC252" s="3">
        <v>45852</v>
      </c>
      <c r="CD252" s="1">
        <v>6.51</v>
      </c>
      <c r="CE252" s="3">
        <v>45852</v>
      </c>
      <c r="CF252" s="1">
        <v>6.51</v>
      </c>
      <c r="CG252" s="3">
        <v>45852</v>
      </c>
      <c r="CH252" s="1">
        <v>6.48</v>
      </c>
      <c r="CI252" s="3">
        <v>45852</v>
      </c>
      <c r="CJ252" s="1">
        <v>6.25</v>
      </c>
      <c r="CK252" s="3">
        <v>45852</v>
      </c>
      <c r="CL252" s="1">
        <v>5.98</v>
      </c>
      <c r="CM252" s="3">
        <v>45852</v>
      </c>
      <c r="CN252" s="1">
        <v>5.72</v>
      </c>
      <c r="CO252" s="3">
        <v>45846</v>
      </c>
      <c r="CP252" s="1">
        <v>5.49</v>
      </c>
      <c r="CQ252" s="3">
        <v>45846</v>
      </c>
      <c r="CR252" s="1">
        <v>5.47</v>
      </c>
      <c r="CS252" s="3">
        <v>45846</v>
      </c>
      <c r="CT252" s="1">
        <v>5.48</v>
      </c>
    </row>
    <row r="253" spans="31:98" x14ac:dyDescent="0.2">
      <c r="AE253" s="3">
        <v>45849</v>
      </c>
      <c r="AF253" s="1">
        <v>5</v>
      </c>
      <c r="AG253" s="3">
        <v>45834</v>
      </c>
      <c r="AH253" s="1">
        <v>5.22</v>
      </c>
      <c r="AI253" s="3">
        <v>45849</v>
      </c>
      <c r="AJ253" s="2">
        <v>4.9450000000000003</v>
      </c>
      <c r="AK253" s="3">
        <v>45849</v>
      </c>
      <c r="AL253" s="2">
        <v>4.72</v>
      </c>
      <c r="AM253" s="3">
        <v>45849</v>
      </c>
      <c r="AN253" s="2">
        <v>4.5674999999999999</v>
      </c>
      <c r="AO253" s="3">
        <v>45849</v>
      </c>
      <c r="AP253" s="2">
        <v>4.2</v>
      </c>
      <c r="AQ253" s="3">
        <v>45849</v>
      </c>
      <c r="AR253" s="2">
        <v>3.8424999999999998</v>
      </c>
      <c r="AS253" s="3">
        <v>45849</v>
      </c>
      <c r="AT253" s="2">
        <v>3.68</v>
      </c>
      <c r="AU253" s="3">
        <v>45849</v>
      </c>
      <c r="AV253" s="2">
        <v>3.6524999999999999</v>
      </c>
      <c r="AW253" s="3">
        <v>45849</v>
      </c>
      <c r="AX253" s="2">
        <v>3.6324999999999998</v>
      </c>
      <c r="AY253" s="3">
        <v>45849</v>
      </c>
      <c r="AZ253" s="2">
        <v>3.6425000000000001</v>
      </c>
      <c r="BB253" s="3">
        <v>45835</v>
      </c>
      <c r="BC253" s="1">
        <v>3.5</v>
      </c>
      <c r="BD253" s="3">
        <v>45835</v>
      </c>
      <c r="BE253" s="1">
        <v>3.5</v>
      </c>
      <c r="BF253" s="3">
        <v>45849</v>
      </c>
      <c r="BG253" s="1">
        <v>3.4849999999999999</v>
      </c>
      <c r="BH253" s="3">
        <v>45849</v>
      </c>
      <c r="BI253" s="1">
        <v>3.4750000000000001</v>
      </c>
      <c r="BJ253" s="3">
        <v>45849</v>
      </c>
      <c r="BK253" s="1">
        <v>3.46</v>
      </c>
      <c r="BL253" s="3">
        <v>45849</v>
      </c>
      <c r="BM253" s="1">
        <v>3.4180000000000001</v>
      </c>
      <c r="BN253" s="3">
        <v>45849</v>
      </c>
      <c r="BO253" s="1">
        <v>3.3879999999999999</v>
      </c>
      <c r="BP253" s="3">
        <v>45849</v>
      </c>
      <c r="BQ253" s="1">
        <v>3.3849999999999998</v>
      </c>
      <c r="BR253" s="3">
        <v>45849</v>
      </c>
      <c r="BS253" s="1">
        <v>3.4129999999999998</v>
      </c>
      <c r="BT253" s="3">
        <v>45849</v>
      </c>
      <c r="BU253" s="1">
        <v>3.4430000000000001</v>
      </c>
      <c r="BV253" s="3">
        <v>45849</v>
      </c>
      <c r="BW253" s="1">
        <v>3.47</v>
      </c>
      <c r="BY253" s="3">
        <v>45842</v>
      </c>
      <c r="BZ253" s="1">
        <v>6.5</v>
      </c>
      <c r="CA253" s="3">
        <v>45833</v>
      </c>
      <c r="CB253" s="1">
        <v>6.5</v>
      </c>
      <c r="CC253" s="3">
        <v>45849</v>
      </c>
      <c r="CD253" s="1">
        <v>6.5010000000000003</v>
      </c>
      <c r="CE253" s="3">
        <v>45849</v>
      </c>
      <c r="CF253" s="1">
        <v>6.5010000000000003</v>
      </c>
      <c r="CG253" s="3">
        <v>45849</v>
      </c>
      <c r="CH253" s="1">
        <v>6.48</v>
      </c>
      <c r="CI253" s="3">
        <v>45849</v>
      </c>
      <c r="CJ253" s="1">
        <v>6.23</v>
      </c>
      <c r="CK253" s="3">
        <v>45849</v>
      </c>
      <c r="CL253" s="1">
        <v>5.95</v>
      </c>
      <c r="CM253" s="3">
        <v>45849</v>
      </c>
      <c r="CN253" s="1">
        <v>5.6749999999999998</v>
      </c>
      <c r="CO253" s="3">
        <v>45845</v>
      </c>
      <c r="CP253" s="1">
        <v>5.44</v>
      </c>
      <c r="CQ253" s="3">
        <v>45845</v>
      </c>
      <c r="CR253" s="1">
        <v>5.42</v>
      </c>
      <c r="CS253" s="3">
        <v>45845</v>
      </c>
      <c r="CT253" s="1">
        <v>5.43</v>
      </c>
    </row>
    <row r="254" spans="31:98" x14ac:dyDescent="0.2">
      <c r="AE254" s="3">
        <v>45848</v>
      </c>
      <c r="AF254" s="1">
        <v>5</v>
      </c>
      <c r="AG254" s="3">
        <v>45833</v>
      </c>
      <c r="AH254" s="1">
        <v>5.24</v>
      </c>
      <c r="AI254" s="3">
        <v>45848</v>
      </c>
      <c r="AJ254" s="2">
        <v>4.9450000000000003</v>
      </c>
      <c r="AK254" s="3">
        <v>45848</v>
      </c>
      <c r="AL254" s="2">
        <v>4.7149999999999999</v>
      </c>
      <c r="AM254" s="3">
        <v>45848</v>
      </c>
      <c r="AN254" s="2">
        <v>4.5549999999999997</v>
      </c>
      <c r="AO254" s="3">
        <v>45848</v>
      </c>
      <c r="AP254" s="2">
        <v>4.2</v>
      </c>
      <c r="AQ254" s="3">
        <v>45848</v>
      </c>
      <c r="AR254" s="2">
        <v>3.835</v>
      </c>
      <c r="AS254" s="3">
        <v>45848</v>
      </c>
      <c r="AT254" s="2">
        <v>3.6749999999999998</v>
      </c>
      <c r="AU254" s="3">
        <v>45848</v>
      </c>
      <c r="AV254" s="2">
        <v>3.645</v>
      </c>
      <c r="AW254" s="3">
        <v>45848</v>
      </c>
      <c r="AX254" s="2">
        <v>3.63</v>
      </c>
      <c r="AY254" s="3">
        <v>45848</v>
      </c>
      <c r="AZ254" s="2">
        <v>3.6425000000000001</v>
      </c>
      <c r="BB254" s="3">
        <v>45834</v>
      </c>
      <c r="BC254" s="1">
        <v>3.5</v>
      </c>
      <c r="BD254" s="3">
        <v>45834</v>
      </c>
      <c r="BE254" s="1">
        <v>3.5</v>
      </c>
      <c r="BF254" s="3">
        <v>45848</v>
      </c>
      <c r="BG254" s="1">
        <v>3.4849999999999999</v>
      </c>
      <c r="BH254" s="3">
        <v>45848</v>
      </c>
      <c r="BI254" s="1">
        <v>3.4780000000000002</v>
      </c>
      <c r="BJ254" s="3">
        <v>45848</v>
      </c>
      <c r="BK254" s="1">
        <v>3.45</v>
      </c>
      <c r="BL254" s="3">
        <v>45848</v>
      </c>
      <c r="BM254" s="1">
        <v>3.41</v>
      </c>
      <c r="BN254" s="3">
        <v>45848</v>
      </c>
      <c r="BO254" s="1">
        <v>3.383</v>
      </c>
      <c r="BP254" s="3">
        <v>45848</v>
      </c>
      <c r="BQ254" s="1">
        <v>3.375</v>
      </c>
      <c r="BR254" s="3">
        <v>45848</v>
      </c>
      <c r="BS254" s="1">
        <v>3.4</v>
      </c>
      <c r="BT254" s="3">
        <v>45848</v>
      </c>
      <c r="BU254" s="1">
        <v>3.4180000000000001</v>
      </c>
      <c r="BV254" s="3">
        <v>45848</v>
      </c>
      <c r="BW254" s="1">
        <v>3.4380000000000002</v>
      </c>
      <c r="BY254" s="3">
        <v>45841</v>
      </c>
      <c r="BZ254" s="1">
        <v>6.5</v>
      </c>
      <c r="CA254" s="3">
        <v>45832</v>
      </c>
      <c r="CB254" s="1">
        <v>6.5</v>
      </c>
      <c r="CC254" s="3">
        <v>45848</v>
      </c>
      <c r="CD254" s="1">
        <v>6.4989999999999997</v>
      </c>
      <c r="CE254" s="3">
        <v>45848</v>
      </c>
      <c r="CF254" s="1">
        <v>6.4989999999999997</v>
      </c>
      <c r="CG254" s="3">
        <v>45848</v>
      </c>
      <c r="CH254" s="1">
        <v>6.47</v>
      </c>
      <c r="CI254" s="3">
        <v>45848</v>
      </c>
      <c r="CJ254" s="1">
        <v>6.23</v>
      </c>
      <c r="CK254" s="3">
        <v>45848</v>
      </c>
      <c r="CL254" s="1">
        <v>5.91</v>
      </c>
      <c r="CM254" s="3">
        <v>45848</v>
      </c>
      <c r="CN254" s="1">
        <v>5.66</v>
      </c>
      <c r="CO254" s="3">
        <v>45842</v>
      </c>
      <c r="CP254" s="1">
        <v>5.44</v>
      </c>
      <c r="CQ254" s="3">
        <v>45842</v>
      </c>
      <c r="CR254" s="1">
        <v>5.42</v>
      </c>
      <c r="CS254" s="3">
        <v>45842</v>
      </c>
      <c r="CT254" s="1">
        <v>5.45</v>
      </c>
    </row>
    <row r="255" spans="31:98" x14ac:dyDescent="0.2">
      <c r="AE255" s="3">
        <v>45847</v>
      </c>
      <c r="AF255" s="1">
        <v>5</v>
      </c>
      <c r="AG255" s="3">
        <v>45832</v>
      </c>
      <c r="AH255" s="1">
        <v>5.22</v>
      </c>
      <c r="AI255" s="3">
        <v>45847</v>
      </c>
      <c r="AJ255" s="2">
        <v>4.9375</v>
      </c>
      <c r="AK255" s="3">
        <v>45847</v>
      </c>
      <c r="AL255" s="2">
        <v>4.7</v>
      </c>
      <c r="AM255" s="3">
        <v>45847</v>
      </c>
      <c r="AN255" s="2">
        <v>4.55</v>
      </c>
      <c r="AO255" s="3">
        <v>45847</v>
      </c>
      <c r="AP255" s="2">
        <v>4.2074999999999996</v>
      </c>
      <c r="AQ255" s="3">
        <v>45847</v>
      </c>
      <c r="AR255" s="2">
        <v>3.85</v>
      </c>
      <c r="AS255" s="3">
        <v>45847</v>
      </c>
      <c r="AT255" s="2">
        <v>3.6825000000000001</v>
      </c>
      <c r="AU255" s="3">
        <v>45847</v>
      </c>
      <c r="AV255" s="2">
        <v>3.6549999999999998</v>
      </c>
      <c r="AW255" s="3">
        <v>45847</v>
      </c>
      <c r="AX255" s="2">
        <v>3.6349999999999998</v>
      </c>
      <c r="AY255" s="3">
        <v>45847</v>
      </c>
      <c r="AZ255" s="2">
        <v>3.6475</v>
      </c>
      <c r="BB255" s="3">
        <v>45833</v>
      </c>
      <c r="BC255" s="1">
        <v>3.5</v>
      </c>
      <c r="BD255" s="3">
        <v>45833</v>
      </c>
      <c r="BE255" s="1">
        <v>3.5</v>
      </c>
      <c r="BF255" s="3">
        <v>45847</v>
      </c>
      <c r="BG255" s="1">
        <v>3.5049999999999999</v>
      </c>
      <c r="BH255" s="3">
        <v>45847</v>
      </c>
      <c r="BI255" s="1">
        <v>3.48</v>
      </c>
      <c r="BJ255" s="3">
        <v>45847</v>
      </c>
      <c r="BK255" s="1">
        <v>3.4550000000000001</v>
      </c>
      <c r="BL255" s="3">
        <v>45847</v>
      </c>
      <c r="BM255" s="1">
        <v>3.4180000000000001</v>
      </c>
      <c r="BN255" s="3">
        <v>45847</v>
      </c>
      <c r="BO255" s="1">
        <v>3.375</v>
      </c>
      <c r="BP255" s="3">
        <v>45847</v>
      </c>
      <c r="BQ255" s="1">
        <v>3.37</v>
      </c>
      <c r="BR255" s="3">
        <v>45847</v>
      </c>
      <c r="BS255" s="1">
        <v>3.3849999999999998</v>
      </c>
      <c r="BT255" s="3">
        <v>45847</v>
      </c>
      <c r="BU255" s="1">
        <v>3.403</v>
      </c>
      <c r="BV255" s="3">
        <v>45847</v>
      </c>
      <c r="BW255" s="1">
        <v>3.4350000000000001</v>
      </c>
      <c r="BY255" s="3">
        <v>45840</v>
      </c>
      <c r="BZ255" s="1">
        <v>6.5</v>
      </c>
      <c r="CA255" s="3">
        <v>45831</v>
      </c>
      <c r="CB255" s="1">
        <v>6.5</v>
      </c>
      <c r="CC255" s="3">
        <v>45847</v>
      </c>
      <c r="CD255" s="1">
        <v>6.4989999999999997</v>
      </c>
      <c r="CE255" s="3">
        <v>45847</v>
      </c>
      <c r="CF255" s="1">
        <v>6.4939999999999998</v>
      </c>
      <c r="CG255" s="3">
        <v>45847</v>
      </c>
      <c r="CH255" s="1">
        <v>6.45</v>
      </c>
      <c r="CI255" s="3">
        <v>45847</v>
      </c>
      <c r="CJ255" s="1">
        <v>6.2</v>
      </c>
      <c r="CK255" s="3">
        <v>45847</v>
      </c>
      <c r="CL255" s="1">
        <v>5.88</v>
      </c>
      <c r="CM255" s="3">
        <v>45847</v>
      </c>
      <c r="CN255" s="1">
        <v>5.59</v>
      </c>
      <c r="CO255" s="3">
        <v>45841</v>
      </c>
      <c r="CP255" s="1">
        <v>5.47</v>
      </c>
      <c r="CQ255" s="3">
        <v>45841</v>
      </c>
      <c r="CR255" s="1">
        <v>5.45</v>
      </c>
      <c r="CS255" s="3">
        <v>45841</v>
      </c>
      <c r="CT255" s="1">
        <v>5.48</v>
      </c>
    </row>
    <row r="256" spans="31:98" x14ac:dyDescent="0.2">
      <c r="AE256" s="3">
        <v>45846</v>
      </c>
      <c r="AF256" s="1">
        <v>5</v>
      </c>
      <c r="AG256" s="3">
        <v>45831</v>
      </c>
      <c r="AH256" s="1">
        <v>5.21</v>
      </c>
      <c r="AI256" s="3">
        <v>45846</v>
      </c>
      <c r="AJ256" s="2">
        <v>4.9375</v>
      </c>
      <c r="AK256" s="3">
        <v>45846</v>
      </c>
      <c r="AL256" s="2">
        <v>4.7149999999999999</v>
      </c>
      <c r="AM256" s="3">
        <v>45846</v>
      </c>
      <c r="AN256" s="2">
        <v>4.6150000000000002</v>
      </c>
      <c r="AO256" s="3">
        <v>45846</v>
      </c>
      <c r="AP256" s="2">
        <v>4.2149999999999999</v>
      </c>
      <c r="AQ256" s="3">
        <v>45846</v>
      </c>
      <c r="AR256" s="2">
        <v>3.895</v>
      </c>
      <c r="AS256" s="3">
        <v>45846</v>
      </c>
      <c r="AT256" s="2">
        <v>3.7475000000000001</v>
      </c>
      <c r="AU256" s="3">
        <v>45846</v>
      </c>
      <c r="AV256" s="2">
        <v>3.7</v>
      </c>
      <c r="AW256" s="3">
        <v>45846</v>
      </c>
      <c r="AX256" s="2">
        <v>3.6875</v>
      </c>
      <c r="AY256" s="3">
        <v>45846</v>
      </c>
      <c r="AZ256" s="2">
        <v>3.7</v>
      </c>
      <c r="BB256" s="3">
        <v>45832</v>
      </c>
      <c r="BC256" s="1">
        <v>3.5</v>
      </c>
      <c r="BD256" s="3">
        <v>45832</v>
      </c>
      <c r="BE256" s="1">
        <v>3.51</v>
      </c>
      <c r="BF256" s="3">
        <v>45846</v>
      </c>
      <c r="BG256" s="1">
        <v>3.5049999999999999</v>
      </c>
      <c r="BH256" s="3">
        <v>45846</v>
      </c>
      <c r="BI256" s="1">
        <v>3.4849999999999999</v>
      </c>
      <c r="BJ256" s="3">
        <v>45846</v>
      </c>
      <c r="BK256" s="1">
        <v>3.468</v>
      </c>
      <c r="BL256" s="3">
        <v>45846</v>
      </c>
      <c r="BM256" s="1">
        <v>3.4279999999999999</v>
      </c>
      <c r="BN256" s="3">
        <v>45846</v>
      </c>
      <c r="BO256" s="1">
        <v>3.3879999999999999</v>
      </c>
      <c r="BP256" s="3">
        <v>45846</v>
      </c>
      <c r="BQ256" s="1">
        <v>3.3849999999999998</v>
      </c>
      <c r="BR256" s="3">
        <v>45846</v>
      </c>
      <c r="BS256" s="1">
        <v>3.4</v>
      </c>
      <c r="BT256" s="3">
        <v>45846</v>
      </c>
      <c r="BU256" s="1">
        <v>3.423</v>
      </c>
      <c r="BV256" s="3">
        <v>45846</v>
      </c>
      <c r="BW256" s="1">
        <v>3.45</v>
      </c>
      <c r="BY256" s="3">
        <v>45839</v>
      </c>
      <c r="BZ256" s="1">
        <v>6.5</v>
      </c>
      <c r="CA256" s="3">
        <v>45828</v>
      </c>
      <c r="CB256" s="1">
        <v>6.5</v>
      </c>
      <c r="CC256" s="3">
        <v>45846</v>
      </c>
      <c r="CD256" s="1">
        <v>6.5</v>
      </c>
      <c r="CE256" s="3">
        <v>45846</v>
      </c>
      <c r="CF256" s="1">
        <v>6.4950000000000001</v>
      </c>
      <c r="CG256" s="3">
        <v>45846</v>
      </c>
      <c r="CH256" s="1">
        <v>6.45</v>
      </c>
      <c r="CI256" s="3">
        <v>45846</v>
      </c>
      <c r="CJ256" s="1">
        <v>6.2</v>
      </c>
      <c r="CK256" s="3">
        <v>45846</v>
      </c>
      <c r="CL256" s="1">
        <v>5.88</v>
      </c>
      <c r="CM256" s="3">
        <v>45846</v>
      </c>
      <c r="CN256" s="1">
        <v>5.56</v>
      </c>
      <c r="CO256" s="3">
        <v>45840</v>
      </c>
      <c r="CP256" s="1">
        <v>5.49</v>
      </c>
      <c r="CQ256" s="3">
        <v>45840</v>
      </c>
      <c r="CR256" s="1">
        <v>5.49</v>
      </c>
      <c r="CS256" s="3">
        <v>45840</v>
      </c>
      <c r="CT256" s="1">
        <v>5.52</v>
      </c>
    </row>
    <row r="257" spans="31:98" x14ac:dyDescent="0.2">
      <c r="AE257" s="3">
        <v>45845</v>
      </c>
      <c r="AF257" s="1">
        <v>5</v>
      </c>
      <c r="AG257" s="3">
        <v>45828</v>
      </c>
      <c r="AH257" s="1">
        <v>5.22</v>
      </c>
      <c r="AI257" s="3">
        <v>45845</v>
      </c>
      <c r="AJ257" s="2">
        <v>4.9349999999999996</v>
      </c>
      <c r="AK257" s="3">
        <v>45845</v>
      </c>
      <c r="AL257" s="2">
        <v>4.7149999999999999</v>
      </c>
      <c r="AM257" s="3">
        <v>45845</v>
      </c>
      <c r="AN257" s="2">
        <v>4.6150000000000002</v>
      </c>
      <c r="AO257" s="3">
        <v>45845</v>
      </c>
      <c r="AP257" s="2">
        <v>4.1849999999999996</v>
      </c>
      <c r="AQ257" s="3">
        <v>45845</v>
      </c>
      <c r="AR257" s="2">
        <v>3.84</v>
      </c>
      <c r="AS257" s="3">
        <v>45845</v>
      </c>
      <c r="AT257" s="2">
        <v>3.66</v>
      </c>
      <c r="AU257" s="3">
        <v>45845</v>
      </c>
      <c r="AV257" s="2">
        <v>3.6074999999999999</v>
      </c>
      <c r="AW257" s="3">
        <v>45845</v>
      </c>
      <c r="AX257" s="2">
        <v>3.5724999999999998</v>
      </c>
      <c r="AY257" s="3">
        <v>45845</v>
      </c>
      <c r="AZ257" s="2">
        <v>3.5874999999999999</v>
      </c>
      <c r="BB257" s="3">
        <v>45831</v>
      </c>
      <c r="BC257" s="1">
        <v>3.5</v>
      </c>
      <c r="BD257" s="3">
        <v>45831</v>
      </c>
      <c r="BE257" s="1">
        <v>3.52</v>
      </c>
      <c r="BF257" s="3">
        <v>45845</v>
      </c>
      <c r="BG257" s="1">
        <v>3.5049999999999999</v>
      </c>
      <c r="BH257" s="3">
        <v>45845</v>
      </c>
      <c r="BI257" s="1">
        <v>3.4860000000000002</v>
      </c>
      <c r="BJ257" s="3">
        <v>45845</v>
      </c>
      <c r="BK257" s="1">
        <v>3.4649999999999999</v>
      </c>
      <c r="BL257" s="3">
        <v>45845</v>
      </c>
      <c r="BM257" s="1">
        <v>3.423</v>
      </c>
      <c r="BN257" s="3">
        <v>45845</v>
      </c>
      <c r="BO257" s="1">
        <v>3.383</v>
      </c>
      <c r="BP257" s="3">
        <v>45845</v>
      </c>
      <c r="BQ257" s="1">
        <v>3.375</v>
      </c>
      <c r="BR257" s="3">
        <v>45845</v>
      </c>
      <c r="BS257" s="1">
        <v>3.395</v>
      </c>
      <c r="BT257" s="3">
        <v>45845</v>
      </c>
      <c r="BU257" s="1">
        <v>3.4180000000000001</v>
      </c>
      <c r="BV257" s="3">
        <v>45845</v>
      </c>
      <c r="BW257" s="1">
        <v>3.4550000000000001</v>
      </c>
      <c r="BY257" s="3">
        <v>45838</v>
      </c>
      <c r="BZ257" s="1">
        <v>6.5</v>
      </c>
      <c r="CA257" s="3">
        <v>45827</v>
      </c>
      <c r="CB257" s="1">
        <v>6.5</v>
      </c>
      <c r="CC257" s="3">
        <v>45845</v>
      </c>
      <c r="CD257" s="1">
        <v>6.48</v>
      </c>
      <c r="CE257" s="3">
        <v>45845</v>
      </c>
      <c r="CF257" s="1">
        <v>6.47</v>
      </c>
      <c r="CG257" s="3">
        <v>45845</v>
      </c>
      <c r="CH257" s="1">
        <v>6.44</v>
      </c>
      <c r="CI257" s="3">
        <v>45845</v>
      </c>
      <c r="CJ257" s="1">
        <v>6.17</v>
      </c>
      <c r="CK257" s="3">
        <v>45845</v>
      </c>
      <c r="CL257" s="1">
        <v>5.83</v>
      </c>
      <c r="CM257" s="3">
        <v>45845</v>
      </c>
      <c r="CN257" s="1">
        <v>5.51</v>
      </c>
      <c r="CO257" s="3">
        <v>45839</v>
      </c>
      <c r="CP257" s="1">
        <v>5.46</v>
      </c>
      <c r="CQ257" s="3">
        <v>45839</v>
      </c>
      <c r="CR257" s="1">
        <v>5.46</v>
      </c>
      <c r="CS257" s="3">
        <v>45839</v>
      </c>
      <c r="CT257" s="1">
        <v>5.49</v>
      </c>
    </row>
    <row r="258" spans="31:98" x14ac:dyDescent="0.2">
      <c r="AE258" s="3">
        <v>45842</v>
      </c>
      <c r="AF258" s="1">
        <v>5</v>
      </c>
      <c r="AG258" s="3">
        <v>45826</v>
      </c>
      <c r="AH258" s="1">
        <v>5.23</v>
      </c>
      <c r="AI258" s="3">
        <v>45842</v>
      </c>
      <c r="AJ258" s="2">
        <v>4.915</v>
      </c>
      <c r="AK258" s="3">
        <v>45842</v>
      </c>
      <c r="AL258" s="2">
        <v>4.6950000000000003</v>
      </c>
      <c r="AM258" s="3">
        <v>45842</v>
      </c>
      <c r="AN258" s="2">
        <v>4.5949999999999998</v>
      </c>
      <c r="AO258" s="3">
        <v>45842</v>
      </c>
      <c r="AP258" s="2">
        <v>4.1174999999999997</v>
      </c>
      <c r="AQ258" s="3">
        <v>45842</v>
      </c>
      <c r="AR258" s="2">
        <v>3.7774999999999999</v>
      </c>
      <c r="AS258" s="3">
        <v>45842</v>
      </c>
      <c r="AT258" s="2">
        <v>3.5775000000000001</v>
      </c>
      <c r="AU258" s="3">
        <v>45842</v>
      </c>
      <c r="AV258" s="2">
        <v>3.5225</v>
      </c>
      <c r="AW258" s="3">
        <v>45842</v>
      </c>
      <c r="AX258" s="2">
        <v>3.4975000000000001</v>
      </c>
      <c r="AY258" s="3">
        <v>45842</v>
      </c>
      <c r="AZ258" s="2">
        <v>3.5175000000000001</v>
      </c>
      <c r="BB258" s="3">
        <v>45828</v>
      </c>
      <c r="BC258" s="1">
        <v>3.5</v>
      </c>
      <c r="BD258" s="3">
        <v>45828</v>
      </c>
      <c r="BE258" s="1">
        <v>3.51</v>
      </c>
      <c r="BF258" s="3">
        <v>45842</v>
      </c>
      <c r="BG258" s="1">
        <v>3.5049999999999999</v>
      </c>
      <c r="BH258" s="3">
        <v>45842</v>
      </c>
      <c r="BI258" s="1">
        <v>3.488</v>
      </c>
      <c r="BJ258" s="3">
        <v>45842</v>
      </c>
      <c r="BK258" s="1">
        <v>3.4649999999999999</v>
      </c>
      <c r="BL258" s="3">
        <v>45842</v>
      </c>
      <c r="BM258" s="1">
        <v>3.423</v>
      </c>
      <c r="BN258" s="3">
        <v>45842</v>
      </c>
      <c r="BO258" s="1">
        <v>3.383</v>
      </c>
      <c r="BP258" s="3">
        <v>45842</v>
      </c>
      <c r="BQ258" s="1">
        <v>3.38</v>
      </c>
      <c r="BR258" s="3">
        <v>45842</v>
      </c>
      <c r="BS258" s="1">
        <v>3.3929999999999998</v>
      </c>
      <c r="BT258" s="3">
        <v>45842</v>
      </c>
      <c r="BU258" s="1">
        <v>3.4180000000000001</v>
      </c>
      <c r="BV258" s="3">
        <v>45842</v>
      </c>
      <c r="BW258" s="1">
        <v>3.44</v>
      </c>
      <c r="BY258" s="3">
        <v>45835</v>
      </c>
      <c r="BZ258" s="1">
        <v>6.5</v>
      </c>
      <c r="CA258" s="3">
        <v>45826</v>
      </c>
      <c r="CB258" s="1">
        <v>6.5</v>
      </c>
      <c r="CC258" s="3">
        <v>45842</v>
      </c>
      <c r="CD258" s="1">
        <v>6.4790000000000001</v>
      </c>
      <c r="CE258" s="3">
        <v>45842</v>
      </c>
      <c r="CF258" s="1">
        <v>6.4589999999999996</v>
      </c>
      <c r="CG258" s="3">
        <v>45842</v>
      </c>
      <c r="CH258" s="1">
        <v>6.44</v>
      </c>
      <c r="CI258" s="3">
        <v>45842</v>
      </c>
      <c r="CJ258" s="1">
        <v>6.17</v>
      </c>
      <c r="CK258" s="3">
        <v>45842</v>
      </c>
      <c r="CL258" s="1">
        <v>5.83</v>
      </c>
      <c r="CM258" s="3">
        <v>45842</v>
      </c>
      <c r="CN258" s="1">
        <v>5.5</v>
      </c>
      <c r="CO258" s="3">
        <v>45838</v>
      </c>
      <c r="CP258" s="1">
        <v>5.47</v>
      </c>
      <c r="CQ258" s="3">
        <v>45838</v>
      </c>
      <c r="CR258" s="1">
        <v>5.47</v>
      </c>
      <c r="CS258" s="3">
        <v>45838</v>
      </c>
      <c r="CT258" s="1">
        <v>5.5</v>
      </c>
    </row>
    <row r="259" spans="31:98" x14ac:dyDescent="0.2">
      <c r="AE259" s="3">
        <v>45841</v>
      </c>
      <c r="AF259" s="1">
        <v>5</v>
      </c>
      <c r="AG259" s="3">
        <v>45825</v>
      </c>
      <c r="AH259" s="1">
        <v>5.22</v>
      </c>
      <c r="AI259" s="3">
        <v>45841</v>
      </c>
      <c r="AJ259" s="2">
        <v>4.915</v>
      </c>
      <c r="AK259" s="3">
        <v>45841</v>
      </c>
      <c r="AL259" s="2">
        <v>4.72</v>
      </c>
      <c r="AM259" s="3">
        <v>45841</v>
      </c>
      <c r="AN259" s="2">
        <v>4.625</v>
      </c>
      <c r="AO259" s="3">
        <v>45841</v>
      </c>
      <c r="AP259" s="2">
        <v>4.17</v>
      </c>
      <c r="AQ259" s="3">
        <v>45841</v>
      </c>
      <c r="AR259" s="2">
        <v>3.82</v>
      </c>
      <c r="AS259" s="3">
        <v>45841</v>
      </c>
      <c r="AT259" s="2">
        <v>3.6150000000000002</v>
      </c>
      <c r="AU259" s="3">
        <v>45841</v>
      </c>
      <c r="AV259" s="2">
        <v>3.55</v>
      </c>
      <c r="AW259" s="3">
        <v>45841</v>
      </c>
      <c r="AX259" s="2">
        <v>3.51</v>
      </c>
      <c r="AY259" s="3">
        <v>45841</v>
      </c>
      <c r="AZ259" s="2">
        <v>3.53</v>
      </c>
      <c r="BB259" s="3">
        <v>45827</v>
      </c>
      <c r="BC259" s="1">
        <v>3.5</v>
      </c>
      <c r="BD259" s="3">
        <v>45827</v>
      </c>
      <c r="BE259" s="1">
        <v>3.52</v>
      </c>
      <c r="BF259" s="3">
        <v>45841</v>
      </c>
      <c r="BG259" s="1">
        <v>3.5049999999999999</v>
      </c>
      <c r="BH259" s="3">
        <v>45841</v>
      </c>
      <c r="BI259" s="1">
        <v>3.4889999999999999</v>
      </c>
      <c r="BJ259" s="3">
        <v>45841</v>
      </c>
      <c r="BK259" s="1">
        <v>3.468</v>
      </c>
      <c r="BL259" s="3">
        <v>45841</v>
      </c>
      <c r="BM259" s="1">
        <v>3.4180000000000001</v>
      </c>
      <c r="BN259" s="3">
        <v>45841</v>
      </c>
      <c r="BO259" s="1">
        <v>3.3849999999999998</v>
      </c>
      <c r="BP259" s="3">
        <v>45841</v>
      </c>
      <c r="BQ259" s="1">
        <v>3.3849999999999998</v>
      </c>
      <c r="BR259" s="3">
        <v>45841</v>
      </c>
      <c r="BS259" s="1">
        <v>3.41</v>
      </c>
      <c r="BT259" s="3">
        <v>45841</v>
      </c>
      <c r="BU259" s="1">
        <v>3.4350000000000001</v>
      </c>
      <c r="BV259" s="3">
        <v>45841</v>
      </c>
      <c r="BW259" s="1">
        <v>3.4550000000000001</v>
      </c>
      <c r="BY259" s="3">
        <v>45834</v>
      </c>
      <c r="BZ259" s="1">
        <v>6.5</v>
      </c>
      <c r="CA259" s="3">
        <v>45825</v>
      </c>
      <c r="CB259" s="1">
        <v>6.5</v>
      </c>
      <c r="CC259" s="3">
        <v>45841</v>
      </c>
      <c r="CD259" s="1">
        <v>6.4909999999999997</v>
      </c>
      <c r="CE259" s="3">
        <v>45841</v>
      </c>
      <c r="CF259" s="1">
        <v>6.476</v>
      </c>
      <c r="CG259" s="3">
        <v>45841</v>
      </c>
      <c r="CH259" s="1">
        <v>6.46</v>
      </c>
      <c r="CI259" s="3">
        <v>45841</v>
      </c>
      <c r="CJ259" s="1">
        <v>6.19</v>
      </c>
      <c r="CK259" s="3">
        <v>45841</v>
      </c>
      <c r="CL259" s="1">
        <v>5.85</v>
      </c>
      <c r="CM259" s="3">
        <v>45841</v>
      </c>
      <c r="CN259" s="1">
        <v>5.53</v>
      </c>
      <c r="CO259" s="3">
        <v>45835</v>
      </c>
      <c r="CP259" s="1">
        <v>5.56</v>
      </c>
      <c r="CQ259" s="3">
        <v>45835</v>
      </c>
      <c r="CR259" s="1">
        <v>5.56</v>
      </c>
      <c r="CS259" s="3">
        <v>45835</v>
      </c>
      <c r="CT259" s="1">
        <v>5.59</v>
      </c>
    </row>
    <row r="260" spans="31:98" x14ac:dyDescent="0.2">
      <c r="AE260" s="3">
        <v>45840</v>
      </c>
      <c r="AF260" s="1">
        <v>5</v>
      </c>
      <c r="AG260" s="3">
        <v>45824</v>
      </c>
      <c r="AH260" s="1">
        <v>5.23</v>
      </c>
      <c r="AI260" s="3">
        <v>45840</v>
      </c>
      <c r="AJ260" s="2">
        <v>4.9000000000000004</v>
      </c>
      <c r="AK260" s="3">
        <v>45840</v>
      </c>
      <c r="AL260" s="2">
        <v>4.79</v>
      </c>
      <c r="AM260" s="3">
        <v>45840</v>
      </c>
      <c r="AN260" s="2">
        <v>4.6100000000000003</v>
      </c>
      <c r="AO260" s="3">
        <v>45840</v>
      </c>
      <c r="AP260" s="2">
        <v>4.2249999999999996</v>
      </c>
      <c r="AQ260" s="3">
        <v>45840</v>
      </c>
      <c r="AR260" s="2">
        <v>3.9</v>
      </c>
      <c r="AS260" s="3">
        <v>45840</v>
      </c>
      <c r="AT260" s="2">
        <v>3.7</v>
      </c>
      <c r="AU260" s="3">
        <v>45840</v>
      </c>
      <c r="AV260" s="2">
        <v>3.645</v>
      </c>
      <c r="AW260" s="3">
        <v>45840</v>
      </c>
      <c r="AX260" s="2">
        <v>3.61</v>
      </c>
      <c r="AY260" s="3">
        <v>45840</v>
      </c>
      <c r="AZ260" s="2">
        <v>3.63</v>
      </c>
      <c r="BB260" s="3">
        <v>45826</v>
      </c>
      <c r="BC260" s="1">
        <v>3.5</v>
      </c>
      <c r="BD260" s="3">
        <v>45826</v>
      </c>
      <c r="BE260" s="1">
        <v>3.51</v>
      </c>
      <c r="BF260" s="3">
        <v>45840</v>
      </c>
      <c r="BG260" s="1">
        <v>3.5049999999999999</v>
      </c>
      <c r="BH260" s="3">
        <v>45840</v>
      </c>
      <c r="BI260" s="1">
        <v>3.49</v>
      </c>
      <c r="BJ260" s="3">
        <v>45840</v>
      </c>
      <c r="BK260" s="1">
        <v>3.47</v>
      </c>
      <c r="BL260" s="3">
        <v>45840</v>
      </c>
      <c r="BM260" s="1">
        <v>3.41</v>
      </c>
      <c r="BN260" s="3">
        <v>45840</v>
      </c>
      <c r="BO260" s="1">
        <v>3.355</v>
      </c>
      <c r="BP260" s="3">
        <v>45840</v>
      </c>
      <c r="BQ260" s="1">
        <v>3.36</v>
      </c>
      <c r="BR260" s="3">
        <v>45840</v>
      </c>
      <c r="BS260" s="1">
        <v>3.37</v>
      </c>
      <c r="BT260" s="3">
        <v>45840</v>
      </c>
      <c r="BU260" s="1">
        <v>3.3849999999999998</v>
      </c>
      <c r="BV260" s="3">
        <v>45840</v>
      </c>
      <c r="BW260" s="1">
        <v>3.415</v>
      </c>
      <c r="BY260" s="3">
        <v>45833</v>
      </c>
      <c r="BZ260" s="1">
        <v>6.5</v>
      </c>
      <c r="CA260" s="3">
        <v>45824</v>
      </c>
      <c r="CB260" s="1">
        <v>6.5</v>
      </c>
      <c r="CC260" s="3">
        <v>45840</v>
      </c>
      <c r="CD260" s="1">
        <v>6.4930000000000003</v>
      </c>
      <c r="CE260" s="3">
        <v>45840</v>
      </c>
      <c r="CF260" s="1">
        <v>6.4859999999999998</v>
      </c>
      <c r="CG260" s="3">
        <v>45840</v>
      </c>
      <c r="CH260" s="1">
        <v>6.47</v>
      </c>
      <c r="CI260" s="3">
        <v>45840</v>
      </c>
      <c r="CJ260" s="1">
        <v>6.22</v>
      </c>
      <c r="CK260" s="3">
        <v>45840</v>
      </c>
      <c r="CL260" s="1">
        <v>5.88</v>
      </c>
      <c r="CM260" s="3">
        <v>45840</v>
      </c>
      <c r="CN260" s="1">
        <v>5.55</v>
      </c>
      <c r="CO260" s="3">
        <v>45834</v>
      </c>
      <c r="CP260" s="1">
        <v>5.5350000000000001</v>
      </c>
      <c r="CQ260" s="3">
        <v>45834</v>
      </c>
      <c r="CR260" s="1">
        <v>5.5449999999999999</v>
      </c>
      <c r="CS260" s="3">
        <v>45834</v>
      </c>
      <c r="CT260" s="1">
        <v>5.5750000000000002</v>
      </c>
    </row>
    <row r="261" spans="31:98" x14ac:dyDescent="0.2">
      <c r="AE261" s="3">
        <v>45839</v>
      </c>
      <c r="AF261" s="1">
        <v>5.25</v>
      </c>
      <c r="AG261" s="3">
        <v>45821</v>
      </c>
      <c r="AH261" s="1">
        <v>5.22</v>
      </c>
      <c r="AI261" s="3">
        <v>45839</v>
      </c>
      <c r="AJ261" s="2">
        <v>5.07</v>
      </c>
      <c r="AK261" s="3">
        <v>45839</v>
      </c>
      <c r="AL261" s="2">
        <v>4.9474999999999998</v>
      </c>
      <c r="AM261" s="3">
        <v>45839</v>
      </c>
      <c r="AN261" s="2">
        <v>4.7750000000000004</v>
      </c>
      <c r="AO261" s="3">
        <v>45839</v>
      </c>
      <c r="AP261" s="2">
        <v>4.3775000000000004</v>
      </c>
      <c r="AQ261" s="3">
        <v>45839</v>
      </c>
      <c r="AR261" s="2">
        <v>4.0549999999999997</v>
      </c>
      <c r="AS261" s="3">
        <v>45839</v>
      </c>
      <c r="AT261" s="2">
        <v>3.8424999999999998</v>
      </c>
      <c r="AU261" s="3">
        <v>45839</v>
      </c>
      <c r="AV261" s="2">
        <v>3.7725</v>
      </c>
      <c r="AW261" s="3">
        <v>45839</v>
      </c>
      <c r="AX261" s="2">
        <v>3.7324999999999999</v>
      </c>
      <c r="AY261" s="3">
        <v>45839</v>
      </c>
      <c r="AZ261" s="2">
        <v>3.7374999999999998</v>
      </c>
      <c r="BB261" s="3">
        <v>45825</v>
      </c>
      <c r="BC261" s="1">
        <v>3.5</v>
      </c>
      <c r="BD261" s="3">
        <v>45825</v>
      </c>
      <c r="BE261" s="1">
        <v>3.52</v>
      </c>
      <c r="BF261" s="3">
        <v>45839</v>
      </c>
      <c r="BG261" s="1">
        <v>3.5049999999999999</v>
      </c>
      <c r="BH261" s="3">
        <v>45839</v>
      </c>
      <c r="BI261" s="1">
        <v>3.5</v>
      </c>
      <c r="BJ261" s="3">
        <v>45839</v>
      </c>
      <c r="BK261" s="1">
        <v>3.4950000000000001</v>
      </c>
      <c r="BL261" s="3">
        <v>45839</v>
      </c>
      <c r="BM261" s="1">
        <v>3.4380000000000002</v>
      </c>
      <c r="BN261" s="3">
        <v>45839</v>
      </c>
      <c r="BO261" s="1">
        <v>3.3849999999999998</v>
      </c>
      <c r="BP261" s="3">
        <v>45839</v>
      </c>
      <c r="BQ261" s="1">
        <v>3.395</v>
      </c>
      <c r="BR261" s="3">
        <v>45839</v>
      </c>
      <c r="BS261" s="1">
        <v>3.4</v>
      </c>
      <c r="BT261" s="3">
        <v>45839</v>
      </c>
      <c r="BU261" s="1">
        <v>3.4129999999999998</v>
      </c>
      <c r="BV261" s="3">
        <v>45839</v>
      </c>
      <c r="BW261" s="1">
        <v>3.4350000000000001</v>
      </c>
      <c r="BY261" s="3">
        <v>45832</v>
      </c>
      <c r="BZ261" s="1">
        <v>6.5</v>
      </c>
      <c r="CA261" s="3">
        <v>45821</v>
      </c>
      <c r="CB261" s="1">
        <v>6.5</v>
      </c>
      <c r="CC261" s="3">
        <v>45839</v>
      </c>
      <c r="CD261" s="1">
        <v>6.49</v>
      </c>
      <c r="CE261" s="3">
        <v>45839</v>
      </c>
      <c r="CF261" s="1">
        <v>6.48</v>
      </c>
      <c r="CG261" s="3">
        <v>45839</v>
      </c>
      <c r="CH261" s="1">
        <v>6.4550000000000001</v>
      </c>
      <c r="CI261" s="3">
        <v>45839</v>
      </c>
      <c r="CJ261" s="1">
        <v>6.18</v>
      </c>
      <c r="CK261" s="3">
        <v>45839</v>
      </c>
      <c r="CL261" s="1">
        <v>5.82</v>
      </c>
      <c r="CM261" s="3">
        <v>45839</v>
      </c>
      <c r="CN261" s="1">
        <v>5.51</v>
      </c>
      <c r="CO261" s="3">
        <v>45833</v>
      </c>
      <c r="CP261" s="1">
        <v>5.62</v>
      </c>
      <c r="CQ261" s="3">
        <v>45833</v>
      </c>
      <c r="CR261" s="1">
        <v>5.64</v>
      </c>
      <c r="CS261" s="3">
        <v>45833</v>
      </c>
      <c r="CT261" s="1">
        <v>5.67</v>
      </c>
    </row>
    <row r="262" spans="31:98" x14ac:dyDescent="0.2">
      <c r="AE262" s="3">
        <v>45838</v>
      </c>
      <c r="AF262" s="1">
        <v>5.25</v>
      </c>
      <c r="AG262" s="3">
        <v>45820</v>
      </c>
      <c r="AH262" s="1">
        <v>5.21</v>
      </c>
      <c r="AI262" s="3">
        <v>45838</v>
      </c>
      <c r="AJ262" s="2">
        <v>5.0875000000000004</v>
      </c>
      <c r="AK262" s="3">
        <v>45838</v>
      </c>
      <c r="AL262" s="2">
        <v>4.9874999999999998</v>
      </c>
      <c r="AM262" s="3">
        <v>45838</v>
      </c>
      <c r="AN262" s="2">
        <v>4.8049999999999997</v>
      </c>
      <c r="AO262" s="3">
        <v>45838</v>
      </c>
      <c r="AP262" s="2">
        <v>4.4000000000000004</v>
      </c>
      <c r="AQ262" s="3">
        <v>45838</v>
      </c>
      <c r="AR262" s="2">
        <v>4.0774999999999997</v>
      </c>
      <c r="AS262" s="3">
        <v>45838</v>
      </c>
      <c r="AT262" s="2">
        <v>3.875</v>
      </c>
      <c r="AU262" s="3">
        <v>45838</v>
      </c>
      <c r="AV262" s="2">
        <v>3.8050000000000002</v>
      </c>
      <c r="AW262" s="3">
        <v>45838</v>
      </c>
      <c r="AX262" s="2">
        <v>3.77</v>
      </c>
      <c r="AY262" s="3">
        <v>45838</v>
      </c>
      <c r="AZ262" s="2">
        <v>3.7749999999999999</v>
      </c>
      <c r="BB262" s="3">
        <v>45824</v>
      </c>
      <c r="BC262" s="1">
        <v>3.5</v>
      </c>
      <c r="BD262" s="3">
        <v>45824</v>
      </c>
      <c r="BE262" s="1">
        <v>3.52</v>
      </c>
      <c r="BF262" s="3">
        <v>45838</v>
      </c>
      <c r="BG262" s="1">
        <v>3.5150000000000001</v>
      </c>
      <c r="BH262" s="3">
        <v>45838</v>
      </c>
      <c r="BI262" s="1">
        <v>3.5059999999999998</v>
      </c>
      <c r="BJ262" s="3">
        <v>45838</v>
      </c>
      <c r="BK262" s="1">
        <v>3.5</v>
      </c>
      <c r="BL262" s="3">
        <v>45838</v>
      </c>
      <c r="BM262" s="1">
        <v>3.4550000000000001</v>
      </c>
      <c r="BN262" s="3">
        <v>45838</v>
      </c>
      <c r="BO262" s="1">
        <v>3.4049999999999998</v>
      </c>
      <c r="BP262" s="3">
        <v>45838</v>
      </c>
      <c r="BQ262" s="1">
        <v>3.4249999999999998</v>
      </c>
      <c r="BR262" s="3">
        <v>45838</v>
      </c>
      <c r="BS262" s="1">
        <v>3.4380000000000002</v>
      </c>
      <c r="BT262" s="3">
        <v>45838</v>
      </c>
      <c r="BU262" s="1">
        <v>3.4550000000000001</v>
      </c>
      <c r="BV262" s="3">
        <v>45838</v>
      </c>
      <c r="BW262" s="1">
        <v>3.4780000000000002</v>
      </c>
      <c r="BY262" s="3">
        <v>45831</v>
      </c>
      <c r="BZ262" s="1">
        <v>6.5</v>
      </c>
      <c r="CA262" s="3">
        <v>45820</v>
      </c>
      <c r="CB262" s="1">
        <v>6.5</v>
      </c>
      <c r="CC262" s="3">
        <v>45838</v>
      </c>
      <c r="CD262" s="1">
        <v>6.4850000000000003</v>
      </c>
      <c r="CE262" s="3">
        <v>45838</v>
      </c>
      <c r="CF262" s="1">
        <v>6.4729999999999999</v>
      </c>
      <c r="CG262" s="3">
        <v>45838</v>
      </c>
      <c r="CH262" s="1">
        <v>6.46</v>
      </c>
      <c r="CI262" s="3">
        <v>45838</v>
      </c>
      <c r="CJ262" s="1">
        <v>6.17</v>
      </c>
      <c r="CK262" s="3">
        <v>45838</v>
      </c>
      <c r="CL262" s="1">
        <v>5.84</v>
      </c>
      <c r="CM262" s="3">
        <v>45838</v>
      </c>
      <c r="CN262" s="1">
        <v>5.52</v>
      </c>
      <c r="CO262" s="3">
        <v>45832</v>
      </c>
      <c r="CP262" s="1">
        <v>5.6</v>
      </c>
      <c r="CQ262" s="3">
        <v>45832</v>
      </c>
      <c r="CR262" s="1">
        <v>5.62</v>
      </c>
      <c r="CS262" s="3">
        <v>45832</v>
      </c>
      <c r="CT262" s="1">
        <v>5.66</v>
      </c>
    </row>
    <row r="263" spans="31:98" x14ac:dyDescent="0.2">
      <c r="AE263" s="3">
        <v>45835</v>
      </c>
      <c r="AF263" s="1">
        <v>5.25</v>
      </c>
      <c r="AG263" s="3">
        <v>45819</v>
      </c>
      <c r="AH263" s="1">
        <v>5.22</v>
      </c>
      <c r="AI263" s="3">
        <v>45835</v>
      </c>
      <c r="AJ263" s="2">
        <v>5.0999999999999996</v>
      </c>
      <c r="AK263" s="3">
        <v>45835</v>
      </c>
      <c r="AL263" s="2">
        <v>5.0199999999999996</v>
      </c>
      <c r="AM263" s="3">
        <v>45835</v>
      </c>
      <c r="AN263" s="2">
        <v>4.8250000000000002</v>
      </c>
      <c r="AO263" s="3">
        <v>45835</v>
      </c>
      <c r="AP263" s="2">
        <v>4.41</v>
      </c>
      <c r="AQ263" s="3">
        <v>45835</v>
      </c>
      <c r="AR263" s="2">
        <v>4.0949999999999998</v>
      </c>
      <c r="AS263" s="3">
        <v>45835</v>
      </c>
      <c r="AT263" s="2">
        <v>3.8925000000000001</v>
      </c>
      <c r="AU263" s="3">
        <v>45835</v>
      </c>
      <c r="AV263" s="2">
        <v>3.82</v>
      </c>
      <c r="AW263" s="3">
        <v>45835</v>
      </c>
      <c r="AX263" s="2">
        <v>3.7850000000000001</v>
      </c>
      <c r="AY263" s="3">
        <v>45835</v>
      </c>
      <c r="AZ263" s="2">
        <v>3.7875000000000001</v>
      </c>
      <c r="BB263" s="3">
        <v>45821</v>
      </c>
      <c r="BC263" s="1">
        <v>3.5</v>
      </c>
      <c r="BD263" s="3">
        <v>45821</v>
      </c>
      <c r="BE263" s="1">
        <v>3.52</v>
      </c>
      <c r="BF263" s="3">
        <v>45835</v>
      </c>
      <c r="BG263" s="1">
        <v>3.5150000000000001</v>
      </c>
      <c r="BH263" s="3">
        <v>45835</v>
      </c>
      <c r="BI263" s="1">
        <v>3.5030000000000001</v>
      </c>
      <c r="BJ263" s="3">
        <v>45835</v>
      </c>
      <c r="BK263" s="1">
        <v>3.49</v>
      </c>
      <c r="BL263" s="3">
        <v>45835</v>
      </c>
      <c r="BM263" s="1">
        <v>3.4430000000000001</v>
      </c>
      <c r="BN263" s="3">
        <v>45835</v>
      </c>
      <c r="BO263" s="1">
        <v>3.383</v>
      </c>
      <c r="BP263" s="3">
        <v>45835</v>
      </c>
      <c r="BQ263" s="1">
        <v>3.3879999999999999</v>
      </c>
      <c r="BR263" s="3">
        <v>45835</v>
      </c>
      <c r="BS263" s="1">
        <v>3.4</v>
      </c>
      <c r="BT263" s="3">
        <v>45835</v>
      </c>
      <c r="BU263" s="1">
        <v>3.4049999999999998</v>
      </c>
      <c r="BV263" s="3">
        <v>45835</v>
      </c>
      <c r="BW263" s="1">
        <v>3.43</v>
      </c>
      <c r="BY263" s="3">
        <v>45828</v>
      </c>
      <c r="BZ263" s="1">
        <v>6.5</v>
      </c>
      <c r="CA263" s="3">
        <v>45819</v>
      </c>
      <c r="CB263" s="1">
        <v>6.5</v>
      </c>
      <c r="CC263" s="3">
        <v>45835</v>
      </c>
      <c r="CD263" s="1">
        <v>6.4939999999999998</v>
      </c>
      <c r="CE263" s="3">
        <v>45835</v>
      </c>
      <c r="CF263" s="1">
        <v>6.4880000000000004</v>
      </c>
      <c r="CG263" s="3">
        <v>45835</v>
      </c>
      <c r="CH263" s="1">
        <v>6.47</v>
      </c>
      <c r="CI263" s="3">
        <v>45835</v>
      </c>
      <c r="CJ263" s="1">
        <v>6.22</v>
      </c>
      <c r="CK263" s="3">
        <v>45835</v>
      </c>
      <c r="CL263" s="1">
        <v>5.915</v>
      </c>
      <c r="CM263" s="3">
        <v>45835</v>
      </c>
      <c r="CN263" s="1">
        <v>5.59</v>
      </c>
      <c r="CO263" s="3">
        <v>45831</v>
      </c>
      <c r="CP263" s="1">
        <v>5.65</v>
      </c>
      <c r="CQ263" s="3">
        <v>45831</v>
      </c>
      <c r="CR263" s="1">
        <v>5.67</v>
      </c>
      <c r="CS263" s="3">
        <v>45831</v>
      </c>
      <c r="CT263" s="1">
        <v>5.72</v>
      </c>
    </row>
    <row r="264" spans="31:98" x14ac:dyDescent="0.2">
      <c r="AE264" s="3">
        <v>45834</v>
      </c>
      <c r="AF264" s="1">
        <v>5.25</v>
      </c>
      <c r="AG264" s="3">
        <v>45818</v>
      </c>
      <c r="AH264" s="1">
        <v>5.21</v>
      </c>
      <c r="AI264" s="3">
        <v>45834</v>
      </c>
      <c r="AJ264" s="2">
        <v>5.1150000000000002</v>
      </c>
      <c r="AK264" s="3">
        <v>45834</v>
      </c>
      <c r="AL264" s="2">
        <v>5.0350000000000001</v>
      </c>
      <c r="AM264" s="3">
        <v>45834</v>
      </c>
      <c r="AN264" s="2">
        <v>4.84</v>
      </c>
      <c r="AO264" s="3">
        <v>45834</v>
      </c>
      <c r="AP264" s="2">
        <v>4.42</v>
      </c>
      <c r="AQ264" s="3">
        <v>45834</v>
      </c>
      <c r="AR264" s="2">
        <v>4.0925000000000002</v>
      </c>
      <c r="AS264" s="3">
        <v>45834</v>
      </c>
      <c r="AT264" s="2">
        <v>3.8849999999999998</v>
      </c>
      <c r="AU264" s="3">
        <v>45834</v>
      </c>
      <c r="AV264" s="2">
        <v>3.8125</v>
      </c>
      <c r="AW264" s="3">
        <v>45834</v>
      </c>
      <c r="AX264" s="2">
        <v>3.7725</v>
      </c>
      <c r="AY264" s="3">
        <v>45834</v>
      </c>
      <c r="AZ264" s="2">
        <v>3.7774999999999999</v>
      </c>
      <c r="BB264" s="3">
        <v>45820</v>
      </c>
      <c r="BC264" s="1">
        <v>3.5</v>
      </c>
      <c r="BD264" s="3">
        <v>45820</v>
      </c>
      <c r="BE264" s="1">
        <v>3.52</v>
      </c>
      <c r="BF264" s="3">
        <v>45834</v>
      </c>
      <c r="BG264" s="1">
        <v>3.52</v>
      </c>
      <c r="BH264" s="3">
        <v>45834</v>
      </c>
      <c r="BI264" s="1">
        <v>3.4980000000000002</v>
      </c>
      <c r="BJ264" s="3">
        <v>45834</v>
      </c>
      <c r="BK264" s="1">
        <v>3.48</v>
      </c>
      <c r="BL264" s="3">
        <v>45834</v>
      </c>
      <c r="BM264" s="1">
        <v>3.43</v>
      </c>
      <c r="BN264" s="3">
        <v>45834</v>
      </c>
      <c r="BO264" s="1">
        <v>3.3780000000000001</v>
      </c>
      <c r="BP264" s="3">
        <v>45834</v>
      </c>
      <c r="BQ264" s="1">
        <v>3.3580000000000001</v>
      </c>
      <c r="BR264" s="3">
        <v>45834</v>
      </c>
      <c r="BS264" s="1">
        <v>3.3580000000000001</v>
      </c>
      <c r="BT264" s="3">
        <v>45834</v>
      </c>
      <c r="BU264" s="1">
        <v>3.3679999999999999</v>
      </c>
      <c r="BV264" s="3">
        <v>45834</v>
      </c>
      <c r="BW264" s="1">
        <v>3.395</v>
      </c>
      <c r="BY264" s="3">
        <v>45826</v>
      </c>
      <c r="BZ264" s="1">
        <v>6.5</v>
      </c>
      <c r="CA264" s="3">
        <v>45818</v>
      </c>
      <c r="CB264" s="1">
        <v>6.5</v>
      </c>
      <c r="CC264" s="3">
        <v>45834</v>
      </c>
      <c r="CD264" s="1">
        <v>6.4950000000000001</v>
      </c>
      <c r="CE264" s="3">
        <v>45834</v>
      </c>
      <c r="CF264" s="1">
        <v>6.49</v>
      </c>
      <c r="CG264" s="3">
        <v>45834</v>
      </c>
      <c r="CH264" s="1">
        <v>6.47</v>
      </c>
      <c r="CI264" s="3">
        <v>45834</v>
      </c>
      <c r="CJ264" s="1">
        <v>6.2</v>
      </c>
      <c r="CK264" s="3">
        <v>45834</v>
      </c>
      <c r="CL264" s="1">
        <v>5.87</v>
      </c>
      <c r="CM264" s="3">
        <v>45834</v>
      </c>
      <c r="CN264" s="1">
        <v>5.5650000000000004</v>
      </c>
      <c r="CO264" s="3">
        <v>45828</v>
      </c>
      <c r="CP264" s="1">
        <v>5.6550000000000002</v>
      </c>
      <c r="CQ264" s="3">
        <v>45828</v>
      </c>
      <c r="CR264" s="1">
        <v>5.68</v>
      </c>
      <c r="CS264" s="3">
        <v>45828</v>
      </c>
      <c r="CT264" s="1">
        <v>5.72</v>
      </c>
    </row>
    <row r="265" spans="31:98" x14ac:dyDescent="0.2">
      <c r="AE265" s="3">
        <v>45833</v>
      </c>
      <c r="AF265" s="1">
        <v>5.25</v>
      </c>
      <c r="AG265" s="3">
        <v>45817</v>
      </c>
      <c r="AH265" s="1">
        <v>5.2</v>
      </c>
      <c r="AI265" s="3">
        <v>45833</v>
      </c>
      <c r="AJ265" s="2">
        <v>5.1150000000000002</v>
      </c>
      <c r="AK265" s="3">
        <v>45833</v>
      </c>
      <c r="AL265" s="2">
        <v>5.0350000000000001</v>
      </c>
      <c r="AM265" s="3">
        <v>45833</v>
      </c>
      <c r="AN265" s="2">
        <v>4.8425000000000002</v>
      </c>
      <c r="AO265" s="3">
        <v>45833</v>
      </c>
      <c r="AP265" s="2">
        <v>4.4275000000000002</v>
      </c>
      <c r="AQ265" s="3">
        <v>45833</v>
      </c>
      <c r="AR265" s="2">
        <v>4.1050000000000004</v>
      </c>
      <c r="AS265" s="3">
        <v>45833</v>
      </c>
      <c r="AT265" s="2">
        <v>3.895</v>
      </c>
      <c r="AU265" s="3">
        <v>45833</v>
      </c>
      <c r="AV265" s="2">
        <v>3.8224999999999998</v>
      </c>
      <c r="AW265" s="3">
        <v>45833</v>
      </c>
      <c r="AX265" s="2">
        <v>3.7825000000000002</v>
      </c>
      <c r="AY265" s="3">
        <v>45833</v>
      </c>
      <c r="AZ265" s="2">
        <v>3.7875000000000001</v>
      </c>
      <c r="BB265" s="3">
        <v>45819</v>
      </c>
      <c r="BC265" s="1">
        <v>3.5</v>
      </c>
      <c r="BD265" s="3">
        <v>45819</v>
      </c>
      <c r="BE265" s="1">
        <v>3.52</v>
      </c>
      <c r="BF265" s="3">
        <v>45833</v>
      </c>
      <c r="BG265" s="1">
        <v>3.52</v>
      </c>
      <c r="BH265" s="3">
        <v>45833</v>
      </c>
      <c r="BI265" s="1">
        <v>3.5</v>
      </c>
      <c r="BJ265" s="3">
        <v>45833</v>
      </c>
      <c r="BK265" s="1">
        <v>3.49</v>
      </c>
      <c r="BL265" s="3">
        <v>45833</v>
      </c>
      <c r="BM265" s="1">
        <v>3.44</v>
      </c>
      <c r="BN265" s="3">
        <v>45833</v>
      </c>
      <c r="BO265" s="1">
        <v>3.395</v>
      </c>
      <c r="BP265" s="3">
        <v>45833</v>
      </c>
      <c r="BQ265" s="1">
        <v>3.3650000000000002</v>
      </c>
      <c r="BR265" s="3">
        <v>45833</v>
      </c>
      <c r="BS265" s="1">
        <v>3.3849999999999998</v>
      </c>
      <c r="BT265" s="3">
        <v>45833</v>
      </c>
      <c r="BU265" s="1">
        <v>3.4</v>
      </c>
      <c r="BV265" s="3">
        <v>45833</v>
      </c>
      <c r="BW265" s="1">
        <v>3.42</v>
      </c>
      <c r="BY265" s="3">
        <v>45825</v>
      </c>
      <c r="BZ265" s="1">
        <v>6.5</v>
      </c>
      <c r="CA265" s="3">
        <v>45814</v>
      </c>
      <c r="CB265" s="1">
        <v>6.5</v>
      </c>
      <c r="CC265" s="3">
        <v>45833</v>
      </c>
      <c r="CD265" s="1">
        <v>6.5</v>
      </c>
      <c r="CE265" s="3">
        <v>45833</v>
      </c>
      <c r="CF265" s="1">
        <v>6.5</v>
      </c>
      <c r="CG265" s="3">
        <v>45833</v>
      </c>
      <c r="CH265" s="1">
        <v>6.49</v>
      </c>
      <c r="CI265" s="3">
        <v>45833</v>
      </c>
      <c r="CJ265" s="1">
        <v>6.22</v>
      </c>
      <c r="CK265" s="3">
        <v>45833</v>
      </c>
      <c r="CL265" s="1">
        <v>5.9</v>
      </c>
      <c r="CM265" s="3">
        <v>45833</v>
      </c>
      <c r="CN265" s="1">
        <v>5.62</v>
      </c>
      <c r="CO265" s="3">
        <v>45827</v>
      </c>
      <c r="CP265" s="1">
        <v>5.75</v>
      </c>
      <c r="CQ265" s="3">
        <v>45827</v>
      </c>
      <c r="CR265" s="1">
        <v>5.8</v>
      </c>
      <c r="CS265" s="3">
        <v>45827</v>
      </c>
      <c r="CT265" s="1">
        <v>5.85</v>
      </c>
    </row>
    <row r="266" spans="31:98" x14ac:dyDescent="0.2">
      <c r="AE266" s="3">
        <v>45832</v>
      </c>
      <c r="AF266" s="1">
        <v>5.25</v>
      </c>
      <c r="AG266" s="3">
        <v>45814</v>
      </c>
      <c r="AH266" s="1">
        <v>5.21</v>
      </c>
      <c r="AI266" s="3">
        <v>45832</v>
      </c>
      <c r="AJ266" s="2">
        <v>5.0999999999999996</v>
      </c>
      <c r="AK266" s="3">
        <v>45832</v>
      </c>
      <c r="AL266" s="2">
        <v>5.0274999999999999</v>
      </c>
      <c r="AM266" s="3">
        <v>45832</v>
      </c>
      <c r="AN266" s="2">
        <v>4.835</v>
      </c>
      <c r="AO266" s="3">
        <v>45832</v>
      </c>
      <c r="AP266" s="2">
        <v>4.415</v>
      </c>
      <c r="AQ266" s="3">
        <v>45832</v>
      </c>
      <c r="AR266" s="2">
        <v>4.0925000000000002</v>
      </c>
      <c r="AS266" s="3">
        <v>45832</v>
      </c>
      <c r="AT266" s="2">
        <v>3.8774999999999999</v>
      </c>
      <c r="AU266" s="3">
        <v>45832</v>
      </c>
      <c r="AV266" s="2">
        <v>3.8050000000000002</v>
      </c>
      <c r="AW266" s="3">
        <v>45832</v>
      </c>
      <c r="AX266" s="2">
        <v>3.7650000000000001</v>
      </c>
      <c r="AY266" s="3">
        <v>45832</v>
      </c>
      <c r="AZ266" s="2">
        <v>3.77</v>
      </c>
      <c r="BB266" s="3">
        <v>45818</v>
      </c>
      <c r="BC266" s="1">
        <v>3.5</v>
      </c>
      <c r="BD266" s="3">
        <v>45818</v>
      </c>
      <c r="BE266" s="1">
        <v>3.51</v>
      </c>
      <c r="BF266" s="3">
        <v>45832</v>
      </c>
      <c r="BG266" s="1">
        <v>3.52</v>
      </c>
      <c r="BH266" s="3">
        <v>45832</v>
      </c>
      <c r="BI266" s="1">
        <v>3.4740000000000002</v>
      </c>
      <c r="BJ266" s="3">
        <v>45832</v>
      </c>
      <c r="BK266" s="1">
        <v>3.46</v>
      </c>
      <c r="BL266" s="3">
        <v>45832</v>
      </c>
      <c r="BM266" s="1">
        <v>3.3780000000000001</v>
      </c>
      <c r="BN266" s="3">
        <v>45832</v>
      </c>
      <c r="BO266" s="1">
        <v>3.335</v>
      </c>
      <c r="BP266" s="3">
        <v>45832</v>
      </c>
      <c r="BQ266" s="1">
        <v>3.3079999999999998</v>
      </c>
      <c r="BR266" s="3">
        <v>45832</v>
      </c>
      <c r="BS266" s="1">
        <v>3.3149999999999999</v>
      </c>
      <c r="BT266" s="3">
        <v>45832</v>
      </c>
      <c r="BU266" s="1">
        <v>3.3380000000000001</v>
      </c>
      <c r="BV266" s="3">
        <v>45832</v>
      </c>
      <c r="BW266" s="1">
        <v>3.3650000000000002</v>
      </c>
      <c r="BY266" s="3">
        <v>45824</v>
      </c>
      <c r="BZ266" s="1">
        <v>6.5</v>
      </c>
      <c r="CA266" s="3">
        <v>45813</v>
      </c>
      <c r="CB266" s="1">
        <v>6.5</v>
      </c>
      <c r="CC266" s="3">
        <v>45832</v>
      </c>
      <c r="CD266" s="1">
        <v>6.5030000000000001</v>
      </c>
      <c r="CE266" s="3">
        <v>45832</v>
      </c>
      <c r="CF266" s="1">
        <v>6.5030000000000001</v>
      </c>
      <c r="CG266" s="3">
        <v>45832</v>
      </c>
      <c r="CH266" s="1">
        <v>6.5049999999999999</v>
      </c>
      <c r="CI266" s="3">
        <v>45832</v>
      </c>
      <c r="CJ266" s="1">
        <v>6.21</v>
      </c>
      <c r="CK266" s="3">
        <v>45832</v>
      </c>
      <c r="CL266" s="1">
        <v>5.88</v>
      </c>
      <c r="CM266" s="3">
        <v>45832</v>
      </c>
      <c r="CN266" s="1">
        <v>5.59</v>
      </c>
      <c r="CO266" s="3">
        <v>45826</v>
      </c>
      <c r="CP266" s="1">
        <v>5.5549999999999997</v>
      </c>
      <c r="CQ266" s="3">
        <v>45826</v>
      </c>
      <c r="CR266" s="1">
        <v>5.5949999999999998</v>
      </c>
      <c r="CS266" s="3">
        <v>45826</v>
      </c>
      <c r="CT266" s="1">
        <v>5.6349999999999998</v>
      </c>
    </row>
    <row r="267" spans="31:98" x14ac:dyDescent="0.2">
      <c r="AE267" s="3">
        <v>45831</v>
      </c>
      <c r="AF267" s="1">
        <v>5.25</v>
      </c>
      <c r="AG267" s="3">
        <v>45813</v>
      </c>
      <c r="AH267" s="1">
        <v>5.2</v>
      </c>
      <c r="AI267" s="3">
        <v>45831</v>
      </c>
      <c r="AJ267" s="2">
        <v>5.1325000000000003</v>
      </c>
      <c r="AK267" s="3">
        <v>45831</v>
      </c>
      <c r="AL267" s="2">
        <v>5.0650000000000004</v>
      </c>
      <c r="AM267" s="3">
        <v>45831</v>
      </c>
      <c r="AN267" s="2">
        <v>4.875</v>
      </c>
      <c r="AO267" s="3">
        <v>45831</v>
      </c>
      <c r="AP267" s="2">
        <v>4.4725000000000001</v>
      </c>
      <c r="AQ267" s="3">
        <v>45831</v>
      </c>
      <c r="AR267" s="2">
        <v>4.1775000000000002</v>
      </c>
      <c r="AS267" s="3">
        <v>45831</v>
      </c>
      <c r="AT267" s="2">
        <v>3.9849999999999999</v>
      </c>
      <c r="AU267" s="3">
        <v>45831</v>
      </c>
      <c r="AV267" s="2">
        <v>3.915</v>
      </c>
      <c r="AW267" s="3">
        <v>45831</v>
      </c>
      <c r="AX267" s="2">
        <v>3.8774999999999999</v>
      </c>
      <c r="AY267" s="3">
        <v>45831</v>
      </c>
      <c r="AZ267" s="2">
        <v>3.8875000000000002</v>
      </c>
      <c r="BB267" s="3">
        <v>45817</v>
      </c>
      <c r="BC267" s="1">
        <v>3.5</v>
      </c>
      <c r="BD267" s="3">
        <v>45817</v>
      </c>
      <c r="BE267" s="1">
        <v>3.52</v>
      </c>
      <c r="BF267" s="3">
        <v>45831</v>
      </c>
      <c r="BG267" s="1">
        <v>3.5249999999999999</v>
      </c>
      <c r="BH267" s="3">
        <v>45831</v>
      </c>
      <c r="BI267" s="1">
        <v>3.4849999999999999</v>
      </c>
      <c r="BJ267" s="3">
        <v>45831</v>
      </c>
      <c r="BK267" s="1">
        <v>3.48</v>
      </c>
      <c r="BL267" s="3">
        <v>45831</v>
      </c>
      <c r="BM267" s="1">
        <v>3.41</v>
      </c>
      <c r="BN267" s="3">
        <v>45831</v>
      </c>
      <c r="BO267" s="1">
        <v>3.3849999999999998</v>
      </c>
      <c r="BP267" s="3">
        <v>45831</v>
      </c>
      <c r="BQ267" s="1">
        <v>3.3730000000000002</v>
      </c>
      <c r="BR267" s="3">
        <v>45831</v>
      </c>
      <c r="BS267" s="1">
        <v>3.3849999999999998</v>
      </c>
      <c r="BT267" s="3">
        <v>45831</v>
      </c>
      <c r="BU267" s="1">
        <v>3.4079999999999999</v>
      </c>
      <c r="BV267" s="3">
        <v>45831</v>
      </c>
      <c r="BW267" s="1">
        <v>3.4380000000000002</v>
      </c>
      <c r="BY267" s="3">
        <v>45821</v>
      </c>
      <c r="BZ267" s="1">
        <v>6.5</v>
      </c>
      <c r="CA267" s="3">
        <v>45812</v>
      </c>
      <c r="CB267" s="1">
        <v>6.5</v>
      </c>
      <c r="CC267" s="3">
        <v>45831</v>
      </c>
      <c r="CD267" s="1">
        <v>6.516</v>
      </c>
      <c r="CE267" s="3">
        <v>45831</v>
      </c>
      <c r="CF267" s="1">
        <v>6.516</v>
      </c>
      <c r="CG267" s="3">
        <v>45831</v>
      </c>
      <c r="CH267" s="1">
        <v>6.52</v>
      </c>
      <c r="CI267" s="3">
        <v>45831</v>
      </c>
      <c r="CJ267" s="1">
        <v>6.24</v>
      </c>
      <c r="CK267" s="3">
        <v>45831</v>
      </c>
      <c r="CL267" s="1">
        <v>5.92</v>
      </c>
      <c r="CM267" s="3">
        <v>45831</v>
      </c>
      <c r="CN267" s="1">
        <v>5.65</v>
      </c>
      <c r="CO267" s="3">
        <v>45825</v>
      </c>
      <c r="CP267" s="1">
        <v>5.51</v>
      </c>
      <c r="CQ267" s="3">
        <v>45825</v>
      </c>
      <c r="CR267" s="1">
        <v>5.55</v>
      </c>
      <c r="CS267" s="3">
        <v>45825</v>
      </c>
      <c r="CT267" s="1">
        <v>5.59</v>
      </c>
    </row>
    <row r="268" spans="31:98" x14ac:dyDescent="0.2">
      <c r="AE268" s="3">
        <v>45828</v>
      </c>
      <c r="AF268" s="1">
        <v>5.25</v>
      </c>
      <c r="AG268" s="3">
        <v>45812</v>
      </c>
      <c r="AH268" s="1">
        <v>5.21</v>
      </c>
      <c r="AI268" s="3">
        <v>45828</v>
      </c>
      <c r="AJ268" s="2">
        <v>5.125</v>
      </c>
      <c r="AK268" s="3">
        <v>45828</v>
      </c>
      <c r="AL268" s="2">
        <v>5.0650000000000004</v>
      </c>
      <c r="AM268" s="3">
        <v>45828</v>
      </c>
      <c r="AN268" s="2">
        <v>4.87</v>
      </c>
      <c r="AO268" s="3">
        <v>45828</v>
      </c>
      <c r="AP268" s="2">
        <v>4.49</v>
      </c>
      <c r="AQ268" s="3">
        <v>45828</v>
      </c>
      <c r="AR268" s="2">
        <v>4.2424999999999997</v>
      </c>
      <c r="AS268" s="3">
        <v>45828</v>
      </c>
      <c r="AT268" s="2">
        <v>4.0625</v>
      </c>
      <c r="AU268" s="3">
        <v>45828</v>
      </c>
      <c r="AV268" s="2">
        <v>3.9975000000000001</v>
      </c>
      <c r="AW268" s="3">
        <v>45828</v>
      </c>
      <c r="AX268" s="2">
        <v>3.9649999999999999</v>
      </c>
      <c r="AY268" s="3">
        <v>45828</v>
      </c>
      <c r="AZ268" s="2">
        <v>3.9775</v>
      </c>
      <c r="BB268" s="3">
        <v>45814</v>
      </c>
      <c r="BC268" s="1">
        <v>3.5</v>
      </c>
      <c r="BD268" s="3">
        <v>45814</v>
      </c>
      <c r="BE268" s="1">
        <v>3.51</v>
      </c>
      <c r="BF268" s="3">
        <v>45828</v>
      </c>
      <c r="BG268" s="1">
        <v>3.53</v>
      </c>
      <c r="BH268" s="3">
        <v>45828</v>
      </c>
      <c r="BI268" s="1">
        <v>3.4830000000000001</v>
      </c>
      <c r="BJ268" s="3">
        <v>45828</v>
      </c>
      <c r="BK268" s="1">
        <v>3.468</v>
      </c>
      <c r="BL268" s="3">
        <v>45828</v>
      </c>
      <c r="BM268" s="1">
        <v>3.39</v>
      </c>
      <c r="BN268" s="3">
        <v>45828</v>
      </c>
      <c r="BO268" s="1">
        <v>3.3650000000000002</v>
      </c>
      <c r="BP268" s="3">
        <v>45828</v>
      </c>
      <c r="BQ268" s="1">
        <v>3.35</v>
      </c>
      <c r="BR268" s="3">
        <v>45828</v>
      </c>
      <c r="BS268" s="1">
        <v>3.363</v>
      </c>
      <c r="BT268" s="3">
        <v>45828</v>
      </c>
      <c r="BU268" s="1">
        <v>3.383</v>
      </c>
      <c r="BV268" s="3">
        <v>45828</v>
      </c>
      <c r="BW268" s="1">
        <v>3.4180000000000001</v>
      </c>
      <c r="BY268" s="3">
        <v>45820</v>
      </c>
      <c r="BZ268" s="1">
        <v>6.5</v>
      </c>
      <c r="CA268" s="3">
        <v>45811</v>
      </c>
      <c r="CB268" s="1">
        <v>6.5</v>
      </c>
      <c r="CC268" s="3">
        <v>45828</v>
      </c>
      <c r="CD268" s="1">
        <v>6.5110000000000001</v>
      </c>
      <c r="CE268" s="3">
        <v>45828</v>
      </c>
      <c r="CF268" s="1">
        <v>6.5119999999999996</v>
      </c>
      <c r="CG268" s="3">
        <v>45828</v>
      </c>
      <c r="CH268" s="1">
        <v>6.51</v>
      </c>
      <c r="CI268" s="3">
        <v>45828</v>
      </c>
      <c r="CJ268" s="1">
        <v>6.26</v>
      </c>
      <c r="CK268" s="3">
        <v>45828</v>
      </c>
      <c r="CL268" s="1">
        <v>5.93</v>
      </c>
      <c r="CM268" s="3">
        <v>45828</v>
      </c>
      <c r="CN268" s="1">
        <v>5.65</v>
      </c>
      <c r="CO268" s="3">
        <v>45824</v>
      </c>
      <c r="CP268" s="1">
        <v>5.48</v>
      </c>
      <c r="CQ268" s="3">
        <v>45824</v>
      </c>
      <c r="CR268" s="1">
        <v>5.51</v>
      </c>
      <c r="CS268" s="3">
        <v>45824</v>
      </c>
      <c r="CT268" s="1">
        <v>5.55</v>
      </c>
    </row>
    <row r="269" spans="31:98" x14ac:dyDescent="0.2">
      <c r="AE269" s="3">
        <v>45827</v>
      </c>
      <c r="AF269" s="1">
        <v>5.25</v>
      </c>
      <c r="AG269" s="3">
        <v>45811</v>
      </c>
      <c r="AH269" s="1">
        <v>5.2</v>
      </c>
      <c r="AI269" s="3">
        <v>45827</v>
      </c>
      <c r="AJ269" s="2">
        <v>5.1150000000000002</v>
      </c>
      <c r="AK269" s="3">
        <v>45827</v>
      </c>
      <c r="AL269" s="2">
        <v>5.0549999999999997</v>
      </c>
      <c r="AM269" s="3">
        <v>45827</v>
      </c>
      <c r="AN269" s="2">
        <v>4.8499999999999996</v>
      </c>
      <c r="AO269" s="3">
        <v>45827</v>
      </c>
      <c r="AP269" s="2">
        <v>4.4649999999999999</v>
      </c>
      <c r="AQ269" s="3">
        <v>45827</v>
      </c>
      <c r="AR269" s="2">
        <v>4.1900000000000004</v>
      </c>
      <c r="AS269" s="3">
        <v>45827</v>
      </c>
      <c r="AT269" s="2">
        <v>3.9950000000000001</v>
      </c>
      <c r="AU269" s="3">
        <v>45827</v>
      </c>
      <c r="AV269" s="2">
        <v>3.9275000000000002</v>
      </c>
      <c r="AW269" s="3">
        <v>45827</v>
      </c>
      <c r="AX269" s="2">
        <v>3.8875000000000002</v>
      </c>
      <c r="AY269" s="3">
        <v>45827</v>
      </c>
      <c r="AZ269" s="2">
        <v>3.8975</v>
      </c>
      <c r="BB269" s="3">
        <v>45813</v>
      </c>
      <c r="BC269" s="1">
        <v>3.5</v>
      </c>
      <c r="BD269" s="3">
        <v>45813</v>
      </c>
      <c r="BE269" s="1">
        <v>3.51</v>
      </c>
      <c r="BF269" s="3">
        <v>45827</v>
      </c>
      <c r="BG269" s="1">
        <v>3.53</v>
      </c>
      <c r="BH269" s="3">
        <v>45827</v>
      </c>
      <c r="BI269" s="1">
        <v>3.488</v>
      </c>
      <c r="BJ269" s="3">
        <v>45827</v>
      </c>
      <c r="BK269" s="1">
        <v>3.48</v>
      </c>
      <c r="BL269" s="3">
        <v>45827</v>
      </c>
      <c r="BM269" s="1">
        <v>3.395</v>
      </c>
      <c r="BN269" s="3">
        <v>45827</v>
      </c>
      <c r="BO269" s="1">
        <v>3.35</v>
      </c>
      <c r="BP269" s="3">
        <v>45827</v>
      </c>
      <c r="BQ269" s="1">
        <v>3.335</v>
      </c>
      <c r="BR269" s="3">
        <v>45827</v>
      </c>
      <c r="BS269" s="1">
        <v>3.35</v>
      </c>
      <c r="BT269" s="3">
        <v>45827</v>
      </c>
      <c r="BU269" s="1">
        <v>3.37</v>
      </c>
      <c r="BV269" s="3">
        <v>45827</v>
      </c>
      <c r="BW269" s="1">
        <v>3.3980000000000001</v>
      </c>
      <c r="BY269" s="3">
        <v>45819</v>
      </c>
      <c r="BZ269" s="1">
        <v>6.5</v>
      </c>
      <c r="CA269" s="3">
        <v>45810</v>
      </c>
      <c r="CB269" s="1">
        <v>6.5</v>
      </c>
      <c r="CC269" s="3">
        <v>45827</v>
      </c>
      <c r="CD269" s="1">
        <v>6.5110000000000001</v>
      </c>
      <c r="CE269" s="3">
        <v>45827</v>
      </c>
      <c r="CF269" s="1">
        <v>6.5140000000000002</v>
      </c>
      <c r="CG269" s="3">
        <v>45827</v>
      </c>
      <c r="CH269" s="1">
        <v>6.5250000000000004</v>
      </c>
      <c r="CI269" s="3">
        <v>45827</v>
      </c>
      <c r="CJ269" s="1">
        <v>6.3</v>
      </c>
      <c r="CK269" s="3">
        <v>45827</v>
      </c>
      <c r="CL269" s="1">
        <v>5.9950000000000001</v>
      </c>
      <c r="CM269" s="3">
        <v>45827</v>
      </c>
      <c r="CN269" s="1">
        <v>5.74</v>
      </c>
      <c r="CO269" s="3">
        <v>45821</v>
      </c>
      <c r="CP269" s="1">
        <v>5.6550000000000002</v>
      </c>
      <c r="CQ269" s="3">
        <v>45821</v>
      </c>
      <c r="CR269" s="1">
        <v>5.7050000000000001</v>
      </c>
      <c r="CS269" s="3">
        <v>45821</v>
      </c>
      <c r="CT269" s="1">
        <v>5.7750000000000004</v>
      </c>
    </row>
    <row r="270" spans="31:98" x14ac:dyDescent="0.2">
      <c r="AE270" s="3">
        <v>45826</v>
      </c>
      <c r="AF270" s="1">
        <v>5.25</v>
      </c>
      <c r="AG270" s="3">
        <v>45810</v>
      </c>
      <c r="AH270" s="1">
        <v>5.19</v>
      </c>
      <c r="AI270" s="3">
        <v>45826</v>
      </c>
      <c r="AJ270" s="2">
        <v>5.1150000000000002</v>
      </c>
      <c r="AK270" s="3">
        <v>45826</v>
      </c>
      <c r="AL270" s="2">
        <v>5.0549999999999997</v>
      </c>
      <c r="AM270" s="3">
        <v>45826</v>
      </c>
      <c r="AN270" s="2">
        <v>4.8499999999999996</v>
      </c>
      <c r="AO270" s="3">
        <v>45826</v>
      </c>
      <c r="AP270" s="2">
        <v>4.46</v>
      </c>
      <c r="AQ270" s="3">
        <v>45826</v>
      </c>
      <c r="AR270" s="2">
        <v>4.1849999999999996</v>
      </c>
      <c r="AS270" s="3">
        <v>45826</v>
      </c>
      <c r="AT270" s="2">
        <v>3.99</v>
      </c>
      <c r="AU270" s="3">
        <v>45826</v>
      </c>
      <c r="AV270" s="2">
        <v>3.9224999999999999</v>
      </c>
      <c r="AW270" s="3">
        <v>45826</v>
      </c>
      <c r="AX270" s="2">
        <v>3.8824999999999998</v>
      </c>
      <c r="AY270" s="3">
        <v>45826</v>
      </c>
      <c r="AZ270" s="2">
        <v>3.8925000000000001</v>
      </c>
      <c r="BB270" s="3">
        <v>45812</v>
      </c>
      <c r="BC270" s="1">
        <v>3.5</v>
      </c>
      <c r="BD270" s="3">
        <v>45812</v>
      </c>
      <c r="BE270" s="1">
        <v>3.51</v>
      </c>
      <c r="BF270" s="3">
        <v>45826</v>
      </c>
      <c r="BG270" s="1">
        <v>3.5249999999999999</v>
      </c>
      <c r="BH270" s="3">
        <v>45826</v>
      </c>
      <c r="BI270" s="1">
        <v>3.4750000000000001</v>
      </c>
      <c r="BJ270" s="3">
        <v>45826</v>
      </c>
      <c r="BK270" s="1">
        <v>3.46</v>
      </c>
      <c r="BL270" s="3">
        <v>45826</v>
      </c>
      <c r="BM270" s="1">
        <v>3.3879999999999999</v>
      </c>
      <c r="BN270" s="3">
        <v>45826</v>
      </c>
      <c r="BO270" s="1">
        <v>3.298</v>
      </c>
      <c r="BP270" s="3">
        <v>45826</v>
      </c>
      <c r="BQ270" s="1">
        <v>3.2749999999999999</v>
      </c>
      <c r="BR270" s="3">
        <v>45826</v>
      </c>
      <c r="BS270" s="1">
        <v>3.2879999999999998</v>
      </c>
      <c r="BT270" s="3">
        <v>45826</v>
      </c>
      <c r="BU270" s="1">
        <v>3.3029999999999999</v>
      </c>
      <c r="BV270" s="3">
        <v>45826</v>
      </c>
      <c r="BW270" s="1">
        <v>3.3380000000000001</v>
      </c>
      <c r="BY270" s="3">
        <v>45818</v>
      </c>
      <c r="BZ270" s="1">
        <v>6.5</v>
      </c>
      <c r="CA270" s="3">
        <v>45807</v>
      </c>
      <c r="CB270" s="1">
        <v>6.5</v>
      </c>
      <c r="CC270" s="3">
        <v>45826</v>
      </c>
      <c r="CD270" s="1">
        <v>6.5049999999999999</v>
      </c>
      <c r="CE270" s="3">
        <v>45826</v>
      </c>
      <c r="CF270" s="1">
        <v>6.5049999999999999</v>
      </c>
      <c r="CG270" s="3">
        <v>45826</v>
      </c>
      <c r="CH270" s="1">
        <v>6.51</v>
      </c>
      <c r="CI270" s="3">
        <v>45826</v>
      </c>
      <c r="CJ270" s="1">
        <v>6.22</v>
      </c>
      <c r="CK270" s="3">
        <v>45826</v>
      </c>
      <c r="CL270" s="1">
        <v>5.86</v>
      </c>
      <c r="CM270" s="3">
        <v>45826</v>
      </c>
      <c r="CN270" s="1">
        <v>5.5549999999999997</v>
      </c>
      <c r="CO270" s="3">
        <v>45820</v>
      </c>
      <c r="CP270" s="1">
        <v>5.5949999999999998</v>
      </c>
      <c r="CQ270" s="3">
        <v>45820</v>
      </c>
      <c r="CR270" s="1">
        <v>5.6349999999999998</v>
      </c>
      <c r="CS270" s="3">
        <v>45820</v>
      </c>
      <c r="CT270" s="1">
        <v>5.7050000000000001</v>
      </c>
    </row>
    <row r="271" spans="31:98" x14ac:dyDescent="0.2">
      <c r="AE271" s="3">
        <v>45825</v>
      </c>
      <c r="AF271" s="1">
        <v>5.25</v>
      </c>
      <c r="AG271" s="3">
        <v>45807</v>
      </c>
      <c r="AH271" s="1">
        <v>5.22</v>
      </c>
      <c r="AI271" s="3">
        <v>45825</v>
      </c>
      <c r="AJ271" s="2">
        <v>5.1050000000000004</v>
      </c>
      <c r="AK271" s="3">
        <v>45825</v>
      </c>
      <c r="AL271" s="2">
        <v>5.04</v>
      </c>
      <c r="AM271" s="3">
        <v>45825</v>
      </c>
      <c r="AN271" s="2">
        <v>4.8499999999999996</v>
      </c>
      <c r="AO271" s="3">
        <v>45825</v>
      </c>
      <c r="AP271" s="2">
        <v>4.4625000000000004</v>
      </c>
      <c r="AQ271" s="3">
        <v>45825</v>
      </c>
      <c r="AR271" s="2">
        <v>4.1875</v>
      </c>
      <c r="AS271" s="3">
        <v>45825</v>
      </c>
      <c r="AT271" s="2">
        <v>3.9849999999999999</v>
      </c>
      <c r="AU271" s="3">
        <v>45825</v>
      </c>
      <c r="AV271" s="2">
        <v>3.9175</v>
      </c>
      <c r="AW271" s="3">
        <v>45825</v>
      </c>
      <c r="AX271" s="2">
        <v>3.8675000000000002</v>
      </c>
      <c r="AY271" s="3">
        <v>45825</v>
      </c>
      <c r="AZ271" s="2">
        <v>3.875</v>
      </c>
      <c r="BB271" s="3">
        <v>45811</v>
      </c>
      <c r="BC271" s="1">
        <v>3.5</v>
      </c>
      <c r="BD271" s="3">
        <v>45811</v>
      </c>
      <c r="BE271" s="1">
        <v>3.5</v>
      </c>
      <c r="BF271" s="3">
        <v>45825</v>
      </c>
      <c r="BG271" s="1">
        <v>3.5249999999999999</v>
      </c>
      <c r="BH271" s="3">
        <v>45825</v>
      </c>
      <c r="BI271" s="1">
        <v>3.4689999999999999</v>
      </c>
      <c r="BJ271" s="3">
        <v>45825</v>
      </c>
      <c r="BK271" s="1">
        <v>3.4529999999999998</v>
      </c>
      <c r="BL271" s="3">
        <v>45825</v>
      </c>
      <c r="BM271" s="1">
        <v>3.395</v>
      </c>
      <c r="BN271" s="3">
        <v>45825</v>
      </c>
      <c r="BO271" s="1">
        <v>3.3450000000000002</v>
      </c>
      <c r="BP271" s="3">
        <v>45825</v>
      </c>
      <c r="BQ271" s="1">
        <v>3.3180000000000001</v>
      </c>
      <c r="BR271" s="3">
        <v>45825</v>
      </c>
      <c r="BS271" s="1">
        <v>3.3380000000000001</v>
      </c>
      <c r="BT271" s="3">
        <v>45825</v>
      </c>
      <c r="BU271" s="1">
        <v>3.355</v>
      </c>
      <c r="BV271" s="3">
        <v>45825</v>
      </c>
      <c r="BW271" s="1">
        <v>3.403</v>
      </c>
      <c r="BY271" s="3">
        <v>45817</v>
      </c>
      <c r="BZ271" s="1">
        <v>6.5</v>
      </c>
      <c r="CA271" s="3">
        <v>45806</v>
      </c>
      <c r="CB271" s="1">
        <v>6.5</v>
      </c>
      <c r="CC271" s="3">
        <v>45825</v>
      </c>
      <c r="CD271" s="1">
        <v>6.5</v>
      </c>
      <c r="CE271" s="3">
        <v>45825</v>
      </c>
      <c r="CF271" s="1">
        <v>6.5010000000000003</v>
      </c>
      <c r="CG271" s="3">
        <v>45825</v>
      </c>
      <c r="CH271" s="1">
        <v>6.5</v>
      </c>
      <c r="CI271" s="3">
        <v>45825</v>
      </c>
      <c r="CJ271" s="1">
        <v>6.2</v>
      </c>
      <c r="CK271" s="3">
        <v>45825</v>
      </c>
      <c r="CL271" s="1">
        <v>5.83</v>
      </c>
      <c r="CM271" s="3">
        <v>45825</v>
      </c>
      <c r="CN271" s="1">
        <v>5.51</v>
      </c>
      <c r="CO271" s="3">
        <v>45819</v>
      </c>
      <c r="CP271" s="1">
        <v>5.66</v>
      </c>
      <c r="CQ271" s="3">
        <v>45819</v>
      </c>
      <c r="CR271" s="1">
        <v>5.7</v>
      </c>
      <c r="CS271" s="3">
        <v>45819</v>
      </c>
      <c r="CT271" s="1">
        <v>5.77</v>
      </c>
    </row>
    <row r="272" spans="31:98" x14ac:dyDescent="0.2">
      <c r="AE272" s="3">
        <v>45824</v>
      </c>
      <c r="AF272" s="1">
        <v>5.25</v>
      </c>
      <c r="AG272" s="3">
        <v>45806</v>
      </c>
      <c r="AH272" s="1">
        <v>5.21</v>
      </c>
      <c r="AI272" s="3">
        <v>45824</v>
      </c>
      <c r="AJ272" s="2">
        <v>5.0625</v>
      </c>
      <c r="AK272" s="3">
        <v>45824</v>
      </c>
      <c r="AL272" s="2">
        <v>5</v>
      </c>
      <c r="AM272" s="3">
        <v>45824</v>
      </c>
      <c r="AN272" s="2">
        <v>4.835</v>
      </c>
      <c r="AO272" s="3">
        <v>45824</v>
      </c>
      <c r="AP272" s="2">
        <v>4.45</v>
      </c>
      <c r="AQ272" s="3">
        <v>45824</v>
      </c>
      <c r="AR272" s="2">
        <v>4.1725000000000003</v>
      </c>
      <c r="AS272" s="3">
        <v>45824</v>
      </c>
      <c r="AT272" s="2">
        <v>3.9725000000000001</v>
      </c>
      <c r="AU272" s="3">
        <v>45824</v>
      </c>
      <c r="AV272" s="2">
        <v>3.9</v>
      </c>
      <c r="AW272" s="3">
        <v>45824</v>
      </c>
      <c r="AX272" s="2">
        <v>3.855</v>
      </c>
      <c r="AY272" s="3">
        <v>45824</v>
      </c>
      <c r="AZ272" s="2">
        <v>3.8624999999999998</v>
      </c>
      <c r="BB272" s="3">
        <v>45810</v>
      </c>
      <c r="BC272" s="1">
        <v>3.5</v>
      </c>
      <c r="BD272" s="3">
        <v>45810</v>
      </c>
      <c r="BE272" s="1">
        <v>3.5</v>
      </c>
      <c r="BF272" s="3">
        <v>45824</v>
      </c>
      <c r="BG272" s="1">
        <v>3.53</v>
      </c>
      <c r="BH272" s="3">
        <v>45824</v>
      </c>
      <c r="BI272" s="1">
        <v>3.4729999999999999</v>
      </c>
      <c r="BJ272" s="3">
        <v>45824</v>
      </c>
      <c r="BK272" s="1">
        <v>3.45</v>
      </c>
      <c r="BL272" s="3">
        <v>45824</v>
      </c>
      <c r="BM272" s="1">
        <v>3.3849999999999998</v>
      </c>
      <c r="BN272" s="3">
        <v>45824</v>
      </c>
      <c r="BO272" s="1">
        <v>3.3250000000000002</v>
      </c>
      <c r="BP272" s="3">
        <v>45824</v>
      </c>
      <c r="BQ272" s="1">
        <v>3.2930000000000001</v>
      </c>
      <c r="BR272" s="3">
        <v>45824</v>
      </c>
      <c r="BS272" s="1">
        <v>3.3079999999999998</v>
      </c>
      <c r="BT272" s="3">
        <v>45824</v>
      </c>
      <c r="BU272" s="1">
        <v>3.33</v>
      </c>
      <c r="BV272" s="3">
        <v>45824</v>
      </c>
      <c r="BW272" s="1">
        <v>3.37</v>
      </c>
      <c r="BY272" s="3">
        <v>45814</v>
      </c>
      <c r="BZ272" s="1">
        <v>6.5</v>
      </c>
      <c r="CA272" s="3">
        <v>45805</v>
      </c>
      <c r="CB272" s="1">
        <v>6.5</v>
      </c>
      <c r="CC272" s="3">
        <v>45824</v>
      </c>
      <c r="CD272" s="1">
        <v>6.5</v>
      </c>
      <c r="CE272" s="3">
        <v>45824</v>
      </c>
      <c r="CF272" s="1">
        <v>6.4950000000000001</v>
      </c>
      <c r="CG272" s="3">
        <v>45824</v>
      </c>
      <c r="CH272" s="1">
        <v>6.49</v>
      </c>
      <c r="CI272" s="3">
        <v>45824</v>
      </c>
      <c r="CJ272" s="1">
        <v>6.22</v>
      </c>
      <c r="CK272" s="3">
        <v>45824</v>
      </c>
      <c r="CL272" s="1">
        <v>5.8049999999999997</v>
      </c>
      <c r="CM272" s="3">
        <v>45824</v>
      </c>
      <c r="CN272" s="1">
        <v>5.48</v>
      </c>
      <c r="CO272" s="3">
        <v>45818</v>
      </c>
      <c r="CP272" s="1">
        <v>5.57</v>
      </c>
      <c r="CQ272" s="3">
        <v>45818</v>
      </c>
      <c r="CR272" s="1">
        <v>5.61</v>
      </c>
      <c r="CS272" s="3">
        <v>45818</v>
      </c>
      <c r="CT272" s="1">
        <v>5.67</v>
      </c>
    </row>
    <row r="273" spans="31:98" x14ac:dyDescent="0.2">
      <c r="AE273" s="3">
        <v>45821</v>
      </c>
      <c r="AF273" s="1">
        <v>5.25</v>
      </c>
      <c r="AG273" s="3">
        <v>45805</v>
      </c>
      <c r="AH273" s="1">
        <v>5.23</v>
      </c>
      <c r="AI273" s="3">
        <v>45821</v>
      </c>
      <c r="AJ273" s="2">
        <v>5.0599999999999996</v>
      </c>
      <c r="AK273" s="3">
        <v>45821</v>
      </c>
      <c r="AL273" s="2">
        <v>4.99</v>
      </c>
      <c r="AM273" s="3">
        <v>45821</v>
      </c>
      <c r="AN273" s="2">
        <v>4.82</v>
      </c>
      <c r="AO273" s="3">
        <v>45821</v>
      </c>
      <c r="AP273" s="2">
        <v>4.4349999999999996</v>
      </c>
      <c r="AQ273" s="3">
        <v>45821</v>
      </c>
      <c r="AR273" s="2">
        <v>4.1449999999999996</v>
      </c>
      <c r="AS273" s="3">
        <v>45821</v>
      </c>
      <c r="AT273" s="2">
        <v>3.9449999999999998</v>
      </c>
      <c r="AU273" s="3">
        <v>45821</v>
      </c>
      <c r="AV273" s="2">
        <v>3.87</v>
      </c>
      <c r="AW273" s="3">
        <v>45821</v>
      </c>
      <c r="AX273" s="2">
        <v>3.8224999999999998</v>
      </c>
      <c r="AY273" s="3">
        <v>45821</v>
      </c>
      <c r="AZ273" s="2">
        <v>3.8275000000000001</v>
      </c>
      <c r="BB273" s="3">
        <v>45807</v>
      </c>
      <c r="BC273" s="1">
        <v>3.5</v>
      </c>
      <c r="BD273" s="3">
        <v>45807</v>
      </c>
      <c r="BE273" s="1">
        <v>3.5</v>
      </c>
      <c r="BF273" s="3">
        <v>45821</v>
      </c>
      <c r="BG273" s="1">
        <v>3.5249999999999999</v>
      </c>
      <c r="BH273" s="3">
        <v>45821</v>
      </c>
      <c r="BI273" s="1">
        <v>3.4830000000000001</v>
      </c>
      <c r="BJ273" s="3">
        <v>45821</v>
      </c>
      <c r="BK273" s="1">
        <v>3.4649999999999999</v>
      </c>
      <c r="BL273" s="3">
        <v>45821</v>
      </c>
      <c r="BM273" s="1">
        <v>3.4079999999999999</v>
      </c>
      <c r="BN273" s="3">
        <v>45821</v>
      </c>
      <c r="BO273" s="1">
        <v>3.3450000000000002</v>
      </c>
      <c r="BP273" s="3">
        <v>45821</v>
      </c>
      <c r="BQ273" s="1">
        <v>3.3050000000000002</v>
      </c>
      <c r="BR273" s="3">
        <v>45821</v>
      </c>
      <c r="BS273" s="1">
        <v>3.32</v>
      </c>
      <c r="BT273" s="3">
        <v>45821</v>
      </c>
      <c r="BU273" s="1">
        <v>3.343</v>
      </c>
      <c r="BV273" s="3">
        <v>45821</v>
      </c>
      <c r="BW273" s="1">
        <v>3.3929999999999998</v>
      </c>
      <c r="BY273" s="3">
        <v>45813</v>
      </c>
      <c r="BZ273" s="1">
        <v>6.5</v>
      </c>
      <c r="CA273" s="3">
        <v>45804</v>
      </c>
      <c r="CB273" s="1">
        <v>6.5</v>
      </c>
      <c r="CC273" s="3">
        <v>45821</v>
      </c>
      <c r="CD273" s="1">
        <v>6.5</v>
      </c>
      <c r="CE273" s="3">
        <v>45821</v>
      </c>
      <c r="CF273" s="1">
        <v>6.5</v>
      </c>
      <c r="CG273" s="3">
        <v>45821</v>
      </c>
      <c r="CH273" s="1">
        <v>6.5</v>
      </c>
      <c r="CI273" s="3">
        <v>45821</v>
      </c>
      <c r="CJ273" s="1">
        <v>6.29</v>
      </c>
      <c r="CK273" s="3">
        <v>45821</v>
      </c>
      <c r="CL273" s="1">
        <v>5.92</v>
      </c>
      <c r="CM273" s="3">
        <v>45821</v>
      </c>
      <c r="CN273" s="1">
        <v>5.62</v>
      </c>
      <c r="CO273" s="3">
        <v>45817</v>
      </c>
      <c r="CP273" s="1">
        <v>5.47</v>
      </c>
      <c r="CQ273" s="3">
        <v>45817</v>
      </c>
      <c r="CR273" s="1">
        <v>5.5</v>
      </c>
      <c r="CS273" s="3">
        <v>45817</v>
      </c>
      <c r="CT273" s="1">
        <v>5.55</v>
      </c>
    </row>
    <row r="274" spans="31:98" x14ac:dyDescent="0.2">
      <c r="AE274" s="3">
        <v>45820</v>
      </c>
      <c r="AF274" s="1">
        <v>5.25</v>
      </c>
      <c r="AG274" s="3">
        <v>45804</v>
      </c>
      <c r="AH274" s="1">
        <v>5.23</v>
      </c>
      <c r="AI274" s="3">
        <v>45820</v>
      </c>
      <c r="AJ274" s="2">
        <v>5.0650000000000004</v>
      </c>
      <c r="AK274" s="3">
        <v>45820</v>
      </c>
      <c r="AL274" s="2">
        <v>5</v>
      </c>
      <c r="AM274" s="3">
        <v>45820</v>
      </c>
      <c r="AN274" s="2">
        <v>4.8049999999999997</v>
      </c>
      <c r="AO274" s="3">
        <v>45820</v>
      </c>
      <c r="AP274" s="2">
        <v>4.4249999999999998</v>
      </c>
      <c r="AQ274" s="3">
        <v>45820</v>
      </c>
      <c r="AR274" s="2">
        <v>4.1449999999999996</v>
      </c>
      <c r="AS274" s="3">
        <v>45820</v>
      </c>
      <c r="AT274" s="2">
        <v>3.9424999999999999</v>
      </c>
      <c r="AU274" s="3">
        <v>45820</v>
      </c>
      <c r="AV274" s="2">
        <v>3.8675000000000002</v>
      </c>
      <c r="AW274" s="3">
        <v>45820</v>
      </c>
      <c r="AX274" s="2">
        <v>3.8174999999999999</v>
      </c>
      <c r="AY274" s="3">
        <v>45820</v>
      </c>
      <c r="AZ274" s="2">
        <v>3.8224999999999998</v>
      </c>
      <c r="BB274" s="3">
        <v>45806</v>
      </c>
      <c r="BC274" s="1">
        <v>3.5</v>
      </c>
      <c r="BD274" s="3">
        <v>45806</v>
      </c>
      <c r="BE274" s="1">
        <v>3.5</v>
      </c>
      <c r="BF274" s="3">
        <v>45820</v>
      </c>
      <c r="BG274" s="1">
        <v>3.52</v>
      </c>
      <c r="BH274" s="3">
        <v>45820</v>
      </c>
      <c r="BI274" s="1">
        <v>3.4780000000000002</v>
      </c>
      <c r="BJ274" s="3">
        <v>45820</v>
      </c>
      <c r="BK274" s="1">
        <v>3.45</v>
      </c>
      <c r="BL274" s="3">
        <v>45820</v>
      </c>
      <c r="BM274" s="1">
        <v>3.395</v>
      </c>
      <c r="BN274" s="3">
        <v>45820</v>
      </c>
      <c r="BO274" s="1">
        <v>3.31</v>
      </c>
      <c r="BP274" s="3">
        <v>45820</v>
      </c>
      <c r="BQ274" s="1">
        <v>3.26</v>
      </c>
      <c r="BR274" s="3">
        <v>45820</v>
      </c>
      <c r="BS274" s="1">
        <v>3.2679999999999998</v>
      </c>
      <c r="BT274" s="3">
        <v>45820</v>
      </c>
      <c r="BU274" s="1">
        <v>3.2850000000000001</v>
      </c>
      <c r="BV274" s="3">
        <v>45820</v>
      </c>
      <c r="BW274" s="1">
        <v>3.33</v>
      </c>
      <c r="BY274" s="3">
        <v>45812</v>
      </c>
      <c r="BZ274" s="1">
        <v>6.5</v>
      </c>
      <c r="CA274" s="3">
        <v>45803</v>
      </c>
      <c r="CB274" s="1">
        <v>6.5</v>
      </c>
      <c r="CC274" s="3">
        <v>45820</v>
      </c>
      <c r="CD274" s="1">
        <v>6.4960000000000004</v>
      </c>
      <c r="CE274" s="3">
        <v>45820</v>
      </c>
      <c r="CF274" s="1">
        <v>6.4870000000000001</v>
      </c>
      <c r="CG274" s="3">
        <v>45820</v>
      </c>
      <c r="CH274" s="1">
        <v>6.48</v>
      </c>
      <c r="CI274" s="3">
        <v>45820</v>
      </c>
      <c r="CJ274" s="1">
        <v>6.24</v>
      </c>
      <c r="CK274" s="3">
        <v>45820</v>
      </c>
      <c r="CL274" s="1">
        <v>5.86</v>
      </c>
      <c r="CM274" s="3">
        <v>45820</v>
      </c>
      <c r="CN274" s="1">
        <v>5.57</v>
      </c>
      <c r="CO274" s="3">
        <v>45814</v>
      </c>
      <c r="CP274" s="1">
        <v>5.47</v>
      </c>
      <c r="CQ274" s="3">
        <v>45814</v>
      </c>
      <c r="CR274" s="1">
        <v>5.5</v>
      </c>
      <c r="CS274" s="3">
        <v>45814</v>
      </c>
      <c r="CT274" s="1">
        <v>5.55</v>
      </c>
    </row>
    <row r="275" spans="31:98" x14ac:dyDescent="0.2">
      <c r="AE275" s="3">
        <v>45819</v>
      </c>
      <c r="AF275" s="1">
        <v>5.25</v>
      </c>
      <c r="AG275" s="3">
        <v>45803</v>
      </c>
      <c r="AH275" s="1">
        <v>5.22</v>
      </c>
      <c r="AI275" s="3">
        <v>45819</v>
      </c>
      <c r="AJ275" s="2">
        <v>5.0650000000000004</v>
      </c>
      <c r="AK275" s="3">
        <v>45819</v>
      </c>
      <c r="AL275" s="2">
        <v>5.01</v>
      </c>
      <c r="AM275" s="3">
        <v>45819</v>
      </c>
      <c r="AN275" s="2">
        <v>4.82</v>
      </c>
      <c r="AO275" s="3">
        <v>45819</v>
      </c>
      <c r="AP275" s="2">
        <v>4.4450000000000003</v>
      </c>
      <c r="AQ275" s="3">
        <v>45819</v>
      </c>
      <c r="AR275" s="2">
        <v>4.18</v>
      </c>
      <c r="AS275" s="3">
        <v>45819</v>
      </c>
      <c r="AT275" s="2">
        <v>3.98</v>
      </c>
      <c r="AU275" s="3">
        <v>45819</v>
      </c>
      <c r="AV275" s="2">
        <v>3.9075000000000002</v>
      </c>
      <c r="AW275" s="3">
        <v>45819</v>
      </c>
      <c r="AX275" s="2">
        <v>3.8574999999999999</v>
      </c>
      <c r="AY275" s="3">
        <v>45819</v>
      </c>
      <c r="AZ275" s="2">
        <v>3.8624999999999998</v>
      </c>
      <c r="BB275" s="3">
        <v>45805</v>
      </c>
      <c r="BC275" s="1">
        <v>3.5</v>
      </c>
      <c r="BD275" s="3">
        <v>45805</v>
      </c>
      <c r="BE275" s="1">
        <v>3.5</v>
      </c>
      <c r="BF275" s="3">
        <v>45819</v>
      </c>
      <c r="BG275" s="1">
        <v>3.5350000000000001</v>
      </c>
      <c r="BH275" s="3">
        <v>45819</v>
      </c>
      <c r="BI275" s="1">
        <v>3.5049999999999999</v>
      </c>
      <c r="BJ275" s="3">
        <v>45819</v>
      </c>
      <c r="BK275" s="1">
        <v>3.5</v>
      </c>
      <c r="BL275" s="3">
        <v>45819</v>
      </c>
      <c r="BM275" s="1">
        <v>3.42</v>
      </c>
      <c r="BN275" s="3">
        <v>45819</v>
      </c>
      <c r="BO275" s="1">
        <v>3.355</v>
      </c>
      <c r="BP275" s="3">
        <v>45819</v>
      </c>
      <c r="BQ275" s="1">
        <v>3.3250000000000002</v>
      </c>
      <c r="BR275" s="3">
        <v>45819</v>
      </c>
      <c r="BS275" s="1">
        <v>3.33</v>
      </c>
      <c r="BT275" s="3">
        <v>45819</v>
      </c>
      <c r="BU275" s="1">
        <v>3.3450000000000002</v>
      </c>
      <c r="BV275" s="3">
        <v>45819</v>
      </c>
      <c r="BW275" s="1">
        <v>3.37</v>
      </c>
      <c r="BY275" s="3">
        <v>45811</v>
      </c>
      <c r="BZ275" s="1">
        <v>6.5</v>
      </c>
      <c r="CA275" s="3">
        <v>45800</v>
      </c>
      <c r="CB275" s="1">
        <v>6.5</v>
      </c>
      <c r="CC275" s="3">
        <v>45819</v>
      </c>
      <c r="CD275" s="1">
        <v>6.4950000000000001</v>
      </c>
      <c r="CE275" s="3">
        <v>45819</v>
      </c>
      <c r="CF275" s="1">
        <v>6.4909999999999997</v>
      </c>
      <c r="CG275" s="3">
        <v>45819</v>
      </c>
      <c r="CH275" s="1">
        <v>6.49</v>
      </c>
      <c r="CI275" s="3">
        <v>45819</v>
      </c>
      <c r="CJ275" s="1">
        <v>6.28</v>
      </c>
      <c r="CK275" s="3">
        <v>45819</v>
      </c>
      <c r="CL275" s="1">
        <v>5.92</v>
      </c>
      <c r="CM275" s="3">
        <v>45819</v>
      </c>
      <c r="CN275" s="1">
        <v>5.65</v>
      </c>
      <c r="CO275" s="3">
        <v>45813</v>
      </c>
      <c r="CP275" s="1">
        <v>5.38</v>
      </c>
      <c r="CQ275" s="3">
        <v>45813</v>
      </c>
      <c r="CR275" s="1">
        <v>5.41</v>
      </c>
      <c r="CS275" s="3">
        <v>45813</v>
      </c>
      <c r="CT275" s="1">
        <v>5.46</v>
      </c>
    </row>
    <row r="276" spans="31:98" x14ac:dyDescent="0.2">
      <c r="AE276" s="3">
        <v>45818</v>
      </c>
      <c r="AF276" s="1">
        <v>5.25</v>
      </c>
      <c r="AG276" s="3">
        <v>45800</v>
      </c>
      <c r="AH276" s="1">
        <v>5.22</v>
      </c>
      <c r="AI276" s="3">
        <v>45818</v>
      </c>
      <c r="AJ276" s="2">
        <v>5.0650000000000004</v>
      </c>
      <c r="AK276" s="3">
        <v>45818</v>
      </c>
      <c r="AL276" s="2">
        <v>5.01</v>
      </c>
      <c r="AM276" s="3">
        <v>45818</v>
      </c>
      <c r="AN276" s="2">
        <v>4.8075000000000001</v>
      </c>
      <c r="AO276" s="3">
        <v>45818</v>
      </c>
      <c r="AP276" s="2">
        <v>4.4524999999999997</v>
      </c>
      <c r="AQ276" s="3">
        <v>45818</v>
      </c>
      <c r="AR276" s="2">
        <v>4.1725000000000003</v>
      </c>
      <c r="AS276" s="3">
        <v>45818</v>
      </c>
      <c r="AT276" s="2">
        <v>3.9750000000000001</v>
      </c>
      <c r="AU276" s="3">
        <v>45818</v>
      </c>
      <c r="AV276" s="2">
        <v>3.895</v>
      </c>
      <c r="AW276" s="3">
        <v>45818</v>
      </c>
      <c r="AX276" s="2">
        <v>3.835</v>
      </c>
      <c r="AY276" s="3">
        <v>45818</v>
      </c>
      <c r="AZ276" s="2">
        <v>3.83</v>
      </c>
      <c r="BB276" s="3">
        <v>45804</v>
      </c>
      <c r="BC276" s="1">
        <v>3.5</v>
      </c>
      <c r="BD276" s="3">
        <v>45804</v>
      </c>
      <c r="BE276" s="1">
        <v>3.51</v>
      </c>
      <c r="BF276" s="3">
        <v>45818</v>
      </c>
      <c r="BG276" s="1">
        <v>3.5249999999999999</v>
      </c>
      <c r="BH276" s="3">
        <v>45818</v>
      </c>
      <c r="BI276" s="1">
        <v>3.4889999999999999</v>
      </c>
      <c r="BJ276" s="3">
        <v>45818</v>
      </c>
      <c r="BK276" s="1">
        <v>3.4729999999999999</v>
      </c>
      <c r="BL276" s="3">
        <v>45818</v>
      </c>
      <c r="BM276" s="1">
        <v>3.3929999999999998</v>
      </c>
      <c r="BN276" s="3">
        <v>45818</v>
      </c>
      <c r="BO276" s="1">
        <v>3.3330000000000002</v>
      </c>
      <c r="BP276" s="3">
        <v>45818</v>
      </c>
      <c r="BQ276" s="1">
        <v>3.29</v>
      </c>
      <c r="BR276" s="3">
        <v>45818</v>
      </c>
      <c r="BS276" s="1">
        <v>3.3</v>
      </c>
      <c r="BT276" s="3">
        <v>45818</v>
      </c>
      <c r="BU276" s="1">
        <v>3.3149999999999999</v>
      </c>
      <c r="BV276" s="3">
        <v>45818</v>
      </c>
      <c r="BW276" s="1">
        <v>3.3530000000000002</v>
      </c>
      <c r="BY276" s="3">
        <v>45810</v>
      </c>
      <c r="BZ276" s="1">
        <v>6.5</v>
      </c>
      <c r="CA276" s="3">
        <v>45799</v>
      </c>
      <c r="CB276" s="1">
        <v>6.5</v>
      </c>
      <c r="CC276" s="3">
        <v>45818</v>
      </c>
      <c r="CD276" s="1">
        <v>6.4820000000000002</v>
      </c>
      <c r="CE276" s="3">
        <v>45818</v>
      </c>
      <c r="CF276" s="1">
        <v>6.48</v>
      </c>
      <c r="CG276" s="3">
        <v>45818</v>
      </c>
      <c r="CH276" s="1">
        <v>6.48</v>
      </c>
      <c r="CI276" s="3">
        <v>45818</v>
      </c>
      <c r="CJ276" s="1">
        <v>6.24</v>
      </c>
      <c r="CK276" s="3">
        <v>45818</v>
      </c>
      <c r="CL276" s="1">
        <v>5.8449999999999998</v>
      </c>
      <c r="CM276" s="3">
        <v>45818</v>
      </c>
      <c r="CN276" s="1">
        <v>5.58</v>
      </c>
      <c r="CO276" s="3">
        <v>45812</v>
      </c>
      <c r="CP276" s="1">
        <v>5.31</v>
      </c>
      <c r="CQ276" s="3">
        <v>45812</v>
      </c>
      <c r="CR276" s="1">
        <v>5.34</v>
      </c>
      <c r="CS276" s="3">
        <v>45812</v>
      </c>
      <c r="CT276" s="1">
        <v>5.39</v>
      </c>
    </row>
    <row r="277" spans="31:98" x14ac:dyDescent="0.2">
      <c r="AE277" s="3">
        <v>45817</v>
      </c>
      <c r="AF277" s="1">
        <v>5.25</v>
      </c>
      <c r="AG277" s="3">
        <v>45799</v>
      </c>
      <c r="AH277" s="1">
        <v>5.23</v>
      </c>
      <c r="AI277" s="3">
        <v>45817</v>
      </c>
      <c r="AJ277" s="2">
        <v>5.0650000000000004</v>
      </c>
      <c r="AK277" s="3">
        <v>45817</v>
      </c>
      <c r="AL277" s="2">
        <v>5</v>
      </c>
      <c r="AM277" s="3">
        <v>45817</v>
      </c>
      <c r="AN277" s="2">
        <v>4.8</v>
      </c>
      <c r="AO277" s="3">
        <v>45817</v>
      </c>
      <c r="AP277" s="2">
        <v>4.45</v>
      </c>
      <c r="AQ277" s="3">
        <v>45817</v>
      </c>
      <c r="AR277" s="2">
        <v>4.1849999999999996</v>
      </c>
      <c r="AS277" s="3">
        <v>45817</v>
      </c>
      <c r="AT277" s="2">
        <v>3.9824999999999999</v>
      </c>
      <c r="AU277" s="3">
        <v>45817</v>
      </c>
      <c r="AV277" s="2">
        <v>3.8975</v>
      </c>
      <c r="AW277" s="3">
        <v>45817</v>
      </c>
      <c r="AX277" s="2">
        <v>3.8424999999999998</v>
      </c>
      <c r="AY277" s="3">
        <v>45817</v>
      </c>
      <c r="AZ277" s="2">
        <v>3.8424999999999998</v>
      </c>
      <c r="BB277" s="3">
        <v>45803</v>
      </c>
      <c r="BC277" s="1">
        <v>3.5</v>
      </c>
      <c r="BD277" s="3">
        <v>45803</v>
      </c>
      <c r="BE277" s="1">
        <v>3.51</v>
      </c>
      <c r="BF277" s="3">
        <v>45817</v>
      </c>
      <c r="BG277" s="1">
        <v>3.52</v>
      </c>
      <c r="BH277" s="3">
        <v>45817</v>
      </c>
      <c r="BI277" s="1">
        <v>3.508</v>
      </c>
      <c r="BJ277" s="3">
        <v>45817</v>
      </c>
      <c r="BK277" s="1">
        <v>3.4750000000000001</v>
      </c>
      <c r="BL277" s="3">
        <v>45817</v>
      </c>
      <c r="BM277" s="1">
        <v>3.375</v>
      </c>
      <c r="BN277" s="3">
        <v>45817</v>
      </c>
      <c r="BO277" s="1">
        <v>3.31</v>
      </c>
      <c r="BP277" s="3">
        <v>45817</v>
      </c>
      <c r="BQ277" s="1">
        <v>3.29</v>
      </c>
      <c r="BR277" s="3">
        <v>45817</v>
      </c>
      <c r="BS277" s="1">
        <v>3.2949999999999999</v>
      </c>
      <c r="BT277" s="3">
        <v>45817</v>
      </c>
      <c r="BU277" s="1">
        <v>3.3250000000000002</v>
      </c>
      <c r="BV277" s="3">
        <v>45817</v>
      </c>
      <c r="BW277" s="1">
        <v>3.355</v>
      </c>
      <c r="BY277" s="3">
        <v>45807</v>
      </c>
      <c r="BZ277" s="1">
        <v>6.5</v>
      </c>
      <c r="CA277" s="3">
        <v>45798</v>
      </c>
      <c r="CB277" s="1">
        <v>6.5</v>
      </c>
      <c r="CC277" s="3">
        <v>45817</v>
      </c>
      <c r="CD277" s="1">
        <v>6.4909999999999997</v>
      </c>
      <c r="CE277" s="3">
        <v>45817</v>
      </c>
      <c r="CF277" s="1">
        <v>6.4859999999999998</v>
      </c>
      <c r="CG277" s="3">
        <v>45817</v>
      </c>
      <c r="CH277" s="1">
        <v>6.48</v>
      </c>
      <c r="CI277" s="3">
        <v>45817</v>
      </c>
      <c r="CJ277" s="1">
        <v>6.24</v>
      </c>
      <c r="CK277" s="3">
        <v>45817</v>
      </c>
      <c r="CL277" s="1">
        <v>5.83</v>
      </c>
      <c r="CM277" s="3">
        <v>45817</v>
      </c>
      <c r="CN277" s="1">
        <v>5.53</v>
      </c>
      <c r="CO277" s="3">
        <v>45811</v>
      </c>
      <c r="CP277" s="1">
        <v>5.29</v>
      </c>
      <c r="CQ277" s="3">
        <v>45811</v>
      </c>
      <c r="CR277" s="1">
        <v>5.32</v>
      </c>
      <c r="CS277" s="3">
        <v>45811</v>
      </c>
      <c r="CT277" s="1">
        <v>5.37</v>
      </c>
    </row>
    <row r="278" spans="31:98" x14ac:dyDescent="0.2">
      <c r="AE278" s="3">
        <v>45814</v>
      </c>
      <c r="AF278" s="1">
        <v>5.25</v>
      </c>
      <c r="AG278" s="3">
        <v>45798</v>
      </c>
      <c r="AH278" s="1">
        <v>5.23</v>
      </c>
      <c r="AI278" s="3">
        <v>45814</v>
      </c>
      <c r="AJ278" s="2">
        <v>5.0650000000000004</v>
      </c>
      <c r="AK278" s="3">
        <v>45814</v>
      </c>
      <c r="AL278" s="2">
        <v>5</v>
      </c>
      <c r="AM278" s="3">
        <v>45814</v>
      </c>
      <c r="AN278" s="2">
        <v>4.78</v>
      </c>
      <c r="AO278" s="3">
        <v>45814</v>
      </c>
      <c r="AP278" s="2">
        <v>4.4050000000000002</v>
      </c>
      <c r="AQ278" s="3">
        <v>45814</v>
      </c>
      <c r="AR278" s="2">
        <v>4.1449999999999996</v>
      </c>
      <c r="AS278" s="3">
        <v>45814</v>
      </c>
      <c r="AT278" s="2">
        <v>3.94</v>
      </c>
      <c r="AU278" s="3">
        <v>45814</v>
      </c>
      <c r="AV278" s="2">
        <v>3.84</v>
      </c>
      <c r="AW278" s="3">
        <v>45814</v>
      </c>
      <c r="AX278" s="2">
        <v>3.78</v>
      </c>
      <c r="AY278" s="3">
        <v>45814</v>
      </c>
      <c r="AZ278" s="2">
        <v>3.78</v>
      </c>
      <c r="BB278" s="3">
        <v>45800</v>
      </c>
      <c r="BC278" s="1">
        <v>3.5</v>
      </c>
      <c r="BD278" s="3">
        <v>45800</v>
      </c>
      <c r="BE278" s="1">
        <v>3.5</v>
      </c>
      <c r="BF278" s="3">
        <v>45814</v>
      </c>
      <c r="BG278" s="1">
        <v>3.5150000000000001</v>
      </c>
      <c r="BH278" s="3">
        <v>45814</v>
      </c>
      <c r="BI278" s="1">
        <v>3.5030000000000001</v>
      </c>
      <c r="BJ278" s="3">
        <v>45814</v>
      </c>
      <c r="BK278" s="1">
        <v>3.4849999999999999</v>
      </c>
      <c r="BL278" s="3">
        <v>45814</v>
      </c>
      <c r="BM278" s="1">
        <v>3.375</v>
      </c>
      <c r="BN278" s="3">
        <v>45814</v>
      </c>
      <c r="BO278" s="1">
        <v>3.25</v>
      </c>
      <c r="BP278" s="3">
        <v>45814</v>
      </c>
      <c r="BQ278" s="1">
        <v>3.22</v>
      </c>
      <c r="BR278" s="3">
        <v>45814</v>
      </c>
      <c r="BS278" s="1">
        <v>3.2349999999999999</v>
      </c>
      <c r="BT278" s="3">
        <v>45814</v>
      </c>
      <c r="BU278" s="1">
        <v>3.25</v>
      </c>
      <c r="BV278" s="3">
        <v>45814</v>
      </c>
      <c r="BW278" s="1">
        <v>3.29</v>
      </c>
      <c r="BY278" s="3">
        <v>45806</v>
      </c>
      <c r="BZ278" s="1">
        <v>6.5</v>
      </c>
      <c r="CA278" s="3">
        <v>45797</v>
      </c>
      <c r="CB278" s="1">
        <v>6.5</v>
      </c>
      <c r="CC278" s="3">
        <v>45814</v>
      </c>
      <c r="CD278" s="1">
        <v>6.4909999999999997</v>
      </c>
      <c r="CE278" s="3">
        <v>45814</v>
      </c>
      <c r="CF278" s="1">
        <v>6.4710000000000001</v>
      </c>
      <c r="CG278" s="3">
        <v>45814</v>
      </c>
      <c r="CH278" s="1">
        <v>6.48</v>
      </c>
      <c r="CI278" s="3">
        <v>45814</v>
      </c>
      <c r="CJ278" s="1">
        <v>6.24</v>
      </c>
      <c r="CK278" s="3">
        <v>45814</v>
      </c>
      <c r="CL278" s="1">
        <v>5.83</v>
      </c>
      <c r="CM278" s="3">
        <v>45814</v>
      </c>
      <c r="CN278" s="1">
        <v>5.53</v>
      </c>
      <c r="CO278" s="3">
        <v>45810</v>
      </c>
      <c r="CP278" s="1">
        <v>5.31</v>
      </c>
      <c r="CQ278" s="3">
        <v>45810</v>
      </c>
      <c r="CR278" s="1">
        <v>5.3449999999999998</v>
      </c>
      <c r="CS278" s="3">
        <v>45810</v>
      </c>
      <c r="CT278" s="1">
        <v>5.39</v>
      </c>
    </row>
    <row r="279" spans="31:98" x14ac:dyDescent="0.2">
      <c r="AE279" s="3">
        <v>45813</v>
      </c>
      <c r="AF279" s="1">
        <v>5.25</v>
      </c>
      <c r="AG279" s="3">
        <v>45797</v>
      </c>
      <c r="AH279" s="1">
        <v>5.25</v>
      </c>
      <c r="AI279" s="3">
        <v>45813</v>
      </c>
      <c r="AJ279" s="2">
        <v>5.04</v>
      </c>
      <c r="AK279" s="3">
        <v>45813</v>
      </c>
      <c r="AL279" s="2">
        <v>4.96</v>
      </c>
      <c r="AM279" s="3">
        <v>45813</v>
      </c>
      <c r="AN279" s="2">
        <v>4.7300000000000004</v>
      </c>
      <c r="AO279" s="3">
        <v>45813</v>
      </c>
      <c r="AP279" s="2">
        <v>4.3049999999999997</v>
      </c>
      <c r="AQ279" s="3">
        <v>45813</v>
      </c>
      <c r="AR279" s="2">
        <v>4.04</v>
      </c>
      <c r="AS279" s="3">
        <v>45813</v>
      </c>
      <c r="AT279" s="2">
        <v>3.84</v>
      </c>
      <c r="AU279" s="3">
        <v>45813</v>
      </c>
      <c r="AV279" s="2">
        <v>3.7549999999999999</v>
      </c>
      <c r="AW279" s="3">
        <v>45813</v>
      </c>
      <c r="AX279" s="2">
        <v>3.7</v>
      </c>
      <c r="AY279" s="3">
        <v>45813</v>
      </c>
      <c r="AZ279" s="2">
        <v>3.7</v>
      </c>
      <c r="BB279" s="3">
        <v>45799</v>
      </c>
      <c r="BC279" s="1">
        <v>3.5</v>
      </c>
      <c r="BD279" s="3">
        <v>45799</v>
      </c>
      <c r="BE279" s="1">
        <v>3.5</v>
      </c>
      <c r="BF279" s="3">
        <v>45813</v>
      </c>
      <c r="BG279" s="1">
        <v>3.5049999999999999</v>
      </c>
      <c r="BH279" s="3">
        <v>45813</v>
      </c>
      <c r="BI279" s="1">
        <v>3.496</v>
      </c>
      <c r="BJ279" s="3">
        <v>45813</v>
      </c>
      <c r="BK279" s="1">
        <v>3.4550000000000001</v>
      </c>
      <c r="BL279" s="3">
        <v>45813</v>
      </c>
      <c r="BM279" s="1">
        <v>3.335</v>
      </c>
      <c r="BN279" s="3">
        <v>45813</v>
      </c>
      <c r="BO279" s="1">
        <v>3.2149999999999999</v>
      </c>
      <c r="BP279" s="3">
        <v>45813</v>
      </c>
      <c r="BQ279" s="1">
        <v>3.1829999999999998</v>
      </c>
      <c r="BR279" s="3">
        <v>45813</v>
      </c>
      <c r="BS279" s="1">
        <v>3.19</v>
      </c>
      <c r="BT279" s="3">
        <v>45813</v>
      </c>
      <c r="BU279" s="1">
        <v>3.2050000000000001</v>
      </c>
      <c r="BV279" s="3">
        <v>45813</v>
      </c>
      <c r="BW279" s="1">
        <v>3.25</v>
      </c>
      <c r="BY279" s="3">
        <v>45805</v>
      </c>
      <c r="BZ279" s="1">
        <v>6.5</v>
      </c>
      <c r="CA279" s="3">
        <v>45796</v>
      </c>
      <c r="CB279" s="1">
        <v>6.5</v>
      </c>
      <c r="CC279" s="3">
        <v>45813</v>
      </c>
      <c r="CD279" s="1">
        <v>6.4930000000000003</v>
      </c>
      <c r="CE279" s="3">
        <v>45813</v>
      </c>
      <c r="CF279" s="1">
        <v>6.4610000000000003</v>
      </c>
      <c r="CG279" s="3">
        <v>45813</v>
      </c>
      <c r="CH279" s="1">
        <v>6.46</v>
      </c>
      <c r="CI279" s="3">
        <v>45813</v>
      </c>
      <c r="CJ279" s="1">
        <v>6.19</v>
      </c>
      <c r="CK279" s="3">
        <v>45813</v>
      </c>
      <c r="CL279" s="1">
        <v>5.75</v>
      </c>
      <c r="CM279" s="3">
        <v>45813</v>
      </c>
      <c r="CN279" s="1">
        <v>5.46</v>
      </c>
      <c r="CO279" s="3">
        <v>45807</v>
      </c>
      <c r="CP279" s="1">
        <v>5.37</v>
      </c>
      <c r="CQ279" s="3">
        <v>45807</v>
      </c>
      <c r="CR279" s="1">
        <v>5.4050000000000002</v>
      </c>
      <c r="CS279" s="3">
        <v>45807</v>
      </c>
      <c r="CT279" s="1">
        <v>5.45</v>
      </c>
    </row>
    <row r="280" spans="31:98" x14ac:dyDescent="0.2">
      <c r="AE280" s="3">
        <v>45812</v>
      </c>
      <c r="AF280" s="1">
        <v>5.25</v>
      </c>
      <c r="AG280" s="3">
        <v>45796</v>
      </c>
      <c r="AH280" s="1">
        <v>5.22</v>
      </c>
      <c r="AI280" s="3">
        <v>45812</v>
      </c>
      <c r="AJ280" s="2">
        <v>4.9649999999999999</v>
      </c>
      <c r="AK280" s="3">
        <v>45812</v>
      </c>
      <c r="AL280" s="2">
        <v>4.875</v>
      </c>
      <c r="AM280" s="3">
        <v>45812</v>
      </c>
      <c r="AN280" s="2">
        <v>4.6449999999999996</v>
      </c>
      <c r="AO280" s="3">
        <v>45812</v>
      </c>
      <c r="AP280" s="2">
        <v>4.1900000000000004</v>
      </c>
      <c r="AQ280" s="3">
        <v>45812</v>
      </c>
      <c r="AR280" s="2">
        <v>3.9375</v>
      </c>
      <c r="AS280" s="3">
        <v>45812</v>
      </c>
      <c r="AT280" s="2">
        <v>3.7475000000000001</v>
      </c>
      <c r="AU280" s="3">
        <v>45812</v>
      </c>
      <c r="AV280" s="2">
        <v>3.6575000000000002</v>
      </c>
      <c r="AW280" s="3">
        <v>45812</v>
      </c>
      <c r="AX280" s="2">
        <v>3.6025</v>
      </c>
      <c r="AY280" s="3">
        <v>45812</v>
      </c>
      <c r="AZ280" s="2">
        <v>3.5975000000000001</v>
      </c>
      <c r="BB280" s="3">
        <v>45798</v>
      </c>
      <c r="BC280" s="1">
        <v>3.5</v>
      </c>
      <c r="BD280" s="3">
        <v>45798</v>
      </c>
      <c r="BE280" s="1">
        <v>3.5</v>
      </c>
      <c r="BF280" s="3">
        <v>45812</v>
      </c>
      <c r="BG280" s="1">
        <v>3.5</v>
      </c>
      <c r="BH280" s="3">
        <v>45812</v>
      </c>
      <c r="BI280" s="1">
        <v>3.488</v>
      </c>
      <c r="BJ280" s="3">
        <v>45812</v>
      </c>
      <c r="BK280" s="1">
        <v>3.4249999999999998</v>
      </c>
      <c r="BL280" s="3">
        <v>45812</v>
      </c>
      <c r="BM280" s="1">
        <v>3.2930000000000001</v>
      </c>
      <c r="BN280" s="3">
        <v>45812</v>
      </c>
      <c r="BO280" s="1">
        <v>3.125</v>
      </c>
      <c r="BP280" s="3">
        <v>45812</v>
      </c>
      <c r="BQ280" s="1">
        <v>3.1030000000000002</v>
      </c>
      <c r="BR280" s="3">
        <v>45812</v>
      </c>
      <c r="BS280" s="1">
        <v>3.1030000000000002</v>
      </c>
      <c r="BT280" s="3">
        <v>45812</v>
      </c>
      <c r="BU280" s="1">
        <v>3.1179999999999999</v>
      </c>
      <c r="BV280" s="3">
        <v>45812</v>
      </c>
      <c r="BW280" s="1">
        <v>3.1579999999999999</v>
      </c>
      <c r="BY280" s="3">
        <v>45804</v>
      </c>
      <c r="BZ280" s="1">
        <v>6.5</v>
      </c>
      <c r="CA280" s="3">
        <v>45793</v>
      </c>
      <c r="CB280" s="1">
        <v>6.5</v>
      </c>
      <c r="CC280" s="3">
        <v>45812</v>
      </c>
      <c r="CD280" s="1">
        <v>6.48</v>
      </c>
      <c r="CE280" s="3">
        <v>45812</v>
      </c>
      <c r="CF280" s="1">
        <v>6.444</v>
      </c>
      <c r="CG280" s="3">
        <v>45812</v>
      </c>
      <c r="CH280" s="1">
        <v>6.43</v>
      </c>
      <c r="CI280" s="3">
        <v>45812</v>
      </c>
      <c r="CJ280" s="1">
        <v>6.13</v>
      </c>
      <c r="CK280" s="3">
        <v>45812</v>
      </c>
      <c r="CL280" s="1">
        <v>5.68</v>
      </c>
      <c r="CM280" s="3">
        <v>45812</v>
      </c>
      <c r="CN280" s="1">
        <v>5.39</v>
      </c>
      <c r="CO280" s="3">
        <v>45806</v>
      </c>
      <c r="CP280" s="1">
        <v>5.34</v>
      </c>
      <c r="CQ280" s="3">
        <v>45806</v>
      </c>
      <c r="CR280" s="1">
        <v>5.375</v>
      </c>
      <c r="CS280" s="3">
        <v>45806</v>
      </c>
      <c r="CT280" s="1">
        <v>5.43</v>
      </c>
    </row>
    <row r="281" spans="31:98" x14ac:dyDescent="0.2">
      <c r="AE281" s="3">
        <v>45811</v>
      </c>
      <c r="AF281" s="1">
        <v>5.25</v>
      </c>
      <c r="AG281" s="3">
        <v>45793</v>
      </c>
      <c r="AH281" s="1">
        <v>5.25</v>
      </c>
      <c r="AI281" s="3">
        <v>45811</v>
      </c>
      <c r="AJ281" s="2">
        <v>4.93</v>
      </c>
      <c r="AK281" s="3">
        <v>45811</v>
      </c>
      <c r="AL281" s="2">
        <v>4.8</v>
      </c>
      <c r="AM281" s="3">
        <v>45811</v>
      </c>
      <c r="AN281" s="2">
        <v>4.6500000000000004</v>
      </c>
      <c r="AO281" s="3">
        <v>45811</v>
      </c>
      <c r="AP281" s="2">
        <v>4.21</v>
      </c>
      <c r="AQ281" s="3">
        <v>45811</v>
      </c>
      <c r="AR281" s="2">
        <v>3.91</v>
      </c>
      <c r="AS281" s="3">
        <v>45811</v>
      </c>
      <c r="AT281" s="2">
        <v>3.71</v>
      </c>
      <c r="AU281" s="3">
        <v>45811</v>
      </c>
      <c r="AV281" s="2">
        <v>3.63</v>
      </c>
      <c r="AW281" s="3">
        <v>45811</v>
      </c>
      <c r="AX281" s="2">
        <v>3.57</v>
      </c>
      <c r="AY281" s="3">
        <v>45811</v>
      </c>
      <c r="AZ281" s="2">
        <v>3.57</v>
      </c>
      <c r="BB281" s="3">
        <v>45797</v>
      </c>
      <c r="BC281" s="1">
        <v>3.5</v>
      </c>
      <c r="BD281" s="3">
        <v>45797</v>
      </c>
      <c r="BE281" s="1">
        <v>3.51</v>
      </c>
      <c r="BF281" s="3">
        <v>45811</v>
      </c>
      <c r="BG281" s="1">
        <v>3.4550000000000001</v>
      </c>
      <c r="BH281" s="3">
        <v>45811</v>
      </c>
      <c r="BI281" s="1">
        <v>3.44</v>
      </c>
      <c r="BJ281" s="3">
        <v>45811</v>
      </c>
      <c r="BK281" s="1">
        <v>3.36</v>
      </c>
      <c r="BL281" s="3">
        <v>45811</v>
      </c>
      <c r="BM281" s="1">
        <v>3.2149999999999999</v>
      </c>
      <c r="BN281" s="3">
        <v>45811</v>
      </c>
      <c r="BO281" s="1">
        <v>3.0449999999999999</v>
      </c>
      <c r="BP281" s="3">
        <v>45811</v>
      </c>
      <c r="BQ281" s="1">
        <v>3.0379999999999998</v>
      </c>
      <c r="BR281" s="3">
        <v>45811</v>
      </c>
      <c r="BS281" s="1">
        <v>3.0430000000000001</v>
      </c>
      <c r="BT281" s="3">
        <v>45811</v>
      </c>
      <c r="BU281" s="1">
        <v>3.06</v>
      </c>
      <c r="BV281" s="3">
        <v>45811</v>
      </c>
      <c r="BW281" s="1">
        <v>3.1150000000000002</v>
      </c>
      <c r="BY281" s="3">
        <v>45803</v>
      </c>
      <c r="BZ281" s="1">
        <v>6.5</v>
      </c>
      <c r="CA281" s="3">
        <v>45792</v>
      </c>
      <c r="CB281" s="1">
        <v>6.5</v>
      </c>
      <c r="CC281" s="3">
        <v>45811</v>
      </c>
      <c r="CD281" s="1">
        <v>6.48</v>
      </c>
      <c r="CE281" s="3">
        <v>45811</v>
      </c>
      <c r="CF281" s="1">
        <v>6.4450000000000003</v>
      </c>
      <c r="CG281" s="3">
        <v>45811</v>
      </c>
      <c r="CH281" s="1">
        <v>6.42</v>
      </c>
      <c r="CI281" s="3">
        <v>45811</v>
      </c>
      <c r="CJ281" s="1">
        <v>6.11</v>
      </c>
      <c r="CK281" s="3">
        <v>45811</v>
      </c>
      <c r="CL281" s="1">
        <v>5.68</v>
      </c>
      <c r="CM281" s="3">
        <v>45811</v>
      </c>
      <c r="CN281" s="1">
        <v>5.37</v>
      </c>
      <c r="CO281" s="3">
        <v>45805</v>
      </c>
      <c r="CP281" s="1">
        <v>5.37</v>
      </c>
      <c r="CQ281" s="3">
        <v>45805</v>
      </c>
      <c r="CR281" s="1">
        <v>5.3949999999999996</v>
      </c>
      <c r="CS281" s="3">
        <v>45805</v>
      </c>
      <c r="CT281" s="1">
        <v>5.4249999999999998</v>
      </c>
    </row>
    <row r="282" spans="31:98" x14ac:dyDescent="0.2">
      <c r="AE282" s="3">
        <v>45810</v>
      </c>
      <c r="AF282" s="1">
        <v>5.25</v>
      </c>
      <c r="AG282" s="3">
        <v>45792</v>
      </c>
      <c r="AH282" s="1">
        <v>5.25</v>
      </c>
      <c r="AI282" s="3">
        <v>45810</v>
      </c>
      <c r="AJ282" s="2">
        <v>4.99</v>
      </c>
      <c r="AK282" s="3">
        <v>45810</v>
      </c>
      <c r="AL282" s="2">
        <v>4.79</v>
      </c>
      <c r="AM282" s="3">
        <v>45810</v>
      </c>
      <c r="AN282" s="2">
        <v>4.6550000000000002</v>
      </c>
      <c r="AO282" s="3">
        <v>45810</v>
      </c>
      <c r="AP282" s="2">
        <v>4.2275</v>
      </c>
      <c r="AQ282" s="3">
        <v>45810</v>
      </c>
      <c r="AR282" s="2">
        <v>3.8975</v>
      </c>
      <c r="AS282" s="3">
        <v>45810</v>
      </c>
      <c r="AT282" s="2">
        <v>3.68</v>
      </c>
      <c r="AU282" s="3">
        <v>45810</v>
      </c>
      <c r="AV282" s="2">
        <v>3.5825</v>
      </c>
      <c r="AW282" s="3">
        <v>45810</v>
      </c>
      <c r="AX282" s="2">
        <v>3.5225</v>
      </c>
      <c r="AY282" s="3">
        <v>45810</v>
      </c>
      <c r="AZ282" s="2">
        <v>3.5225</v>
      </c>
      <c r="BB282" s="3">
        <v>45796</v>
      </c>
      <c r="BC282" s="1">
        <v>3.5</v>
      </c>
      <c r="BD282" s="3">
        <v>45796</v>
      </c>
      <c r="BE282" s="1">
        <v>3.51</v>
      </c>
      <c r="BF282" s="3">
        <v>45810</v>
      </c>
      <c r="BG282" s="1">
        <v>3.46</v>
      </c>
      <c r="BH282" s="3">
        <v>45810</v>
      </c>
      <c r="BI282" s="1">
        <v>3.4390000000000001</v>
      </c>
      <c r="BJ282" s="3">
        <v>45810</v>
      </c>
      <c r="BK282" s="1">
        <v>3.36</v>
      </c>
      <c r="BL282" s="3">
        <v>45810</v>
      </c>
      <c r="BM282" s="1">
        <v>3.2</v>
      </c>
      <c r="BN282" s="3">
        <v>45810</v>
      </c>
      <c r="BO282" s="1">
        <v>3.03</v>
      </c>
      <c r="BP282" s="3">
        <v>45810</v>
      </c>
      <c r="BQ282" s="1">
        <v>3.0129999999999999</v>
      </c>
      <c r="BR282" s="3">
        <v>45810</v>
      </c>
      <c r="BS282" s="1">
        <v>3.01</v>
      </c>
      <c r="BT282" s="3">
        <v>45810</v>
      </c>
      <c r="BU282" s="1">
        <v>3.0249999999999999</v>
      </c>
      <c r="BV282" s="3">
        <v>45810</v>
      </c>
      <c r="BW282" s="1">
        <v>3.0779999999999998</v>
      </c>
      <c r="BY282" s="3">
        <v>45800</v>
      </c>
      <c r="BZ282" s="1">
        <v>6.5</v>
      </c>
      <c r="CA282" s="3">
        <v>45791</v>
      </c>
      <c r="CB282" s="1">
        <v>6.5</v>
      </c>
      <c r="CC282" s="3">
        <v>45810</v>
      </c>
      <c r="CD282" s="1">
        <v>6.476</v>
      </c>
      <c r="CE282" s="3">
        <v>45810</v>
      </c>
      <c r="CF282" s="1">
        <v>6.4379999999999997</v>
      </c>
      <c r="CG282" s="3">
        <v>45810</v>
      </c>
      <c r="CH282" s="1">
        <v>6.41</v>
      </c>
      <c r="CI282" s="3">
        <v>45810</v>
      </c>
      <c r="CJ282" s="1">
        <v>6.1</v>
      </c>
      <c r="CK282" s="3">
        <v>45810</v>
      </c>
      <c r="CL282" s="1">
        <v>5.69</v>
      </c>
      <c r="CM282" s="3">
        <v>45810</v>
      </c>
      <c r="CN282" s="1">
        <v>5.39</v>
      </c>
      <c r="CO282" s="3">
        <v>45804</v>
      </c>
      <c r="CP282" s="1">
        <v>5.42</v>
      </c>
      <c r="CQ282" s="3">
        <v>45804</v>
      </c>
      <c r="CR282" s="1">
        <v>5.4249999999999998</v>
      </c>
      <c r="CS282" s="3">
        <v>45804</v>
      </c>
      <c r="CT282" s="1">
        <v>5.4450000000000003</v>
      </c>
    </row>
    <row r="283" spans="31:98" x14ac:dyDescent="0.2">
      <c r="AE283" s="3">
        <v>45807</v>
      </c>
      <c r="AF283" s="1">
        <v>5.25</v>
      </c>
      <c r="AG283" s="3">
        <v>45791</v>
      </c>
      <c r="AH283" s="1">
        <v>5.24</v>
      </c>
      <c r="AI283" s="3">
        <v>45807</v>
      </c>
      <c r="AJ283" s="2">
        <v>4.99</v>
      </c>
      <c r="AK283" s="3">
        <v>45807</v>
      </c>
      <c r="AL283" s="2">
        <v>4.79</v>
      </c>
      <c r="AM283" s="3">
        <v>45807</v>
      </c>
      <c r="AN283" s="2">
        <v>4.67</v>
      </c>
      <c r="AO283" s="3">
        <v>45807</v>
      </c>
      <c r="AP283" s="2">
        <v>4.2300000000000004</v>
      </c>
      <c r="AQ283" s="3">
        <v>45807</v>
      </c>
      <c r="AR283" s="2">
        <v>3.895</v>
      </c>
      <c r="AS283" s="3">
        <v>45807</v>
      </c>
      <c r="AT283" s="2">
        <v>3.6749999999999998</v>
      </c>
      <c r="AU283" s="3">
        <v>45807</v>
      </c>
      <c r="AV283" s="2">
        <v>3.5750000000000002</v>
      </c>
      <c r="AW283" s="3">
        <v>45807</v>
      </c>
      <c r="AX283" s="2">
        <v>3.5249999999999999</v>
      </c>
      <c r="AY283" s="3">
        <v>45807</v>
      </c>
      <c r="AZ283" s="2">
        <v>3.5249999999999999</v>
      </c>
      <c r="BB283" s="3">
        <v>45793</v>
      </c>
      <c r="BC283" s="1">
        <v>3.5</v>
      </c>
      <c r="BD283" s="3">
        <v>45793</v>
      </c>
      <c r="BE283" s="1">
        <v>3.51</v>
      </c>
      <c r="BF283" s="3">
        <v>45807</v>
      </c>
      <c r="BG283" s="1">
        <v>3.46</v>
      </c>
      <c r="BH283" s="3">
        <v>45807</v>
      </c>
      <c r="BI283" s="1">
        <v>3.4380000000000002</v>
      </c>
      <c r="BJ283" s="3">
        <v>45807</v>
      </c>
      <c r="BK283" s="1">
        <v>3.355</v>
      </c>
      <c r="BL283" s="3">
        <v>45807</v>
      </c>
      <c r="BM283" s="1">
        <v>3.19</v>
      </c>
      <c r="BN283" s="3">
        <v>45807</v>
      </c>
      <c r="BO283" s="1">
        <v>3.02</v>
      </c>
      <c r="BP283" s="3">
        <v>45807</v>
      </c>
      <c r="BQ283" s="1">
        <v>2.988</v>
      </c>
      <c r="BR283" s="3">
        <v>45807</v>
      </c>
      <c r="BS283" s="1">
        <v>2.988</v>
      </c>
      <c r="BT283" s="3">
        <v>45807</v>
      </c>
      <c r="BU283" s="1">
        <v>3.0049999999999999</v>
      </c>
      <c r="BV283" s="3">
        <v>45807</v>
      </c>
      <c r="BW283" s="1">
        <v>3.0630000000000002</v>
      </c>
      <c r="BY283" s="3">
        <v>45799</v>
      </c>
      <c r="BZ283" s="1">
        <v>6.5</v>
      </c>
      <c r="CA283" s="3">
        <v>45790</v>
      </c>
      <c r="CB283" s="1">
        <v>6.5</v>
      </c>
      <c r="CC283" s="3">
        <v>45807</v>
      </c>
      <c r="CD283" s="1">
        <v>6.4829999999999997</v>
      </c>
      <c r="CE283" s="3">
        <v>45807</v>
      </c>
      <c r="CF283" s="1">
        <v>6.4509999999999996</v>
      </c>
      <c r="CG283" s="3">
        <v>45807</v>
      </c>
      <c r="CH283" s="1">
        <v>6.42</v>
      </c>
      <c r="CI283" s="3">
        <v>45807</v>
      </c>
      <c r="CJ283" s="1">
        <v>6.12</v>
      </c>
      <c r="CK283" s="3">
        <v>45807</v>
      </c>
      <c r="CL283" s="1">
        <v>5.72</v>
      </c>
      <c r="CM283" s="3">
        <v>45807</v>
      </c>
      <c r="CN283" s="1">
        <v>5.44</v>
      </c>
      <c r="CO283" s="3">
        <v>45803</v>
      </c>
      <c r="CP283" s="1">
        <v>5.375</v>
      </c>
      <c r="CQ283" s="3">
        <v>45803</v>
      </c>
      <c r="CR283" s="1">
        <v>5.3849999999999998</v>
      </c>
      <c r="CS283" s="3">
        <v>45803</v>
      </c>
      <c r="CT283" s="1">
        <v>5.41</v>
      </c>
    </row>
    <row r="284" spans="31:98" x14ac:dyDescent="0.2">
      <c r="AE284" s="3">
        <v>45806</v>
      </c>
      <c r="AF284" s="1">
        <v>5.25</v>
      </c>
      <c r="AG284" s="3">
        <v>45790</v>
      </c>
      <c r="AH284" s="1">
        <v>5.25</v>
      </c>
      <c r="AI284" s="3">
        <v>45806</v>
      </c>
      <c r="AJ284" s="2">
        <v>5.0650000000000004</v>
      </c>
      <c r="AK284" s="3">
        <v>45806</v>
      </c>
      <c r="AL284" s="2">
        <v>4.9050000000000002</v>
      </c>
      <c r="AM284" s="3">
        <v>45806</v>
      </c>
      <c r="AN284" s="2">
        <v>4.78</v>
      </c>
      <c r="AO284" s="3">
        <v>45806</v>
      </c>
      <c r="AP284" s="2">
        <v>4.335</v>
      </c>
      <c r="AQ284" s="3">
        <v>45806</v>
      </c>
      <c r="AR284" s="2">
        <v>3.9975000000000001</v>
      </c>
      <c r="AS284" s="3">
        <v>45806</v>
      </c>
      <c r="AT284" s="2">
        <v>3.7475000000000001</v>
      </c>
      <c r="AU284" s="3">
        <v>45806</v>
      </c>
      <c r="AV284" s="2">
        <v>3.6425000000000001</v>
      </c>
      <c r="AW284" s="3">
        <v>45806</v>
      </c>
      <c r="AX284" s="2">
        <v>3.5825</v>
      </c>
      <c r="AY284" s="3">
        <v>45806</v>
      </c>
      <c r="AZ284" s="2">
        <v>3.5825</v>
      </c>
      <c r="BB284" s="3">
        <v>45792</v>
      </c>
      <c r="BC284" s="1">
        <v>3.5</v>
      </c>
      <c r="BD284" s="3">
        <v>45792</v>
      </c>
      <c r="BE284" s="1">
        <v>3.5</v>
      </c>
      <c r="BF284" s="3">
        <v>45806</v>
      </c>
      <c r="BG284" s="1">
        <v>3.4649999999999999</v>
      </c>
      <c r="BH284" s="3">
        <v>45806</v>
      </c>
      <c r="BI284" s="1">
        <v>3.4430000000000001</v>
      </c>
      <c r="BJ284" s="3">
        <v>45806</v>
      </c>
      <c r="BK284" s="1">
        <v>3.35</v>
      </c>
      <c r="BL284" s="3">
        <v>45806</v>
      </c>
      <c r="BM284" s="1">
        <v>3.198</v>
      </c>
      <c r="BN284" s="3">
        <v>45806</v>
      </c>
      <c r="BO284" s="1">
        <v>3.0550000000000002</v>
      </c>
      <c r="BP284" s="3">
        <v>45806</v>
      </c>
      <c r="BQ284" s="1">
        <v>3.0179999999999998</v>
      </c>
      <c r="BR284" s="3">
        <v>45806</v>
      </c>
      <c r="BS284" s="1">
        <v>3.03</v>
      </c>
      <c r="BT284" s="3">
        <v>45806</v>
      </c>
      <c r="BU284" s="1">
        <v>3.0449999999999999</v>
      </c>
      <c r="BV284" s="3">
        <v>45806</v>
      </c>
      <c r="BW284" s="1">
        <v>3.1</v>
      </c>
      <c r="BY284" s="3">
        <v>45798</v>
      </c>
      <c r="BZ284" s="1">
        <v>6.5</v>
      </c>
      <c r="CA284" s="3">
        <v>45789</v>
      </c>
      <c r="CB284" s="1">
        <v>6.5</v>
      </c>
      <c r="CC284" s="3">
        <v>45806</v>
      </c>
      <c r="CD284" s="1">
        <v>6.48</v>
      </c>
      <c r="CE284" s="3">
        <v>45806</v>
      </c>
      <c r="CF284" s="1">
        <v>6.4450000000000003</v>
      </c>
      <c r="CG284" s="3">
        <v>45806</v>
      </c>
      <c r="CH284" s="1">
        <v>6.4</v>
      </c>
      <c r="CI284" s="3">
        <v>45806</v>
      </c>
      <c r="CJ284" s="1">
        <v>6.1</v>
      </c>
      <c r="CK284" s="3">
        <v>45806</v>
      </c>
      <c r="CL284" s="1">
        <v>5.7</v>
      </c>
      <c r="CM284" s="3">
        <v>45806</v>
      </c>
      <c r="CN284" s="1">
        <v>5.41</v>
      </c>
      <c r="CO284" s="3">
        <v>45800</v>
      </c>
      <c r="CP284" s="1">
        <v>5.375</v>
      </c>
      <c r="CQ284" s="3">
        <v>45800</v>
      </c>
      <c r="CR284" s="1">
        <v>5.3849999999999998</v>
      </c>
      <c r="CS284" s="3">
        <v>45800</v>
      </c>
      <c r="CT284" s="1">
        <v>5.41</v>
      </c>
    </row>
    <row r="285" spans="31:98" x14ac:dyDescent="0.2">
      <c r="AE285" s="3">
        <v>45805</v>
      </c>
      <c r="AF285" s="1">
        <v>5.25</v>
      </c>
      <c r="AG285" s="3">
        <v>45789</v>
      </c>
      <c r="AH285" s="1">
        <v>5.25</v>
      </c>
      <c r="AI285" s="3">
        <v>45805</v>
      </c>
      <c r="AJ285" s="2">
        <v>5.0949999999999998</v>
      </c>
      <c r="AK285" s="3">
        <v>45805</v>
      </c>
      <c r="AL285" s="2">
        <v>4.92</v>
      </c>
      <c r="AM285" s="3">
        <v>45805</v>
      </c>
      <c r="AN285" s="2">
        <v>4.82</v>
      </c>
      <c r="AO285" s="3">
        <v>45805</v>
      </c>
      <c r="AP285" s="2">
        <v>4.3925000000000001</v>
      </c>
      <c r="AQ285" s="3">
        <v>45805</v>
      </c>
      <c r="AR285" s="2">
        <v>4.0449999999999999</v>
      </c>
      <c r="AS285" s="3">
        <v>45805</v>
      </c>
      <c r="AT285" s="2">
        <v>3.82</v>
      </c>
      <c r="AU285" s="3">
        <v>45805</v>
      </c>
      <c r="AV285" s="2">
        <v>3.7149999999999999</v>
      </c>
      <c r="AW285" s="3">
        <v>45805</v>
      </c>
      <c r="AX285" s="2">
        <v>3.6549999999999998</v>
      </c>
      <c r="AY285" s="3">
        <v>45805</v>
      </c>
      <c r="AZ285" s="2">
        <v>3.6549999999999998</v>
      </c>
      <c r="BB285" s="3">
        <v>45791</v>
      </c>
      <c r="BC285" s="1">
        <v>3.5</v>
      </c>
      <c r="BD285" s="3">
        <v>45791</v>
      </c>
      <c r="BE285" s="1">
        <v>3.51</v>
      </c>
      <c r="BF285" s="3">
        <v>45805</v>
      </c>
      <c r="BG285" s="1">
        <v>3.4649999999999999</v>
      </c>
      <c r="BH285" s="3">
        <v>45805</v>
      </c>
      <c r="BI285" s="1">
        <v>3.431</v>
      </c>
      <c r="BJ285" s="3">
        <v>45805</v>
      </c>
      <c r="BK285" s="1">
        <v>3.34</v>
      </c>
      <c r="BL285" s="3">
        <v>45805</v>
      </c>
      <c r="BM285" s="1">
        <v>3.2050000000000001</v>
      </c>
      <c r="BN285" s="3">
        <v>45805</v>
      </c>
      <c r="BO285" s="1">
        <v>3.0630000000000002</v>
      </c>
      <c r="BP285" s="3">
        <v>45805</v>
      </c>
      <c r="BQ285" s="1">
        <v>3.03</v>
      </c>
      <c r="BR285" s="3">
        <v>45805</v>
      </c>
      <c r="BS285" s="1">
        <v>3.0449999999999999</v>
      </c>
      <c r="BT285" s="3">
        <v>45805</v>
      </c>
      <c r="BU285" s="1">
        <v>3.0680000000000001</v>
      </c>
      <c r="BV285" s="3">
        <v>45805</v>
      </c>
      <c r="BW285" s="1">
        <v>3.1230000000000002</v>
      </c>
      <c r="BY285" s="3">
        <v>45797</v>
      </c>
      <c r="BZ285" s="1">
        <v>6.5</v>
      </c>
      <c r="CA285" s="3">
        <v>45786</v>
      </c>
      <c r="CB285" s="1">
        <v>6.5</v>
      </c>
      <c r="CC285" s="3">
        <v>45805</v>
      </c>
      <c r="CD285" s="1">
        <v>6.4770000000000003</v>
      </c>
      <c r="CE285" s="3">
        <v>45805</v>
      </c>
      <c r="CF285" s="1">
        <v>6.4390000000000001</v>
      </c>
      <c r="CG285" s="3">
        <v>45805</v>
      </c>
      <c r="CH285" s="1">
        <v>6.4</v>
      </c>
      <c r="CI285" s="3">
        <v>45805</v>
      </c>
      <c r="CJ285" s="1">
        <v>6.12</v>
      </c>
      <c r="CK285" s="3">
        <v>45805</v>
      </c>
      <c r="CL285" s="1">
        <v>5.73</v>
      </c>
      <c r="CM285" s="3">
        <v>45805</v>
      </c>
      <c r="CN285" s="1">
        <v>5.43</v>
      </c>
      <c r="CO285" s="3">
        <v>45799</v>
      </c>
      <c r="CP285" s="1">
        <v>5.44</v>
      </c>
      <c r="CQ285" s="3">
        <v>45799</v>
      </c>
      <c r="CR285" s="1">
        <v>5.45</v>
      </c>
      <c r="CS285" s="3">
        <v>45799</v>
      </c>
      <c r="CT285" s="1">
        <v>5.4749999999999996</v>
      </c>
    </row>
    <row r="286" spans="31:98" x14ac:dyDescent="0.2">
      <c r="AE286" s="3">
        <v>45804</v>
      </c>
      <c r="AF286" s="1">
        <v>5.25</v>
      </c>
      <c r="AG286" s="3">
        <v>45786</v>
      </c>
      <c r="AH286" s="1">
        <v>5.19</v>
      </c>
      <c r="AI286" s="3">
        <v>45804</v>
      </c>
      <c r="AJ286" s="2">
        <v>5.0999999999999996</v>
      </c>
      <c r="AK286" s="3">
        <v>45804</v>
      </c>
      <c r="AL286" s="2">
        <v>4.92</v>
      </c>
      <c r="AM286" s="3">
        <v>45804</v>
      </c>
      <c r="AN286" s="2">
        <v>4.8250000000000002</v>
      </c>
      <c r="AO286" s="3">
        <v>45804</v>
      </c>
      <c r="AP286" s="2">
        <v>4.4000000000000004</v>
      </c>
      <c r="AQ286" s="3">
        <v>45804</v>
      </c>
      <c r="AR286" s="2">
        <v>4.0750000000000002</v>
      </c>
      <c r="AS286" s="3">
        <v>45804</v>
      </c>
      <c r="AT286" s="2">
        <v>3.875</v>
      </c>
      <c r="AU286" s="3">
        <v>45804</v>
      </c>
      <c r="AV286" s="2">
        <v>3.7725</v>
      </c>
      <c r="AW286" s="3">
        <v>45804</v>
      </c>
      <c r="AX286" s="2">
        <v>3.7124999999999999</v>
      </c>
      <c r="AY286" s="3">
        <v>45804</v>
      </c>
      <c r="AZ286" s="2">
        <v>3.7124999999999999</v>
      </c>
      <c r="BB286" s="3">
        <v>45790</v>
      </c>
      <c r="BC286" s="1">
        <v>3.5</v>
      </c>
      <c r="BD286" s="3">
        <v>45790</v>
      </c>
      <c r="BE286" s="1">
        <v>3.51</v>
      </c>
      <c r="BF286" s="3">
        <v>45804</v>
      </c>
      <c r="BG286" s="1">
        <v>3.4649999999999999</v>
      </c>
      <c r="BH286" s="3">
        <v>45804</v>
      </c>
      <c r="BI286" s="1">
        <v>3.423</v>
      </c>
      <c r="BJ286" s="3">
        <v>45804</v>
      </c>
      <c r="BK286" s="1">
        <v>3.34</v>
      </c>
      <c r="BL286" s="3">
        <v>45804</v>
      </c>
      <c r="BM286" s="1">
        <v>3.2050000000000001</v>
      </c>
      <c r="BN286" s="3">
        <v>45804</v>
      </c>
      <c r="BO286" s="1">
        <v>3.05</v>
      </c>
      <c r="BP286" s="3">
        <v>45804</v>
      </c>
      <c r="BQ286" s="1">
        <v>3.0150000000000001</v>
      </c>
      <c r="BR286" s="3">
        <v>45804</v>
      </c>
      <c r="BS286" s="1">
        <v>3.03</v>
      </c>
      <c r="BT286" s="3">
        <v>45804</v>
      </c>
      <c r="BU286" s="1">
        <v>3.05</v>
      </c>
      <c r="BV286" s="3">
        <v>45804</v>
      </c>
      <c r="BW286" s="1">
        <v>3.11</v>
      </c>
      <c r="BY286" s="3">
        <v>45792</v>
      </c>
      <c r="BZ286" s="1">
        <v>6.5</v>
      </c>
      <c r="CA286" s="3">
        <v>45785</v>
      </c>
      <c r="CB286" s="1">
        <v>6.5</v>
      </c>
      <c r="CC286" s="3">
        <v>45804</v>
      </c>
      <c r="CD286" s="1">
        <v>6.49</v>
      </c>
      <c r="CE286" s="3">
        <v>45804</v>
      </c>
      <c r="CF286" s="1">
        <v>6.4660000000000002</v>
      </c>
      <c r="CG286" s="3">
        <v>45804</v>
      </c>
      <c r="CH286" s="1">
        <v>6.42</v>
      </c>
      <c r="CI286" s="3">
        <v>45804</v>
      </c>
      <c r="CJ286" s="1">
        <v>6.18</v>
      </c>
      <c r="CK286" s="3">
        <v>45804</v>
      </c>
      <c r="CL286" s="1">
        <v>5.7850000000000001</v>
      </c>
      <c r="CM286" s="3">
        <v>45804</v>
      </c>
      <c r="CN286" s="1">
        <v>5.48</v>
      </c>
      <c r="CO286" s="3">
        <v>45798</v>
      </c>
      <c r="CP286" s="1">
        <v>5.43</v>
      </c>
      <c r="CQ286" s="3">
        <v>45798</v>
      </c>
      <c r="CR286" s="1">
        <v>5.4450000000000003</v>
      </c>
      <c r="CS286" s="3">
        <v>45798</v>
      </c>
      <c r="CT286" s="1">
        <v>5.4749999999999996</v>
      </c>
    </row>
    <row r="287" spans="31:98" x14ac:dyDescent="0.2">
      <c r="AE287" s="3">
        <v>45803</v>
      </c>
      <c r="AF287" s="1">
        <v>5.25</v>
      </c>
      <c r="AG287" s="3">
        <v>45785</v>
      </c>
      <c r="AH287" s="1">
        <v>5.29</v>
      </c>
      <c r="AI287" s="3">
        <v>45803</v>
      </c>
      <c r="AJ287" s="2">
        <v>5.12</v>
      </c>
      <c r="AK287" s="3">
        <v>45803</v>
      </c>
      <c r="AL287" s="2">
        <v>4.875</v>
      </c>
      <c r="AM287" s="3">
        <v>45803</v>
      </c>
      <c r="AN287" s="2">
        <v>4.7874999999999996</v>
      </c>
      <c r="AO287" s="3">
        <v>45803</v>
      </c>
      <c r="AP287" s="2">
        <v>4.375</v>
      </c>
      <c r="AQ287" s="3">
        <v>45803</v>
      </c>
      <c r="AR287" s="2">
        <v>4.0549999999999997</v>
      </c>
      <c r="AS287" s="3">
        <v>45803</v>
      </c>
      <c r="AT287" s="2">
        <v>3.855</v>
      </c>
      <c r="AU287" s="3">
        <v>45803</v>
      </c>
      <c r="AV287" s="2">
        <v>3.7549999999999999</v>
      </c>
      <c r="AW287" s="3">
        <v>45803</v>
      </c>
      <c r="AX287" s="2">
        <v>3.6949999999999998</v>
      </c>
      <c r="AY287" s="3">
        <v>45803</v>
      </c>
      <c r="AZ287" s="2">
        <v>3.6850000000000001</v>
      </c>
      <c r="BB287" s="3">
        <v>45789</v>
      </c>
      <c r="BC287" s="1">
        <v>3.5</v>
      </c>
      <c r="BD287" s="3">
        <v>45789</v>
      </c>
      <c r="BE287" s="1">
        <v>3.52</v>
      </c>
      <c r="BF287" s="3">
        <v>45803</v>
      </c>
      <c r="BG287" s="1">
        <v>3.4649999999999999</v>
      </c>
      <c r="BH287" s="3">
        <v>45803</v>
      </c>
      <c r="BI287" s="1">
        <v>3.4279999999999999</v>
      </c>
      <c r="BJ287" s="3">
        <v>45803</v>
      </c>
      <c r="BK287" s="1">
        <v>3.3530000000000002</v>
      </c>
      <c r="BL287" s="3">
        <v>45803</v>
      </c>
      <c r="BM287" s="1">
        <v>3.2349999999999999</v>
      </c>
      <c r="BN287" s="3">
        <v>45803</v>
      </c>
      <c r="BO287" s="1">
        <v>3.1</v>
      </c>
      <c r="BP287" s="3">
        <v>45803</v>
      </c>
      <c r="BQ287" s="1">
        <v>3.0630000000000002</v>
      </c>
      <c r="BR287" s="3">
        <v>45803</v>
      </c>
      <c r="BS287" s="1">
        <v>3.0779999999999998</v>
      </c>
      <c r="BT287" s="3">
        <v>45803</v>
      </c>
      <c r="BU287" s="1">
        <v>3.0950000000000002</v>
      </c>
      <c r="BV287" s="3">
        <v>45803</v>
      </c>
      <c r="BW287" s="1">
        <v>3.153</v>
      </c>
      <c r="BY287" s="3">
        <v>45791</v>
      </c>
      <c r="BZ287" s="1">
        <v>6.5</v>
      </c>
      <c r="CA287" s="3">
        <v>45784</v>
      </c>
      <c r="CB287" s="1">
        <v>6.5</v>
      </c>
      <c r="CC287" s="3">
        <v>45803</v>
      </c>
      <c r="CD287" s="1">
        <v>6.468</v>
      </c>
      <c r="CE287" s="3">
        <v>45803</v>
      </c>
      <c r="CF287" s="1">
        <v>6.4409999999999998</v>
      </c>
      <c r="CG287" s="3">
        <v>45803</v>
      </c>
      <c r="CH287" s="1">
        <v>6.41</v>
      </c>
      <c r="CI287" s="3">
        <v>45803</v>
      </c>
      <c r="CJ287" s="1">
        <v>6.16</v>
      </c>
      <c r="CK287" s="3">
        <v>45803</v>
      </c>
      <c r="CL287" s="1">
        <v>5.74</v>
      </c>
      <c r="CM287" s="3">
        <v>45803</v>
      </c>
      <c r="CN287" s="1">
        <v>5.4349999999999996</v>
      </c>
      <c r="CO287" s="3">
        <v>45797</v>
      </c>
      <c r="CP287" s="1">
        <v>5.44</v>
      </c>
      <c r="CQ287" s="3">
        <v>45797</v>
      </c>
      <c r="CR287" s="1">
        <v>5.4550000000000001</v>
      </c>
      <c r="CS287" s="3">
        <v>45797</v>
      </c>
      <c r="CT287" s="1">
        <v>5.4850000000000003</v>
      </c>
    </row>
    <row r="288" spans="31:98" x14ac:dyDescent="0.2">
      <c r="AE288" s="3">
        <v>45800</v>
      </c>
      <c r="AF288" s="1">
        <v>5.25</v>
      </c>
      <c r="AG288" s="3">
        <v>45784</v>
      </c>
      <c r="AH288" s="1">
        <v>5.33</v>
      </c>
      <c r="AI288" s="3">
        <v>45800</v>
      </c>
      <c r="AJ288" s="2">
        <v>5.12</v>
      </c>
      <c r="AK288" s="3">
        <v>45800</v>
      </c>
      <c r="AL288" s="2">
        <v>4.875</v>
      </c>
      <c r="AM288" s="3">
        <v>45800</v>
      </c>
      <c r="AN288" s="2">
        <v>4.7874999999999996</v>
      </c>
      <c r="AO288" s="3">
        <v>45800</v>
      </c>
      <c r="AP288" s="2">
        <v>4.375</v>
      </c>
      <c r="AQ288" s="3">
        <v>45800</v>
      </c>
      <c r="AR288" s="2">
        <v>4.0549999999999997</v>
      </c>
      <c r="AS288" s="3">
        <v>45800</v>
      </c>
      <c r="AT288" s="2">
        <v>3.855</v>
      </c>
      <c r="AU288" s="3">
        <v>45800</v>
      </c>
      <c r="AV288" s="2">
        <v>3.7549999999999999</v>
      </c>
      <c r="AW288" s="3">
        <v>45800</v>
      </c>
      <c r="AX288" s="2">
        <v>3.6949999999999998</v>
      </c>
      <c r="AY288" s="3">
        <v>45800</v>
      </c>
      <c r="AZ288" s="2">
        <v>3.6850000000000001</v>
      </c>
      <c r="BB288" s="3">
        <v>45786</v>
      </c>
      <c r="BC288" s="1">
        <v>3.5</v>
      </c>
      <c r="BD288" s="3">
        <v>45786</v>
      </c>
      <c r="BE288" s="1">
        <v>3.52</v>
      </c>
      <c r="BF288" s="3">
        <v>45800</v>
      </c>
      <c r="BG288" s="1">
        <v>3.4750000000000001</v>
      </c>
      <c r="BH288" s="3">
        <v>45800</v>
      </c>
      <c r="BI288" s="1">
        <v>3.4249999999999998</v>
      </c>
      <c r="BJ288" s="3">
        <v>45800</v>
      </c>
      <c r="BK288" s="1">
        <v>3.3530000000000002</v>
      </c>
      <c r="BL288" s="3">
        <v>45800</v>
      </c>
      <c r="BM288" s="1">
        <v>3.2349999999999999</v>
      </c>
      <c r="BN288" s="3">
        <v>45800</v>
      </c>
      <c r="BO288" s="1">
        <v>3.1</v>
      </c>
      <c r="BP288" s="3">
        <v>45800</v>
      </c>
      <c r="BQ288" s="1">
        <v>3.0630000000000002</v>
      </c>
      <c r="BR288" s="3">
        <v>45800</v>
      </c>
      <c r="BS288" s="1">
        <v>3.0779999999999998</v>
      </c>
      <c r="BT288" s="3">
        <v>45800</v>
      </c>
      <c r="BU288" s="1">
        <v>3.0950000000000002</v>
      </c>
      <c r="BV288" s="3">
        <v>45800</v>
      </c>
      <c r="BW288" s="1">
        <v>3.153</v>
      </c>
      <c r="BY288" s="3">
        <v>45790</v>
      </c>
      <c r="BZ288" s="1">
        <v>6.5</v>
      </c>
      <c r="CA288" s="3">
        <v>45783</v>
      </c>
      <c r="CB288" s="1">
        <v>6.5</v>
      </c>
      <c r="CC288" s="3">
        <v>45800</v>
      </c>
      <c r="CD288" s="1">
        <v>6.47</v>
      </c>
      <c r="CE288" s="3">
        <v>45800</v>
      </c>
      <c r="CF288" s="1">
        <v>6.44</v>
      </c>
      <c r="CG288" s="3">
        <v>45800</v>
      </c>
      <c r="CH288" s="1">
        <v>6.41</v>
      </c>
      <c r="CI288" s="3">
        <v>45800</v>
      </c>
      <c r="CJ288" s="1">
        <v>6.16</v>
      </c>
      <c r="CK288" s="3">
        <v>45800</v>
      </c>
      <c r="CL288" s="1">
        <v>5.74</v>
      </c>
      <c r="CM288" s="3">
        <v>45800</v>
      </c>
      <c r="CN288" s="1">
        <v>5.4349999999999996</v>
      </c>
      <c r="CO288" s="3">
        <v>45796</v>
      </c>
      <c r="CP288" s="1">
        <v>5.43</v>
      </c>
      <c r="CQ288" s="3">
        <v>45796</v>
      </c>
      <c r="CR288" s="1">
        <v>5.4450000000000003</v>
      </c>
      <c r="CS288" s="3">
        <v>45796</v>
      </c>
      <c r="CT288" s="1">
        <v>5.4749999999999996</v>
      </c>
    </row>
    <row r="289" spans="31:98" x14ac:dyDescent="0.2">
      <c r="AE289" s="3">
        <v>45799</v>
      </c>
      <c r="AF289" s="1">
        <v>5.25</v>
      </c>
      <c r="AG289" s="3">
        <v>45783</v>
      </c>
      <c r="AH289" s="1">
        <v>5.35</v>
      </c>
      <c r="AI289" s="3">
        <v>45799</v>
      </c>
      <c r="AJ289" s="2">
        <v>5.14</v>
      </c>
      <c r="AK289" s="3">
        <v>45799</v>
      </c>
      <c r="AL289" s="2">
        <v>4.8899999999999997</v>
      </c>
      <c r="AM289" s="3">
        <v>45799</v>
      </c>
      <c r="AN289" s="2">
        <v>4.8025000000000002</v>
      </c>
      <c r="AO289" s="3">
        <v>45799</v>
      </c>
      <c r="AP289" s="2">
        <v>4.3975</v>
      </c>
      <c r="AQ289" s="3">
        <v>45799</v>
      </c>
      <c r="AR289" s="2">
        <v>4.0750000000000002</v>
      </c>
      <c r="AS289" s="3">
        <v>45799</v>
      </c>
      <c r="AT289" s="2">
        <v>3.8849999999999998</v>
      </c>
      <c r="AU289" s="3">
        <v>45799</v>
      </c>
      <c r="AV289" s="2">
        <v>3.79</v>
      </c>
      <c r="AW289" s="3">
        <v>45799</v>
      </c>
      <c r="AX289" s="2">
        <v>3.73</v>
      </c>
      <c r="AY289" s="3">
        <v>45799</v>
      </c>
      <c r="AZ289" s="2">
        <v>3.72</v>
      </c>
      <c r="BB289" s="3">
        <v>45784</v>
      </c>
      <c r="BC289" s="1">
        <v>3.75</v>
      </c>
      <c r="BD289" s="3">
        <v>45784</v>
      </c>
      <c r="BE289" s="1">
        <v>3.63</v>
      </c>
      <c r="BF289" s="3">
        <v>45799</v>
      </c>
      <c r="BG289" s="1">
        <v>3.48</v>
      </c>
      <c r="BH289" s="3">
        <v>45799</v>
      </c>
      <c r="BI289" s="1">
        <v>3.4409999999999998</v>
      </c>
      <c r="BJ289" s="3">
        <v>45799</v>
      </c>
      <c r="BK289" s="1">
        <v>3.3730000000000002</v>
      </c>
      <c r="BL289" s="3">
        <v>45799</v>
      </c>
      <c r="BM289" s="1">
        <v>3.258</v>
      </c>
      <c r="BN289" s="3">
        <v>45799</v>
      </c>
      <c r="BO289" s="1">
        <v>3.153</v>
      </c>
      <c r="BP289" s="3">
        <v>45799</v>
      </c>
      <c r="BQ289" s="1">
        <v>3.1230000000000002</v>
      </c>
      <c r="BR289" s="3">
        <v>45799</v>
      </c>
      <c r="BS289" s="1">
        <v>3.1349999999999998</v>
      </c>
      <c r="BT289" s="3">
        <v>45799</v>
      </c>
      <c r="BU289" s="1">
        <v>3.1549999999999998</v>
      </c>
      <c r="BV289" s="3">
        <v>45799</v>
      </c>
      <c r="BW289" s="1">
        <v>3.2149999999999999</v>
      </c>
      <c r="BY289" s="3">
        <v>45789</v>
      </c>
      <c r="BZ289" s="1">
        <v>6.5</v>
      </c>
      <c r="CA289" s="3">
        <v>45782</v>
      </c>
      <c r="CB289" s="1">
        <v>6.5</v>
      </c>
      <c r="CC289" s="3">
        <v>45799</v>
      </c>
      <c r="CD289" s="1">
        <v>6.48</v>
      </c>
      <c r="CE289" s="3">
        <v>45799</v>
      </c>
      <c r="CF289" s="1">
        <v>6.4560000000000004</v>
      </c>
      <c r="CG289" s="3">
        <v>45799</v>
      </c>
      <c r="CH289" s="1">
        <v>6.44</v>
      </c>
      <c r="CI289" s="3">
        <v>45799</v>
      </c>
      <c r="CJ289" s="1">
        <v>6.24</v>
      </c>
      <c r="CK289" s="3">
        <v>45799</v>
      </c>
      <c r="CL289" s="1">
        <v>5.83</v>
      </c>
      <c r="CM289" s="3">
        <v>45799</v>
      </c>
      <c r="CN289" s="1">
        <v>5.5</v>
      </c>
      <c r="CO289" s="3">
        <v>45793</v>
      </c>
      <c r="CP289" s="1">
        <v>5.4649999999999999</v>
      </c>
      <c r="CQ289" s="3">
        <v>45793</v>
      </c>
      <c r="CR289" s="1">
        <v>5.48</v>
      </c>
      <c r="CS289" s="3">
        <v>45793</v>
      </c>
      <c r="CT289" s="1">
        <v>5.5049999999999999</v>
      </c>
    </row>
    <row r="290" spans="31:98" x14ac:dyDescent="0.2">
      <c r="AE290" s="3">
        <v>45798</v>
      </c>
      <c r="AF290" s="1">
        <v>5.25</v>
      </c>
      <c r="AG290" s="3">
        <v>45782</v>
      </c>
      <c r="AH290" s="1">
        <v>5.36</v>
      </c>
      <c r="AI290" s="3">
        <v>45798</v>
      </c>
      <c r="AJ290" s="2">
        <v>5.1449999999999996</v>
      </c>
      <c r="AK290" s="3">
        <v>45798</v>
      </c>
      <c r="AL290" s="2">
        <v>4.875</v>
      </c>
      <c r="AM290" s="3">
        <v>45798</v>
      </c>
      <c r="AN290" s="2">
        <v>4.8</v>
      </c>
      <c r="AO290" s="3">
        <v>45798</v>
      </c>
      <c r="AP290" s="2">
        <v>4.3949999999999996</v>
      </c>
      <c r="AQ290" s="3">
        <v>45798</v>
      </c>
      <c r="AR290" s="2">
        <v>4.07</v>
      </c>
      <c r="AS290" s="3">
        <v>45798</v>
      </c>
      <c r="AT290" s="2">
        <v>3.8774999999999999</v>
      </c>
      <c r="AU290" s="3">
        <v>45798</v>
      </c>
      <c r="AV290" s="2">
        <v>3.78</v>
      </c>
      <c r="AW290" s="3">
        <v>45798</v>
      </c>
      <c r="AX290" s="2">
        <v>3.7250000000000001</v>
      </c>
      <c r="AY290" s="3">
        <v>45798</v>
      </c>
      <c r="AZ290" s="2">
        <v>3.7149999999999999</v>
      </c>
      <c r="BB290" s="3">
        <v>45783</v>
      </c>
      <c r="BC290" s="1">
        <v>3.75</v>
      </c>
      <c r="BD290" s="3">
        <v>45783</v>
      </c>
      <c r="BE290" s="1">
        <v>3.64</v>
      </c>
      <c r="BF290" s="3">
        <v>45798</v>
      </c>
      <c r="BG290" s="1">
        <v>3.48</v>
      </c>
      <c r="BH290" s="3">
        <v>45798</v>
      </c>
      <c r="BI290" s="1">
        <v>3.44</v>
      </c>
      <c r="BJ290" s="3">
        <v>45798</v>
      </c>
      <c r="BK290" s="1">
        <v>3.37</v>
      </c>
      <c r="BL290" s="3">
        <v>45798</v>
      </c>
      <c r="BM290" s="1">
        <v>3.258</v>
      </c>
      <c r="BN290" s="3">
        <v>45798</v>
      </c>
      <c r="BO290" s="1">
        <v>3.145</v>
      </c>
      <c r="BP290" s="3">
        <v>45798</v>
      </c>
      <c r="BQ290" s="1">
        <v>3.113</v>
      </c>
      <c r="BR290" s="3">
        <v>45798</v>
      </c>
      <c r="BS290" s="1">
        <v>3.125</v>
      </c>
      <c r="BT290" s="3">
        <v>45798</v>
      </c>
      <c r="BU290" s="1">
        <v>3.145</v>
      </c>
      <c r="BV290" s="3">
        <v>45798</v>
      </c>
      <c r="BW290" s="1">
        <v>3.2</v>
      </c>
      <c r="BY290" s="3">
        <v>45786</v>
      </c>
      <c r="BZ290" s="1">
        <v>6.5</v>
      </c>
      <c r="CA290" s="3">
        <v>45777</v>
      </c>
      <c r="CB290" s="1">
        <v>6.5</v>
      </c>
      <c r="CC290" s="3">
        <v>45798</v>
      </c>
      <c r="CD290" s="1">
        <v>6.48</v>
      </c>
      <c r="CE290" s="3">
        <v>45798</v>
      </c>
      <c r="CF290" s="1">
        <v>6.46</v>
      </c>
      <c r="CG290" s="3">
        <v>45798</v>
      </c>
      <c r="CH290" s="1">
        <v>6.44</v>
      </c>
      <c r="CI290" s="3">
        <v>45798</v>
      </c>
      <c r="CJ290" s="1">
        <v>6.27</v>
      </c>
      <c r="CK290" s="3">
        <v>45798</v>
      </c>
      <c r="CL290" s="1">
        <v>5.83</v>
      </c>
      <c r="CM290" s="3">
        <v>45798</v>
      </c>
      <c r="CN290" s="1">
        <v>5.47</v>
      </c>
      <c r="CO290" s="3">
        <v>45792</v>
      </c>
      <c r="CP290" s="1">
        <v>5.36</v>
      </c>
      <c r="CQ290" s="3">
        <v>45792</v>
      </c>
      <c r="CR290" s="1">
        <v>5.375</v>
      </c>
      <c r="CS290" s="3">
        <v>45792</v>
      </c>
      <c r="CT290" s="1">
        <v>5.4</v>
      </c>
    </row>
    <row r="291" spans="31:98" x14ac:dyDescent="0.2">
      <c r="AE291" s="3">
        <v>45797</v>
      </c>
      <c r="AF291" s="1">
        <v>5.25</v>
      </c>
      <c r="AG291" s="3">
        <v>45779</v>
      </c>
      <c r="AH291" s="1">
        <v>5.36</v>
      </c>
      <c r="AI291" s="3">
        <v>45797</v>
      </c>
      <c r="AJ291" s="2">
        <v>5.1449999999999996</v>
      </c>
      <c r="AK291" s="3">
        <v>45797</v>
      </c>
      <c r="AL291" s="2">
        <v>4.8600000000000003</v>
      </c>
      <c r="AM291" s="3">
        <v>45797</v>
      </c>
      <c r="AN291" s="2">
        <v>4.7699999999999996</v>
      </c>
      <c r="AO291" s="3">
        <v>45797</v>
      </c>
      <c r="AP291" s="2">
        <v>4.3650000000000002</v>
      </c>
      <c r="AQ291" s="3">
        <v>45797</v>
      </c>
      <c r="AR291" s="2">
        <v>4.0425000000000004</v>
      </c>
      <c r="AS291" s="3">
        <v>45797</v>
      </c>
      <c r="AT291" s="2">
        <v>3.8574999999999999</v>
      </c>
      <c r="AU291" s="3">
        <v>45797</v>
      </c>
      <c r="AV291" s="2">
        <v>3.76</v>
      </c>
      <c r="AW291" s="3">
        <v>45797</v>
      </c>
      <c r="AX291" s="2">
        <v>3.7</v>
      </c>
      <c r="AY291" s="3">
        <v>45797</v>
      </c>
      <c r="AZ291" s="2">
        <v>3.6949999999999998</v>
      </c>
      <c r="BB291" s="3">
        <v>45782</v>
      </c>
      <c r="BC291" s="1">
        <v>3.75</v>
      </c>
      <c r="BD291" s="3">
        <v>45782</v>
      </c>
      <c r="BE291" s="1">
        <v>3.65</v>
      </c>
      <c r="BF291" s="3">
        <v>45797</v>
      </c>
      <c r="BG291" s="1">
        <v>3.48</v>
      </c>
      <c r="BH291" s="3">
        <v>45797</v>
      </c>
      <c r="BI291" s="1">
        <v>3.4350000000000001</v>
      </c>
      <c r="BJ291" s="3">
        <v>45797</v>
      </c>
      <c r="BK291" s="1">
        <v>3.37</v>
      </c>
      <c r="BL291" s="3">
        <v>45797</v>
      </c>
      <c r="BM291" s="1">
        <v>3.2480000000000002</v>
      </c>
      <c r="BN291" s="3">
        <v>45797</v>
      </c>
      <c r="BO291" s="1">
        <v>3.145</v>
      </c>
      <c r="BP291" s="3">
        <v>45797</v>
      </c>
      <c r="BQ291" s="1">
        <v>3.11</v>
      </c>
      <c r="BR291" s="3">
        <v>45797</v>
      </c>
      <c r="BS291" s="1">
        <v>3.125</v>
      </c>
      <c r="BT291" s="3">
        <v>45797</v>
      </c>
      <c r="BU291" s="1">
        <v>3.14</v>
      </c>
      <c r="BV291" s="3">
        <v>45797</v>
      </c>
      <c r="BW291" s="1">
        <v>3.1930000000000001</v>
      </c>
      <c r="BY291" s="3">
        <v>45785</v>
      </c>
      <c r="BZ291" s="1">
        <v>6.5</v>
      </c>
      <c r="CA291" s="3">
        <v>45776</v>
      </c>
      <c r="CB291" s="1">
        <v>6.5</v>
      </c>
      <c r="CC291" s="3">
        <v>45797</v>
      </c>
      <c r="CD291" s="1">
        <v>6.4870000000000001</v>
      </c>
      <c r="CE291" s="3">
        <v>45797</v>
      </c>
      <c r="CF291" s="1">
        <v>6.4630000000000001</v>
      </c>
      <c r="CG291" s="3">
        <v>45797</v>
      </c>
      <c r="CH291" s="1">
        <v>6.43</v>
      </c>
      <c r="CI291" s="3">
        <v>45797</v>
      </c>
      <c r="CJ291" s="1">
        <v>6.25</v>
      </c>
      <c r="CK291" s="3">
        <v>45797</v>
      </c>
      <c r="CL291" s="1">
        <v>5.81</v>
      </c>
      <c r="CM291" s="3">
        <v>45797</v>
      </c>
      <c r="CN291" s="1">
        <v>5.48</v>
      </c>
      <c r="CO291" s="3">
        <v>45791</v>
      </c>
      <c r="CP291" s="1">
        <v>5.35</v>
      </c>
      <c r="CQ291" s="3">
        <v>45791</v>
      </c>
      <c r="CR291" s="1">
        <v>5.3650000000000002</v>
      </c>
      <c r="CS291" s="3">
        <v>45791</v>
      </c>
      <c r="CT291" s="1">
        <v>5.39</v>
      </c>
    </row>
    <row r="292" spans="31:98" x14ac:dyDescent="0.2">
      <c r="AE292" s="3">
        <v>45796</v>
      </c>
      <c r="AF292" s="1">
        <v>5.25</v>
      </c>
      <c r="AG292" s="3">
        <v>45777</v>
      </c>
      <c r="AH292" s="1">
        <v>5.41</v>
      </c>
      <c r="AI292" s="3">
        <v>45796</v>
      </c>
      <c r="AJ292" s="2">
        <v>5.1349999999999998</v>
      </c>
      <c r="AK292" s="3">
        <v>45796</v>
      </c>
      <c r="AL292" s="2">
        <v>4.88</v>
      </c>
      <c r="AM292" s="3">
        <v>45796</v>
      </c>
      <c r="AN292" s="2">
        <v>4.8049999999999997</v>
      </c>
      <c r="AO292" s="3">
        <v>45796</v>
      </c>
      <c r="AP292" s="2">
        <v>4.4024999999999999</v>
      </c>
      <c r="AQ292" s="3">
        <v>45796</v>
      </c>
      <c r="AR292" s="2">
        <v>4.0824999999999996</v>
      </c>
      <c r="AS292" s="3">
        <v>45796</v>
      </c>
      <c r="AT292" s="2">
        <v>3.9175</v>
      </c>
      <c r="AU292" s="3">
        <v>45796</v>
      </c>
      <c r="AV292" s="2">
        <v>3.8275000000000001</v>
      </c>
      <c r="AW292" s="3">
        <v>45796</v>
      </c>
      <c r="AX292" s="2">
        <v>3.7725</v>
      </c>
      <c r="AY292" s="3">
        <v>45796</v>
      </c>
      <c r="AZ292" s="2">
        <v>3.7725</v>
      </c>
      <c r="BB292" s="3">
        <v>45777</v>
      </c>
      <c r="BC292" s="1">
        <v>3.75</v>
      </c>
      <c r="BD292" s="3">
        <v>45779</v>
      </c>
      <c r="BE292" s="1">
        <v>3.65</v>
      </c>
      <c r="BF292" s="3">
        <v>45796</v>
      </c>
      <c r="BG292" s="1">
        <v>3.48</v>
      </c>
      <c r="BH292" s="3">
        <v>45796</v>
      </c>
      <c r="BI292" s="1">
        <v>3.4460000000000002</v>
      </c>
      <c r="BJ292" s="3">
        <v>45796</v>
      </c>
      <c r="BK292" s="1">
        <v>3.37</v>
      </c>
      <c r="BL292" s="3">
        <v>45796</v>
      </c>
      <c r="BM292" s="1">
        <v>3.2549999999999999</v>
      </c>
      <c r="BN292" s="3">
        <v>45796</v>
      </c>
      <c r="BO292" s="1">
        <v>3.1579999999999999</v>
      </c>
      <c r="BP292" s="3">
        <v>45796</v>
      </c>
      <c r="BQ292" s="1">
        <v>3.125</v>
      </c>
      <c r="BR292" s="3">
        <v>45796</v>
      </c>
      <c r="BS292" s="1">
        <v>3.145</v>
      </c>
      <c r="BT292" s="3">
        <v>45796</v>
      </c>
      <c r="BU292" s="1">
        <v>3.1629999999999998</v>
      </c>
      <c r="BV292" s="3">
        <v>45796</v>
      </c>
      <c r="BW292" s="1">
        <v>3.2250000000000001</v>
      </c>
      <c r="BY292" s="3">
        <v>45784</v>
      </c>
      <c r="BZ292" s="1">
        <v>6.5</v>
      </c>
      <c r="CA292" s="3">
        <v>45775</v>
      </c>
      <c r="CB292" s="1">
        <v>6.5</v>
      </c>
      <c r="CC292" s="3">
        <v>45796</v>
      </c>
      <c r="CD292" s="1">
        <v>6.4829999999999997</v>
      </c>
      <c r="CE292" s="3">
        <v>45796</v>
      </c>
      <c r="CF292" s="1">
        <v>6.4669999999999996</v>
      </c>
      <c r="CG292" s="3">
        <v>45796</v>
      </c>
      <c r="CH292" s="1">
        <v>6.44</v>
      </c>
      <c r="CI292" s="3">
        <v>45796</v>
      </c>
      <c r="CJ292" s="1">
        <v>6.26</v>
      </c>
      <c r="CK292" s="3">
        <v>45796</v>
      </c>
      <c r="CL292" s="1">
        <v>5.82</v>
      </c>
      <c r="CM292" s="3">
        <v>45796</v>
      </c>
      <c r="CN292" s="1">
        <v>5.47</v>
      </c>
      <c r="CO292" s="3">
        <v>45790</v>
      </c>
      <c r="CP292" s="1">
        <v>5.22</v>
      </c>
      <c r="CQ292" s="3">
        <v>45790</v>
      </c>
      <c r="CR292" s="1">
        <v>5.26</v>
      </c>
      <c r="CS292" s="3">
        <v>45790</v>
      </c>
      <c r="CT292" s="1">
        <v>5.29</v>
      </c>
    </row>
    <row r="293" spans="31:98" x14ac:dyDescent="0.2">
      <c r="AE293" s="3">
        <v>45793</v>
      </c>
      <c r="AF293" s="1">
        <v>5.25</v>
      </c>
      <c r="AG293" s="3">
        <v>45776</v>
      </c>
      <c r="AH293" s="1">
        <v>5.4</v>
      </c>
      <c r="AI293" s="3">
        <v>45793</v>
      </c>
      <c r="AJ293" s="2">
        <v>5.14</v>
      </c>
      <c r="AK293" s="3">
        <v>45793</v>
      </c>
      <c r="AL293" s="2">
        <v>4.8849999999999998</v>
      </c>
      <c r="AM293" s="3">
        <v>45793</v>
      </c>
      <c r="AN293" s="2">
        <v>4.8099999999999996</v>
      </c>
      <c r="AO293" s="3">
        <v>45793</v>
      </c>
      <c r="AP293" s="2">
        <v>4.41</v>
      </c>
      <c r="AQ293" s="3">
        <v>45793</v>
      </c>
      <c r="AR293" s="2">
        <v>4.08</v>
      </c>
      <c r="AS293" s="3">
        <v>45793</v>
      </c>
      <c r="AT293" s="2">
        <v>3.9075000000000002</v>
      </c>
      <c r="AU293" s="3">
        <v>45793</v>
      </c>
      <c r="AV293" s="2">
        <v>3.8125</v>
      </c>
      <c r="AW293" s="3">
        <v>45793</v>
      </c>
      <c r="AX293" s="2">
        <v>3.7574999999999998</v>
      </c>
      <c r="AY293" s="3">
        <v>45793</v>
      </c>
      <c r="AZ293" s="2">
        <v>3.7475000000000001</v>
      </c>
      <c r="BB293" s="3">
        <v>45776</v>
      </c>
      <c r="BC293" s="1">
        <v>3.75</v>
      </c>
      <c r="BD293" s="3">
        <v>45777</v>
      </c>
      <c r="BE293" s="1">
        <v>3.64</v>
      </c>
      <c r="BF293" s="3">
        <v>45793</v>
      </c>
      <c r="BG293" s="1">
        <v>3.48</v>
      </c>
      <c r="BH293" s="3">
        <v>45793</v>
      </c>
      <c r="BI293" s="1">
        <v>3.4430000000000001</v>
      </c>
      <c r="BJ293" s="3">
        <v>45793</v>
      </c>
      <c r="BK293" s="1">
        <v>3.3679999999999999</v>
      </c>
      <c r="BL293" s="3">
        <v>45793</v>
      </c>
      <c r="BM293" s="1">
        <v>3.2549999999999999</v>
      </c>
      <c r="BN293" s="3">
        <v>45793</v>
      </c>
      <c r="BO293" s="1">
        <v>3.1549999999999998</v>
      </c>
      <c r="BP293" s="3">
        <v>45793</v>
      </c>
      <c r="BQ293" s="1">
        <v>3.1349999999999998</v>
      </c>
      <c r="BR293" s="3">
        <v>45793</v>
      </c>
      <c r="BS293" s="1">
        <v>3.145</v>
      </c>
      <c r="BT293" s="3">
        <v>45793</v>
      </c>
      <c r="BU293" s="1">
        <v>3.165</v>
      </c>
      <c r="BV293" s="3">
        <v>45793</v>
      </c>
      <c r="BW293" s="1">
        <v>3.23</v>
      </c>
      <c r="BY293" s="3">
        <v>45783</v>
      </c>
      <c r="BZ293" s="1">
        <v>6.5</v>
      </c>
      <c r="CA293" s="3">
        <v>45772</v>
      </c>
      <c r="CB293" s="1">
        <v>6.5</v>
      </c>
      <c r="CC293" s="3">
        <v>45793</v>
      </c>
      <c r="CD293" s="1">
        <v>6.49</v>
      </c>
      <c r="CE293" s="3">
        <v>45793</v>
      </c>
      <c r="CF293" s="1">
        <v>6.46</v>
      </c>
      <c r="CG293" s="3">
        <v>45793</v>
      </c>
      <c r="CH293" s="1">
        <v>6.46</v>
      </c>
      <c r="CI293" s="3">
        <v>45793</v>
      </c>
      <c r="CJ293" s="1">
        <v>6.29</v>
      </c>
      <c r="CK293" s="3">
        <v>45793</v>
      </c>
      <c r="CL293" s="1">
        <v>5.84</v>
      </c>
      <c r="CM293" s="3">
        <v>45793</v>
      </c>
      <c r="CN293" s="1">
        <v>5.52</v>
      </c>
      <c r="CO293" s="3">
        <v>45789</v>
      </c>
      <c r="CP293" s="1">
        <v>5.2450000000000001</v>
      </c>
      <c r="CQ293" s="3">
        <v>45789</v>
      </c>
      <c r="CR293" s="1">
        <v>5.2750000000000004</v>
      </c>
      <c r="CS293" s="3">
        <v>45789</v>
      </c>
      <c r="CT293" s="1">
        <v>5.3150000000000004</v>
      </c>
    </row>
    <row r="294" spans="31:98" x14ac:dyDescent="0.2">
      <c r="AE294" s="3">
        <v>45792</v>
      </c>
      <c r="AF294" s="1">
        <v>5.25</v>
      </c>
      <c r="AG294" s="3">
        <v>45775</v>
      </c>
      <c r="AH294" s="1">
        <v>5.48</v>
      </c>
      <c r="AI294" s="3">
        <v>45792</v>
      </c>
      <c r="AJ294" s="2">
        <v>5.14</v>
      </c>
      <c r="AK294" s="3">
        <v>45792</v>
      </c>
      <c r="AL294" s="2">
        <v>4.8615000000000004</v>
      </c>
      <c r="AM294" s="3">
        <v>45792</v>
      </c>
      <c r="AN294" s="2">
        <v>4.8</v>
      </c>
      <c r="AO294" s="3">
        <v>45792</v>
      </c>
      <c r="AP294" s="2">
        <v>4.38</v>
      </c>
      <c r="AQ294" s="3">
        <v>45792</v>
      </c>
      <c r="AR294" s="2">
        <v>4.0449999999999999</v>
      </c>
      <c r="AS294" s="3">
        <v>45792</v>
      </c>
      <c r="AT294" s="2">
        <v>3.8624999999999998</v>
      </c>
      <c r="AU294" s="3">
        <v>45792</v>
      </c>
      <c r="AV294" s="2">
        <v>3.7675000000000001</v>
      </c>
      <c r="AW294" s="3">
        <v>45792</v>
      </c>
      <c r="AX294" s="2">
        <v>3.7075</v>
      </c>
      <c r="AY294" s="3">
        <v>45792</v>
      </c>
      <c r="AZ294" s="2">
        <v>3.6924999999999999</v>
      </c>
      <c r="BB294" s="3">
        <v>45775</v>
      </c>
      <c r="BC294" s="1">
        <v>3.75</v>
      </c>
      <c r="BD294" s="3">
        <v>45776</v>
      </c>
      <c r="BE294" s="1">
        <v>3.63</v>
      </c>
      <c r="BF294" s="3">
        <v>45792</v>
      </c>
      <c r="BG294" s="1">
        <v>3.48</v>
      </c>
      <c r="BH294" s="3">
        <v>45792</v>
      </c>
      <c r="BI294" s="1">
        <v>3.4449999999999998</v>
      </c>
      <c r="BJ294" s="3">
        <v>45792</v>
      </c>
      <c r="BK294" s="1">
        <v>3.375</v>
      </c>
      <c r="BL294" s="3">
        <v>45792</v>
      </c>
      <c r="BM294" s="1">
        <v>3.26</v>
      </c>
      <c r="BN294" s="3">
        <v>45792</v>
      </c>
      <c r="BO294" s="1">
        <v>3.17</v>
      </c>
      <c r="BP294" s="3">
        <v>45792</v>
      </c>
      <c r="BQ294" s="1">
        <v>3.15</v>
      </c>
      <c r="BR294" s="3">
        <v>45792</v>
      </c>
      <c r="BS294" s="1">
        <v>3.1680000000000001</v>
      </c>
      <c r="BT294" s="3">
        <v>45792</v>
      </c>
      <c r="BU294" s="1">
        <v>3.1880000000000002</v>
      </c>
      <c r="BV294" s="3">
        <v>45792</v>
      </c>
      <c r="BW294" s="1">
        <v>3.2480000000000002</v>
      </c>
      <c r="BY294" s="3">
        <v>45782</v>
      </c>
      <c r="BZ294" s="1">
        <v>6.5</v>
      </c>
      <c r="CA294" s="3">
        <v>45771</v>
      </c>
      <c r="CB294" s="1">
        <v>6.5</v>
      </c>
      <c r="CC294" s="3">
        <v>45792</v>
      </c>
      <c r="CD294" s="1">
        <v>6.4989999999999997</v>
      </c>
      <c r="CE294" s="3">
        <v>45792</v>
      </c>
      <c r="CF294" s="1">
        <v>6.4589999999999996</v>
      </c>
      <c r="CG294" s="3">
        <v>45792</v>
      </c>
      <c r="CH294" s="1">
        <v>6.43</v>
      </c>
      <c r="CI294" s="3">
        <v>45792</v>
      </c>
      <c r="CJ294" s="1">
        <v>6.23</v>
      </c>
      <c r="CK294" s="3">
        <v>45792</v>
      </c>
      <c r="CL294" s="1">
        <v>5.77</v>
      </c>
      <c r="CM294" s="3">
        <v>45792</v>
      </c>
      <c r="CN294" s="1">
        <v>5.42</v>
      </c>
      <c r="CO294" s="3">
        <v>45786</v>
      </c>
      <c r="CP294" s="1">
        <v>5.1349999999999998</v>
      </c>
      <c r="CQ294" s="3">
        <v>45786</v>
      </c>
      <c r="CR294" s="1">
        <v>5.165</v>
      </c>
      <c r="CS294" s="3">
        <v>45786</v>
      </c>
      <c r="CT294" s="1">
        <v>5.2149999999999999</v>
      </c>
    </row>
    <row r="295" spans="31:98" x14ac:dyDescent="0.2">
      <c r="AE295" s="3">
        <v>45791</v>
      </c>
      <c r="AF295" s="1">
        <v>5.25</v>
      </c>
      <c r="AG295" s="3">
        <v>45772</v>
      </c>
      <c r="AH295" s="1">
        <v>5.42</v>
      </c>
      <c r="AI295" s="3">
        <v>45791</v>
      </c>
      <c r="AJ295" s="2">
        <v>5.1550000000000002</v>
      </c>
      <c r="AK295" s="3">
        <v>45791</v>
      </c>
      <c r="AL295" s="2">
        <v>4.8849999999999998</v>
      </c>
      <c r="AM295" s="3">
        <v>45791</v>
      </c>
      <c r="AN295" s="2">
        <v>4.835</v>
      </c>
      <c r="AO295" s="3">
        <v>45791</v>
      </c>
      <c r="AP295" s="2">
        <v>4.41</v>
      </c>
      <c r="AQ295" s="3">
        <v>45791</v>
      </c>
      <c r="AR295" s="2">
        <v>4.0949999999999998</v>
      </c>
      <c r="AS295" s="3">
        <v>45791</v>
      </c>
      <c r="AT295" s="2">
        <v>3.93</v>
      </c>
      <c r="AU295" s="3">
        <v>45791</v>
      </c>
      <c r="AV295" s="2">
        <v>3.8450000000000002</v>
      </c>
      <c r="AW295" s="3">
        <v>45791</v>
      </c>
      <c r="AX295" s="2">
        <v>3.79</v>
      </c>
      <c r="AY295" s="3">
        <v>45791</v>
      </c>
      <c r="AZ295" s="2">
        <v>3.78</v>
      </c>
      <c r="BB295" s="3">
        <v>45772</v>
      </c>
      <c r="BC295" s="1">
        <v>3.75</v>
      </c>
      <c r="BD295" s="3">
        <v>45775</v>
      </c>
      <c r="BE295" s="1">
        <v>3.64</v>
      </c>
      <c r="BF295" s="3">
        <v>45791</v>
      </c>
      <c r="BG295" s="1">
        <v>3.4849999999999999</v>
      </c>
      <c r="BH295" s="3">
        <v>45791</v>
      </c>
      <c r="BI295" s="1">
        <v>3.45</v>
      </c>
      <c r="BJ295" s="3">
        <v>45791</v>
      </c>
      <c r="BK295" s="1">
        <v>3.375</v>
      </c>
      <c r="BL295" s="3">
        <v>45791</v>
      </c>
      <c r="BM295" s="1">
        <v>3.27</v>
      </c>
      <c r="BN295" s="3">
        <v>45791</v>
      </c>
      <c r="BO295" s="1">
        <v>3.2050000000000001</v>
      </c>
      <c r="BP295" s="3">
        <v>45791</v>
      </c>
      <c r="BQ295" s="1">
        <v>3.1779999999999999</v>
      </c>
      <c r="BR295" s="3">
        <v>45791</v>
      </c>
      <c r="BS295" s="1">
        <v>3.198</v>
      </c>
      <c r="BT295" s="3">
        <v>45791</v>
      </c>
      <c r="BU295" s="1">
        <v>3.2280000000000002</v>
      </c>
      <c r="BV295" s="3">
        <v>45791</v>
      </c>
      <c r="BW295" s="1">
        <v>3.2930000000000001</v>
      </c>
      <c r="BY295" s="3">
        <v>45779</v>
      </c>
      <c r="BZ295" s="1">
        <v>6.5</v>
      </c>
      <c r="CA295" s="3">
        <v>45770</v>
      </c>
      <c r="CB295" s="1">
        <v>6.5</v>
      </c>
      <c r="CC295" s="3">
        <v>45791</v>
      </c>
      <c r="CD295" s="1">
        <v>6.4989999999999997</v>
      </c>
      <c r="CE295" s="3">
        <v>45791</v>
      </c>
      <c r="CF295" s="1">
        <v>6.468</v>
      </c>
      <c r="CG295" s="3">
        <v>45791</v>
      </c>
      <c r="CH295" s="1">
        <v>6.44</v>
      </c>
      <c r="CI295" s="3">
        <v>45791</v>
      </c>
      <c r="CJ295" s="1">
        <v>6.22</v>
      </c>
      <c r="CK295" s="3">
        <v>45791</v>
      </c>
      <c r="CL295" s="1">
        <v>5.79</v>
      </c>
      <c r="CM295" s="3">
        <v>45791</v>
      </c>
      <c r="CN295" s="1">
        <v>5.41</v>
      </c>
      <c r="CO295" s="3">
        <v>45785</v>
      </c>
      <c r="CP295" s="1">
        <v>5.1349999999999998</v>
      </c>
      <c r="CQ295" s="3">
        <v>45785</v>
      </c>
      <c r="CR295" s="1">
        <v>5.165</v>
      </c>
      <c r="CS295" s="3">
        <v>45785</v>
      </c>
      <c r="CT295" s="1">
        <v>5.2149999999999999</v>
      </c>
    </row>
    <row r="296" spans="31:98" x14ac:dyDescent="0.2">
      <c r="AE296" s="3">
        <v>45790</v>
      </c>
      <c r="AF296" s="1">
        <v>5.25</v>
      </c>
      <c r="AG296" s="3">
        <v>45771</v>
      </c>
      <c r="AH296" s="1">
        <v>5.45</v>
      </c>
      <c r="AI296" s="3">
        <v>45790</v>
      </c>
      <c r="AJ296" s="2">
        <v>5.125</v>
      </c>
      <c r="AK296" s="3">
        <v>45790</v>
      </c>
      <c r="AL296" s="2">
        <v>4.88</v>
      </c>
      <c r="AM296" s="3">
        <v>45790</v>
      </c>
      <c r="AN296" s="2">
        <v>4.82</v>
      </c>
      <c r="AO296" s="3">
        <v>45790</v>
      </c>
      <c r="AP296" s="2">
        <v>4.3949999999999996</v>
      </c>
      <c r="AQ296" s="3">
        <v>45790</v>
      </c>
      <c r="AR296" s="2">
        <v>4.0525000000000002</v>
      </c>
      <c r="AS296" s="3">
        <v>45790</v>
      </c>
      <c r="AT296" s="2">
        <v>3.8574999999999999</v>
      </c>
      <c r="AU296" s="3">
        <v>45790</v>
      </c>
      <c r="AV296" s="2">
        <v>3.7574999999999998</v>
      </c>
      <c r="AW296" s="3">
        <v>45790</v>
      </c>
      <c r="AX296" s="2">
        <v>3.6875</v>
      </c>
      <c r="AY296" s="3">
        <v>45790</v>
      </c>
      <c r="AZ296" s="2">
        <v>3.6875</v>
      </c>
      <c r="BB296" s="3">
        <v>45771</v>
      </c>
      <c r="BC296" s="1">
        <v>3.75</v>
      </c>
      <c r="BD296" s="3">
        <v>45772</v>
      </c>
      <c r="BE296" s="1">
        <v>3.65</v>
      </c>
      <c r="BF296" s="3">
        <v>45790</v>
      </c>
      <c r="BG296" s="1">
        <v>3.4950000000000001</v>
      </c>
      <c r="BH296" s="3">
        <v>45790</v>
      </c>
      <c r="BI296" s="1">
        <v>3.448</v>
      </c>
      <c r="BJ296" s="3">
        <v>45790</v>
      </c>
      <c r="BK296" s="1">
        <v>3.3650000000000002</v>
      </c>
      <c r="BL296" s="3">
        <v>45790</v>
      </c>
      <c r="BM296" s="1">
        <v>3.24</v>
      </c>
      <c r="BN296" s="3">
        <v>45790</v>
      </c>
      <c r="BO296" s="1">
        <v>3.165</v>
      </c>
      <c r="BP296" s="3">
        <v>45790</v>
      </c>
      <c r="BQ296" s="1">
        <v>3.13</v>
      </c>
      <c r="BR296" s="3">
        <v>45790</v>
      </c>
      <c r="BS296" s="1">
        <v>3.145</v>
      </c>
      <c r="BT296" s="3">
        <v>45790</v>
      </c>
      <c r="BU296" s="1">
        <v>3.17</v>
      </c>
      <c r="BV296" s="3">
        <v>45790</v>
      </c>
      <c r="BW296" s="1">
        <v>3.22</v>
      </c>
      <c r="BY296" s="3">
        <v>45778</v>
      </c>
      <c r="BZ296" s="1">
        <v>6.5</v>
      </c>
      <c r="CA296" s="3">
        <v>45769</v>
      </c>
      <c r="CB296" s="1">
        <v>6.5</v>
      </c>
      <c r="CC296" s="3">
        <v>45790</v>
      </c>
      <c r="CD296" s="1">
        <v>6.5</v>
      </c>
      <c r="CE296" s="3">
        <v>45790</v>
      </c>
      <c r="CF296" s="1">
        <v>6.46</v>
      </c>
      <c r="CG296" s="3">
        <v>45790</v>
      </c>
      <c r="CH296" s="1">
        <v>6.42</v>
      </c>
      <c r="CI296" s="3">
        <v>45790</v>
      </c>
      <c r="CJ296" s="1">
        <v>6.13</v>
      </c>
      <c r="CK296" s="3">
        <v>45790</v>
      </c>
      <c r="CL296" s="1">
        <v>5.66</v>
      </c>
      <c r="CM296" s="3">
        <v>45790</v>
      </c>
      <c r="CN296" s="1">
        <v>5.28</v>
      </c>
      <c r="CO296" s="3">
        <v>45784</v>
      </c>
      <c r="CP296" s="1">
        <v>5.0750000000000002</v>
      </c>
      <c r="CQ296" s="3">
        <v>45784</v>
      </c>
      <c r="CR296" s="1">
        <v>5.1050000000000004</v>
      </c>
      <c r="CS296" s="3">
        <v>45784</v>
      </c>
      <c r="CT296" s="1">
        <v>5.125</v>
      </c>
    </row>
    <row r="297" spans="31:98" x14ac:dyDescent="0.2">
      <c r="AE297" s="3">
        <v>45789</v>
      </c>
      <c r="AF297" s="1">
        <v>5.25</v>
      </c>
      <c r="AG297" s="3">
        <v>45770</v>
      </c>
      <c r="AH297" s="1">
        <v>5.47</v>
      </c>
      <c r="AI297" s="3">
        <v>45789</v>
      </c>
      <c r="AJ297" s="2">
        <v>5.13</v>
      </c>
      <c r="AK297" s="3">
        <v>45789</v>
      </c>
      <c r="AL297" s="2">
        <v>4.8899999999999997</v>
      </c>
      <c r="AM297" s="3">
        <v>45789</v>
      </c>
      <c r="AN297" s="2">
        <v>4.8274999999999997</v>
      </c>
      <c r="AO297" s="3">
        <v>45789</v>
      </c>
      <c r="AP297" s="2">
        <v>4.4050000000000002</v>
      </c>
      <c r="AQ297" s="3">
        <v>45789</v>
      </c>
      <c r="AR297" s="2">
        <v>4.07</v>
      </c>
      <c r="AS297" s="3">
        <v>45789</v>
      </c>
      <c r="AT297" s="2">
        <v>3.875</v>
      </c>
      <c r="AU297" s="3">
        <v>45789</v>
      </c>
      <c r="AV297" s="2">
        <v>3.7650000000000001</v>
      </c>
      <c r="AW297" s="3">
        <v>45789</v>
      </c>
      <c r="AX297" s="2">
        <v>3.6850000000000001</v>
      </c>
      <c r="AY297" s="3">
        <v>45789</v>
      </c>
      <c r="AZ297" s="2">
        <v>3.6850000000000001</v>
      </c>
      <c r="BB297" s="3">
        <v>45770</v>
      </c>
      <c r="BC297" s="1">
        <v>3.75</v>
      </c>
      <c r="BD297" s="3">
        <v>45771</v>
      </c>
      <c r="BE297" s="1">
        <v>3.65</v>
      </c>
      <c r="BF297" s="3">
        <v>45789</v>
      </c>
      <c r="BG297" s="1">
        <v>3.4950000000000001</v>
      </c>
      <c r="BH297" s="3">
        <v>45789</v>
      </c>
      <c r="BI297" s="1">
        <v>3.448</v>
      </c>
      <c r="BJ297" s="3">
        <v>45789</v>
      </c>
      <c r="BK297" s="1">
        <v>3.37</v>
      </c>
      <c r="BL297" s="3">
        <v>45789</v>
      </c>
      <c r="BM297" s="1">
        <v>3.22</v>
      </c>
      <c r="BN297" s="3">
        <v>45789</v>
      </c>
      <c r="BO297" s="1">
        <v>3.1429999999999998</v>
      </c>
      <c r="BP297" s="3">
        <v>45789</v>
      </c>
      <c r="BQ297" s="1">
        <v>3.1030000000000002</v>
      </c>
      <c r="BR297" s="3">
        <v>45789</v>
      </c>
      <c r="BS297" s="1">
        <v>3.113</v>
      </c>
      <c r="BT297" s="3">
        <v>45789</v>
      </c>
      <c r="BU297" s="1">
        <v>3.1429999999999998</v>
      </c>
      <c r="BV297" s="3">
        <v>45789</v>
      </c>
      <c r="BW297" s="1">
        <v>3.1930000000000001</v>
      </c>
      <c r="BY297" s="3">
        <v>45777</v>
      </c>
      <c r="BZ297" s="1">
        <v>6.5</v>
      </c>
      <c r="CA297" s="3">
        <v>45764</v>
      </c>
      <c r="CB297" s="1">
        <v>6.5</v>
      </c>
      <c r="CC297" s="3">
        <v>45789</v>
      </c>
      <c r="CD297" s="1">
        <v>6.5</v>
      </c>
      <c r="CE297" s="3">
        <v>45789</v>
      </c>
      <c r="CF297" s="1">
        <v>6.46</v>
      </c>
      <c r="CG297" s="3">
        <v>45789</v>
      </c>
      <c r="CH297" s="1">
        <v>6.42</v>
      </c>
      <c r="CI297" s="3">
        <v>45789</v>
      </c>
      <c r="CJ297" s="1">
        <v>6.12</v>
      </c>
      <c r="CK297" s="3">
        <v>45789</v>
      </c>
      <c r="CL297" s="1">
        <v>5.65</v>
      </c>
      <c r="CM297" s="3">
        <v>45789</v>
      </c>
      <c r="CN297" s="1">
        <v>5.2549999999999999</v>
      </c>
      <c r="CO297" s="3">
        <v>45783</v>
      </c>
      <c r="CP297" s="1">
        <v>5.1749999999999998</v>
      </c>
      <c r="CQ297" s="3">
        <v>45783</v>
      </c>
      <c r="CR297" s="1">
        <v>5.19</v>
      </c>
      <c r="CS297" s="3">
        <v>45783</v>
      </c>
      <c r="CT297" s="1">
        <v>5.2350000000000003</v>
      </c>
    </row>
    <row r="298" spans="31:98" x14ac:dyDescent="0.2">
      <c r="AE298" s="3">
        <v>45786</v>
      </c>
      <c r="AF298" s="1">
        <v>5.25</v>
      </c>
      <c r="AG298" s="3">
        <v>45769</v>
      </c>
      <c r="AH298" s="1">
        <v>5.48</v>
      </c>
      <c r="AI298" s="3">
        <v>45786</v>
      </c>
      <c r="AJ298" s="2">
        <v>5.08</v>
      </c>
      <c r="AK298" s="3">
        <v>45786</v>
      </c>
      <c r="AL298" s="2">
        <v>4.84</v>
      </c>
      <c r="AM298" s="3">
        <v>45786</v>
      </c>
      <c r="AN298" s="2">
        <v>4.78</v>
      </c>
      <c r="AO298" s="3">
        <v>45786</v>
      </c>
      <c r="AP298" s="2">
        <v>4.3600000000000003</v>
      </c>
      <c r="AQ298" s="3">
        <v>45786</v>
      </c>
      <c r="AR298" s="2">
        <v>4.0250000000000004</v>
      </c>
      <c r="AS298" s="3">
        <v>45786</v>
      </c>
      <c r="AT298" s="2">
        <v>3.8149999999999999</v>
      </c>
      <c r="AU298" s="3">
        <v>45786</v>
      </c>
      <c r="AV298" s="2">
        <v>3.69</v>
      </c>
      <c r="AW298" s="3">
        <v>45786</v>
      </c>
      <c r="AX298" s="2">
        <v>3.61</v>
      </c>
      <c r="AY298" s="3">
        <v>45786</v>
      </c>
      <c r="AZ298" s="2">
        <v>3.6</v>
      </c>
      <c r="BB298" s="3">
        <v>45769</v>
      </c>
      <c r="BC298" s="1">
        <v>3.75</v>
      </c>
      <c r="BD298" s="3">
        <v>45770</v>
      </c>
      <c r="BE298" s="1">
        <v>3.66</v>
      </c>
      <c r="BF298" s="3">
        <v>45786</v>
      </c>
      <c r="BG298" s="1">
        <v>3.4849999999999999</v>
      </c>
      <c r="BH298" s="3">
        <v>45786</v>
      </c>
      <c r="BI298" s="1">
        <v>3.4460000000000002</v>
      </c>
      <c r="BJ298" s="3">
        <v>45786</v>
      </c>
      <c r="BK298" s="1">
        <v>3.38</v>
      </c>
      <c r="BL298" s="3">
        <v>45786</v>
      </c>
      <c r="BM298" s="1">
        <v>3.21</v>
      </c>
      <c r="BN298" s="3">
        <v>45786</v>
      </c>
      <c r="BO298" s="1">
        <v>3.1179999999999999</v>
      </c>
      <c r="BP298" s="3">
        <v>45786</v>
      </c>
      <c r="BQ298" s="1">
        <v>3.0379999999999998</v>
      </c>
      <c r="BR298" s="3">
        <v>45786</v>
      </c>
      <c r="BS298" s="1">
        <v>3.0430000000000001</v>
      </c>
      <c r="BT298" s="3">
        <v>45786</v>
      </c>
      <c r="BU298" s="1">
        <v>3.0649999999999999</v>
      </c>
      <c r="BV298" s="3">
        <v>45786</v>
      </c>
      <c r="BW298" s="1">
        <v>3.11</v>
      </c>
      <c r="BY298" s="3">
        <v>45776</v>
      </c>
      <c r="BZ298" s="1">
        <v>6.5</v>
      </c>
      <c r="CA298" s="3">
        <v>45763</v>
      </c>
      <c r="CB298" s="1">
        <v>6.5</v>
      </c>
      <c r="CC298" s="3">
        <v>45786</v>
      </c>
      <c r="CD298" s="1">
        <v>6.4989999999999997</v>
      </c>
      <c r="CE298" s="3">
        <v>45786</v>
      </c>
      <c r="CF298" s="1">
        <v>6.4539999999999997</v>
      </c>
      <c r="CG298" s="3">
        <v>45786</v>
      </c>
      <c r="CH298" s="1">
        <v>6.4</v>
      </c>
      <c r="CI298" s="3">
        <v>45786</v>
      </c>
      <c r="CJ298" s="1">
        <v>6.06</v>
      </c>
      <c r="CK298" s="3">
        <v>45786</v>
      </c>
      <c r="CL298" s="1">
        <v>5.56</v>
      </c>
      <c r="CM298" s="3">
        <v>45786</v>
      </c>
      <c r="CN298" s="1">
        <v>5.15</v>
      </c>
      <c r="CO298" s="3">
        <v>45782</v>
      </c>
      <c r="CP298" s="1">
        <v>5.0549999999999997</v>
      </c>
      <c r="CQ298" s="3">
        <v>45782</v>
      </c>
      <c r="CR298" s="1">
        <v>5.07</v>
      </c>
      <c r="CS298" s="3">
        <v>45782</v>
      </c>
      <c r="CT298" s="1">
        <v>5.1150000000000002</v>
      </c>
    </row>
    <row r="299" spans="31:98" x14ac:dyDescent="0.2">
      <c r="AE299" s="3">
        <v>45785</v>
      </c>
      <c r="AF299" s="1">
        <v>5.25</v>
      </c>
      <c r="AG299" s="3">
        <v>45765</v>
      </c>
      <c r="AH299" s="1">
        <v>5.49</v>
      </c>
      <c r="AI299" s="3">
        <v>45785</v>
      </c>
      <c r="AJ299" s="2">
        <v>5.09</v>
      </c>
      <c r="AK299" s="3">
        <v>45785</v>
      </c>
      <c r="AL299" s="2">
        <v>4.8</v>
      </c>
      <c r="AM299" s="3">
        <v>45785</v>
      </c>
      <c r="AN299" s="2">
        <v>4.74</v>
      </c>
      <c r="AO299" s="3">
        <v>45785</v>
      </c>
      <c r="AP299" s="2">
        <v>4.3150000000000004</v>
      </c>
      <c r="AQ299" s="3">
        <v>45785</v>
      </c>
      <c r="AR299" s="2">
        <v>3.9950000000000001</v>
      </c>
      <c r="AS299" s="3">
        <v>45785</v>
      </c>
      <c r="AT299" s="2">
        <v>3.7949999999999999</v>
      </c>
      <c r="AU299" s="3">
        <v>45785</v>
      </c>
      <c r="AV299" s="2">
        <v>3.6575000000000002</v>
      </c>
      <c r="AW299" s="3">
        <v>45785</v>
      </c>
      <c r="AX299" s="2">
        <v>3.5775000000000001</v>
      </c>
      <c r="AY299" s="3">
        <v>45785</v>
      </c>
      <c r="AZ299" s="2">
        <v>3.5625</v>
      </c>
      <c r="BB299" s="3">
        <v>45764</v>
      </c>
      <c r="BC299" s="1">
        <v>3.75</v>
      </c>
      <c r="BD299" s="3">
        <v>45769</v>
      </c>
      <c r="BE299" s="1">
        <v>3.67</v>
      </c>
      <c r="BF299" s="3">
        <v>45785</v>
      </c>
      <c r="BG299" s="1">
        <v>3.4750000000000001</v>
      </c>
      <c r="BH299" s="3">
        <v>45785</v>
      </c>
      <c r="BI299" s="1">
        <v>3.4380000000000002</v>
      </c>
      <c r="BJ299" s="3">
        <v>45785</v>
      </c>
      <c r="BK299" s="1">
        <v>3.375</v>
      </c>
      <c r="BL299" s="3">
        <v>45785</v>
      </c>
      <c r="BM299" s="1">
        <v>3.1930000000000001</v>
      </c>
      <c r="BN299" s="3">
        <v>45785</v>
      </c>
      <c r="BO299" s="1">
        <v>3.085</v>
      </c>
      <c r="BP299" s="3">
        <v>45785</v>
      </c>
      <c r="BQ299" s="1">
        <v>2.9950000000000001</v>
      </c>
      <c r="BR299" s="3">
        <v>45785</v>
      </c>
      <c r="BS299" s="1">
        <v>3.0030000000000001</v>
      </c>
      <c r="BT299" s="3">
        <v>45785</v>
      </c>
      <c r="BU299" s="1">
        <v>3.03</v>
      </c>
      <c r="BV299" s="3">
        <v>45785</v>
      </c>
      <c r="BW299" s="1">
        <v>3.0680000000000001</v>
      </c>
      <c r="BY299" s="3">
        <v>45775</v>
      </c>
      <c r="BZ299" s="1">
        <v>6.5</v>
      </c>
      <c r="CA299" s="3">
        <v>45762</v>
      </c>
      <c r="CB299" s="1">
        <v>6.5</v>
      </c>
      <c r="CC299" s="3">
        <v>45785</v>
      </c>
      <c r="CD299" s="1">
        <v>6.5</v>
      </c>
      <c r="CE299" s="3">
        <v>45785</v>
      </c>
      <c r="CF299" s="1">
        <v>6.45</v>
      </c>
      <c r="CG299" s="3">
        <v>45785</v>
      </c>
      <c r="CH299" s="1">
        <v>6.4</v>
      </c>
      <c r="CI299" s="3">
        <v>45785</v>
      </c>
      <c r="CJ299" s="1">
        <v>6.08</v>
      </c>
      <c r="CK299" s="3">
        <v>45785</v>
      </c>
      <c r="CL299" s="1">
        <v>5.57</v>
      </c>
      <c r="CM299" s="3">
        <v>45785</v>
      </c>
      <c r="CN299" s="1">
        <v>5.165</v>
      </c>
      <c r="CO299" s="3">
        <v>45778</v>
      </c>
      <c r="CP299" s="1">
        <v>5.0599999999999996</v>
      </c>
      <c r="CQ299" s="3">
        <v>45778</v>
      </c>
      <c r="CR299" s="1">
        <v>5.09</v>
      </c>
      <c r="CS299" s="3">
        <v>45778</v>
      </c>
      <c r="CT299" s="1">
        <v>5.14</v>
      </c>
    </row>
    <row r="300" spans="31:98" x14ac:dyDescent="0.2">
      <c r="AE300" s="3">
        <v>45784</v>
      </c>
      <c r="AF300" s="1">
        <v>5.25</v>
      </c>
      <c r="AG300" s="3">
        <v>45764</v>
      </c>
      <c r="AH300" s="1">
        <v>5.54</v>
      </c>
      <c r="AI300" s="3">
        <v>45784</v>
      </c>
      <c r="AJ300" s="2">
        <v>4.88</v>
      </c>
      <c r="AK300" s="3">
        <v>45784</v>
      </c>
      <c r="AL300" s="2">
        <v>4.6020000000000003</v>
      </c>
      <c r="AM300" s="3">
        <v>45784</v>
      </c>
      <c r="AN300" s="2">
        <v>4.5</v>
      </c>
      <c r="AO300" s="3">
        <v>45784</v>
      </c>
      <c r="AP300" s="2">
        <v>4.1550000000000002</v>
      </c>
      <c r="AQ300" s="3">
        <v>45784</v>
      </c>
      <c r="AR300" s="2">
        <v>3.8450000000000002</v>
      </c>
      <c r="AS300" s="3">
        <v>45784</v>
      </c>
      <c r="AT300" s="2">
        <v>3.66</v>
      </c>
      <c r="AU300" s="3">
        <v>45784</v>
      </c>
      <c r="AV300" s="2">
        <v>3.5449999999999999</v>
      </c>
      <c r="AW300" s="3">
        <v>45784</v>
      </c>
      <c r="AX300" s="2">
        <v>3.49</v>
      </c>
      <c r="AY300" s="3">
        <v>45784</v>
      </c>
      <c r="AZ300" s="2">
        <v>3.48</v>
      </c>
      <c r="BB300" s="3">
        <v>45763</v>
      </c>
      <c r="BC300" s="1">
        <v>3.75</v>
      </c>
      <c r="BD300" s="3">
        <v>45764</v>
      </c>
      <c r="BE300" s="1">
        <v>3.68</v>
      </c>
      <c r="BF300" s="3">
        <v>45784</v>
      </c>
      <c r="BG300" s="1">
        <v>3.4750000000000001</v>
      </c>
      <c r="BH300" s="3">
        <v>45784</v>
      </c>
      <c r="BI300" s="1">
        <v>3.4380000000000002</v>
      </c>
      <c r="BJ300" s="3">
        <v>45784</v>
      </c>
      <c r="BK300" s="1">
        <v>3.375</v>
      </c>
      <c r="BL300" s="3">
        <v>45784</v>
      </c>
      <c r="BM300" s="1">
        <v>3.1930000000000001</v>
      </c>
      <c r="BN300" s="3">
        <v>45784</v>
      </c>
      <c r="BO300" s="1">
        <v>3.085</v>
      </c>
      <c r="BP300" s="3">
        <v>45784</v>
      </c>
      <c r="BQ300" s="1">
        <v>2.9950000000000001</v>
      </c>
      <c r="BR300" s="3">
        <v>45784</v>
      </c>
      <c r="BS300" s="1">
        <v>3.0030000000000001</v>
      </c>
      <c r="BT300" s="3">
        <v>45784</v>
      </c>
      <c r="BU300" s="1">
        <v>3.03</v>
      </c>
      <c r="BV300" s="3">
        <v>45784</v>
      </c>
      <c r="BW300" s="1">
        <v>3.0680000000000001</v>
      </c>
      <c r="BY300" s="3">
        <v>45772</v>
      </c>
      <c r="BZ300" s="1">
        <v>6.5</v>
      </c>
      <c r="CA300" s="3">
        <v>45761</v>
      </c>
      <c r="CB300" s="1">
        <v>6.5</v>
      </c>
      <c r="CC300" s="3">
        <v>45784</v>
      </c>
      <c r="CD300" s="1">
        <v>6.5</v>
      </c>
      <c r="CE300" s="3">
        <v>45784</v>
      </c>
      <c r="CF300" s="1">
        <v>6.45</v>
      </c>
      <c r="CG300" s="3">
        <v>45784</v>
      </c>
      <c r="CH300" s="1">
        <v>6.4</v>
      </c>
      <c r="CI300" s="3">
        <v>45784</v>
      </c>
      <c r="CJ300" s="1">
        <v>6.1</v>
      </c>
      <c r="CK300" s="3">
        <v>45784</v>
      </c>
      <c r="CL300" s="1">
        <v>5.59</v>
      </c>
      <c r="CM300" s="3">
        <v>45784</v>
      </c>
      <c r="CN300" s="1">
        <v>5.2050000000000001</v>
      </c>
      <c r="CO300" s="3">
        <v>45777</v>
      </c>
      <c r="CP300" s="1">
        <v>5.0549999999999997</v>
      </c>
      <c r="CQ300" s="3">
        <v>45777</v>
      </c>
      <c r="CR300" s="1">
        <v>5.07</v>
      </c>
      <c r="CS300" s="3">
        <v>45777</v>
      </c>
      <c r="CT300" s="1">
        <v>5.1150000000000002</v>
      </c>
    </row>
    <row r="301" spans="31:98" x14ac:dyDescent="0.2">
      <c r="AE301" s="3">
        <v>45783</v>
      </c>
      <c r="AF301" s="1">
        <v>5.75</v>
      </c>
      <c r="AG301" s="3">
        <v>45763</v>
      </c>
      <c r="AH301" s="1">
        <v>5.54</v>
      </c>
      <c r="AI301" s="3">
        <v>45783</v>
      </c>
      <c r="AJ301" s="2">
        <v>4.8499999999999996</v>
      </c>
      <c r="AK301" s="3">
        <v>45783</v>
      </c>
      <c r="AL301" s="2">
        <v>4.5750000000000002</v>
      </c>
      <c r="AM301" s="3">
        <v>45783</v>
      </c>
      <c r="AN301" s="2">
        <v>4.4450000000000003</v>
      </c>
      <c r="AO301" s="3">
        <v>45783</v>
      </c>
      <c r="AP301" s="2">
        <v>4.0650000000000004</v>
      </c>
      <c r="AQ301" s="3">
        <v>45783</v>
      </c>
      <c r="AR301" s="2">
        <v>3.7650000000000001</v>
      </c>
      <c r="AS301" s="3">
        <v>45783</v>
      </c>
      <c r="AT301" s="2">
        <v>3.58</v>
      </c>
      <c r="AU301" s="3">
        <v>45783</v>
      </c>
      <c r="AV301" s="2">
        <v>3.47</v>
      </c>
      <c r="AW301" s="3">
        <v>45783</v>
      </c>
      <c r="AX301" s="2">
        <v>3.43</v>
      </c>
      <c r="AY301" s="3">
        <v>45783</v>
      </c>
      <c r="AZ301" s="2">
        <v>3.4350000000000001</v>
      </c>
      <c r="BB301" s="3">
        <v>45762</v>
      </c>
      <c r="BC301" s="1">
        <v>3.75</v>
      </c>
      <c r="BD301" s="3">
        <v>45763</v>
      </c>
      <c r="BE301" s="1">
        <v>3.67</v>
      </c>
      <c r="BF301" s="3">
        <v>45783</v>
      </c>
      <c r="BG301" s="1">
        <v>3.4950000000000001</v>
      </c>
      <c r="BH301" s="3">
        <v>45783</v>
      </c>
      <c r="BI301" s="1">
        <v>3.45</v>
      </c>
      <c r="BJ301" s="3">
        <v>45783</v>
      </c>
      <c r="BK301" s="1">
        <v>3.43</v>
      </c>
      <c r="BL301" s="3">
        <v>45783</v>
      </c>
      <c r="BM301" s="1">
        <v>3.238</v>
      </c>
      <c r="BN301" s="3">
        <v>45783</v>
      </c>
      <c r="BO301" s="1">
        <v>3.105</v>
      </c>
      <c r="BP301" s="3">
        <v>45783</v>
      </c>
      <c r="BQ301" s="1">
        <v>3.0249999999999999</v>
      </c>
      <c r="BR301" s="3">
        <v>45783</v>
      </c>
      <c r="BS301" s="1">
        <v>3.0329999999999999</v>
      </c>
      <c r="BT301" s="3">
        <v>45783</v>
      </c>
      <c r="BU301" s="1">
        <v>3.0630000000000002</v>
      </c>
      <c r="BV301" s="3">
        <v>45783</v>
      </c>
      <c r="BW301" s="1">
        <v>3.1080000000000001</v>
      </c>
      <c r="BY301" s="3">
        <v>45771</v>
      </c>
      <c r="BZ301" s="1">
        <v>6.5</v>
      </c>
      <c r="CA301" s="3">
        <v>45758</v>
      </c>
      <c r="CB301" s="1">
        <v>6.5</v>
      </c>
      <c r="CC301" s="3">
        <v>45783</v>
      </c>
      <c r="CD301" s="1">
        <v>6.5</v>
      </c>
      <c r="CE301" s="3">
        <v>45783</v>
      </c>
      <c r="CF301" s="1">
        <v>6.46</v>
      </c>
      <c r="CG301" s="3">
        <v>45783</v>
      </c>
      <c r="CH301" s="1">
        <v>6.42</v>
      </c>
      <c r="CI301" s="3">
        <v>45783</v>
      </c>
      <c r="CJ301" s="1">
        <v>6.18</v>
      </c>
      <c r="CK301" s="3">
        <v>45783</v>
      </c>
      <c r="CL301" s="1">
        <v>5.67</v>
      </c>
      <c r="CM301" s="3">
        <v>45783</v>
      </c>
      <c r="CN301" s="1">
        <v>5.3150000000000004</v>
      </c>
      <c r="CO301" s="3">
        <v>45776</v>
      </c>
      <c r="CP301" s="1">
        <v>5.1349999999999998</v>
      </c>
      <c r="CQ301" s="3">
        <v>45776</v>
      </c>
      <c r="CR301" s="1">
        <v>5.15</v>
      </c>
      <c r="CS301" s="3">
        <v>45776</v>
      </c>
      <c r="CT301" s="1">
        <v>5.1950000000000003</v>
      </c>
    </row>
    <row r="302" spans="31:98" x14ac:dyDescent="0.2">
      <c r="AE302" s="3">
        <v>45782</v>
      </c>
      <c r="AF302" s="1">
        <v>5.75</v>
      </c>
      <c r="AG302" s="3">
        <v>45762</v>
      </c>
      <c r="AH302" s="1">
        <v>5.53</v>
      </c>
      <c r="AI302" s="3">
        <v>45782</v>
      </c>
      <c r="AJ302" s="2">
        <v>4.8499999999999996</v>
      </c>
      <c r="AK302" s="3">
        <v>45782</v>
      </c>
      <c r="AL302" s="2">
        <v>4.585</v>
      </c>
      <c r="AM302" s="3">
        <v>45782</v>
      </c>
      <c r="AN302" s="2">
        <v>4.4550000000000001</v>
      </c>
      <c r="AO302" s="3">
        <v>45782</v>
      </c>
      <c r="AP302" s="2">
        <v>4.0674999999999999</v>
      </c>
      <c r="AQ302" s="3">
        <v>45782</v>
      </c>
      <c r="AR302" s="2">
        <v>3.7450000000000001</v>
      </c>
      <c r="AS302" s="3">
        <v>45782</v>
      </c>
      <c r="AT302" s="2">
        <v>3.5649999999999999</v>
      </c>
      <c r="AU302" s="3">
        <v>45782</v>
      </c>
      <c r="AV302" s="2">
        <v>3.4350000000000001</v>
      </c>
      <c r="AW302" s="3">
        <v>45782</v>
      </c>
      <c r="AX302" s="2">
        <v>3.3875000000000002</v>
      </c>
      <c r="AY302" s="3">
        <v>45782</v>
      </c>
      <c r="AZ302" s="2">
        <v>3.3925000000000001</v>
      </c>
      <c r="BB302" s="3">
        <v>45761</v>
      </c>
      <c r="BC302" s="1">
        <v>3.75</v>
      </c>
      <c r="BD302" s="3">
        <v>45762</v>
      </c>
      <c r="BE302" s="1">
        <v>3.67</v>
      </c>
      <c r="BF302" s="3">
        <v>45782</v>
      </c>
      <c r="BG302" s="1">
        <v>3.5249999999999999</v>
      </c>
      <c r="BH302" s="3">
        <v>45782</v>
      </c>
      <c r="BI302" s="1">
        <v>3.488</v>
      </c>
      <c r="BJ302" s="3">
        <v>45782</v>
      </c>
      <c r="BK302" s="1">
        <v>3.4649999999999999</v>
      </c>
      <c r="BL302" s="3">
        <v>45782</v>
      </c>
      <c r="BM302" s="1">
        <v>3.2829999999999999</v>
      </c>
      <c r="BN302" s="3">
        <v>45782</v>
      </c>
      <c r="BO302" s="1">
        <v>3.153</v>
      </c>
      <c r="BP302" s="3">
        <v>45782</v>
      </c>
      <c r="BQ302" s="1">
        <v>3.0750000000000002</v>
      </c>
      <c r="BR302" s="3">
        <v>45782</v>
      </c>
      <c r="BS302" s="1">
        <v>3.0830000000000002</v>
      </c>
      <c r="BT302" s="3">
        <v>45782</v>
      </c>
      <c r="BU302" s="1">
        <v>3.1179999999999999</v>
      </c>
      <c r="BV302" s="3">
        <v>45782</v>
      </c>
      <c r="BW302" s="1">
        <v>3.1680000000000001</v>
      </c>
      <c r="BY302" s="3">
        <v>45770</v>
      </c>
      <c r="BZ302" s="1">
        <v>6.5</v>
      </c>
      <c r="CA302" s="3">
        <v>45757</v>
      </c>
      <c r="CB302" s="1">
        <v>6.5</v>
      </c>
      <c r="CC302" s="3">
        <v>45782</v>
      </c>
      <c r="CD302" s="1">
        <v>6.4969999999999999</v>
      </c>
      <c r="CE302" s="3">
        <v>45782</v>
      </c>
      <c r="CF302" s="1">
        <v>6.4509999999999996</v>
      </c>
      <c r="CG302" s="3">
        <v>45782</v>
      </c>
      <c r="CH302" s="1">
        <v>6.4</v>
      </c>
      <c r="CI302" s="3">
        <v>45782</v>
      </c>
      <c r="CJ302" s="1">
        <v>6.13</v>
      </c>
      <c r="CK302" s="3">
        <v>45782</v>
      </c>
      <c r="CL302" s="1">
        <v>5.59</v>
      </c>
      <c r="CM302" s="3">
        <v>45782</v>
      </c>
      <c r="CN302" s="1">
        <v>5.17</v>
      </c>
      <c r="CO302" s="3">
        <v>45775</v>
      </c>
      <c r="CP302" s="1">
        <v>5.085</v>
      </c>
      <c r="CQ302" s="3">
        <v>45775</v>
      </c>
      <c r="CR302" s="1">
        <v>5.0999999999999996</v>
      </c>
      <c r="CS302" s="3">
        <v>45775</v>
      </c>
      <c r="CT302" s="1">
        <v>5.1449999999999996</v>
      </c>
    </row>
    <row r="303" spans="31:98" x14ac:dyDescent="0.2">
      <c r="AE303" s="3">
        <v>45779</v>
      </c>
      <c r="AF303" s="1">
        <v>5.75</v>
      </c>
      <c r="AG303" s="3">
        <v>45761</v>
      </c>
      <c r="AH303" s="1">
        <v>5.61</v>
      </c>
      <c r="AI303" s="3">
        <v>45779</v>
      </c>
      <c r="AJ303" s="2">
        <v>4.9550000000000001</v>
      </c>
      <c r="AK303" s="3">
        <v>45779</v>
      </c>
      <c r="AL303" s="2">
        <v>4.59</v>
      </c>
      <c r="AM303" s="3">
        <v>45779</v>
      </c>
      <c r="AN303" s="2">
        <v>4.4550000000000001</v>
      </c>
      <c r="AO303" s="3">
        <v>45779</v>
      </c>
      <c r="AP303" s="2">
        <v>4.0674999999999999</v>
      </c>
      <c r="AQ303" s="3">
        <v>45779</v>
      </c>
      <c r="AR303" s="2">
        <v>3.7387999999999999</v>
      </c>
      <c r="AS303" s="3">
        <v>45779</v>
      </c>
      <c r="AT303" s="2">
        <v>3.5649999999999999</v>
      </c>
      <c r="AU303" s="3">
        <v>45779</v>
      </c>
      <c r="AV303" s="2">
        <v>3.4350000000000001</v>
      </c>
      <c r="AW303" s="3">
        <v>45779</v>
      </c>
      <c r="AX303" s="2">
        <v>3.3875000000000002</v>
      </c>
      <c r="AY303" s="3">
        <v>45779</v>
      </c>
      <c r="AZ303" s="2">
        <v>3.3925000000000001</v>
      </c>
      <c r="BB303" s="3">
        <v>45758</v>
      </c>
      <c r="BC303" s="1">
        <v>3.75</v>
      </c>
      <c r="BD303" s="3">
        <v>45761</v>
      </c>
      <c r="BE303" s="1">
        <v>3.68</v>
      </c>
      <c r="BF303" s="3">
        <v>45779</v>
      </c>
      <c r="BG303" s="1">
        <v>3.5249999999999999</v>
      </c>
      <c r="BH303" s="3">
        <v>45779</v>
      </c>
      <c r="BI303" s="1">
        <v>3.488</v>
      </c>
      <c r="BJ303" s="3">
        <v>45779</v>
      </c>
      <c r="BK303" s="1">
        <v>3.4649999999999999</v>
      </c>
      <c r="BL303" s="3">
        <v>45779</v>
      </c>
      <c r="BM303" s="1">
        <v>3.2829999999999999</v>
      </c>
      <c r="BN303" s="3">
        <v>45779</v>
      </c>
      <c r="BO303" s="1">
        <v>3.153</v>
      </c>
      <c r="BP303" s="3">
        <v>45779</v>
      </c>
      <c r="BQ303" s="1">
        <v>3.0750000000000002</v>
      </c>
      <c r="BR303" s="3">
        <v>45779</v>
      </c>
      <c r="BS303" s="1">
        <v>3.0830000000000002</v>
      </c>
      <c r="BT303" s="3">
        <v>45779</v>
      </c>
      <c r="BU303" s="1">
        <v>3.1179999999999999</v>
      </c>
      <c r="BV303" s="3">
        <v>45779</v>
      </c>
      <c r="BW303" s="1">
        <v>3.1680000000000001</v>
      </c>
      <c r="BY303" s="3">
        <v>45769</v>
      </c>
      <c r="BZ303" s="1">
        <v>6.5</v>
      </c>
      <c r="CA303" s="3">
        <v>45756</v>
      </c>
      <c r="CB303" s="1">
        <v>6.51</v>
      </c>
      <c r="CC303" s="3">
        <v>45779</v>
      </c>
      <c r="CD303" s="1">
        <v>6.5</v>
      </c>
      <c r="CE303" s="3">
        <v>45779</v>
      </c>
      <c r="CF303" s="1">
        <v>6.45</v>
      </c>
      <c r="CG303" s="3">
        <v>45779</v>
      </c>
      <c r="CH303" s="1">
        <v>6.4</v>
      </c>
      <c r="CI303" s="3">
        <v>45779</v>
      </c>
      <c r="CJ303" s="1">
        <v>6.13</v>
      </c>
      <c r="CK303" s="3">
        <v>45779</v>
      </c>
      <c r="CL303" s="1">
        <v>5.59</v>
      </c>
      <c r="CM303" s="3">
        <v>45779</v>
      </c>
      <c r="CN303" s="1">
        <v>5.17</v>
      </c>
      <c r="CO303" s="3">
        <v>45772</v>
      </c>
      <c r="CP303" s="1">
        <v>5.2350000000000003</v>
      </c>
      <c r="CQ303" s="3">
        <v>45772</v>
      </c>
      <c r="CR303" s="1">
        <v>5.25</v>
      </c>
      <c r="CS303" s="3">
        <v>45772</v>
      </c>
      <c r="CT303" s="1">
        <v>5.3049999999999997</v>
      </c>
    </row>
    <row r="304" spans="31:98" x14ac:dyDescent="0.2">
      <c r="AE304" s="3">
        <v>45778</v>
      </c>
      <c r="AF304" s="1">
        <v>5.75</v>
      </c>
      <c r="AG304" s="3">
        <v>45758</v>
      </c>
      <c r="AH304" s="1">
        <v>5.58</v>
      </c>
      <c r="AI304" s="3">
        <v>45778</v>
      </c>
      <c r="AJ304" s="2">
        <v>4.95</v>
      </c>
      <c r="AK304" s="3">
        <v>45778</v>
      </c>
      <c r="AL304" s="2">
        <v>4.59</v>
      </c>
      <c r="AM304" s="3">
        <v>45778</v>
      </c>
      <c r="AN304" s="2">
        <v>4.43</v>
      </c>
      <c r="AO304" s="3">
        <v>45778</v>
      </c>
      <c r="AP304" s="2">
        <v>4.0350000000000001</v>
      </c>
      <c r="AQ304" s="3">
        <v>45778</v>
      </c>
      <c r="AR304" s="2">
        <v>3.7050000000000001</v>
      </c>
      <c r="AS304" s="3">
        <v>45778</v>
      </c>
      <c r="AT304" s="2">
        <v>3.5249999999999999</v>
      </c>
      <c r="AU304" s="3">
        <v>45778</v>
      </c>
      <c r="AV304" s="2">
        <v>3.4</v>
      </c>
      <c r="AW304" s="3">
        <v>45778</v>
      </c>
      <c r="AX304" s="2">
        <v>3.355</v>
      </c>
      <c r="AY304" s="3">
        <v>45778</v>
      </c>
      <c r="AZ304" s="2">
        <v>3.36</v>
      </c>
      <c r="BB304" s="3">
        <v>45757</v>
      </c>
      <c r="BC304" s="1">
        <v>3.75</v>
      </c>
      <c r="BD304" s="3">
        <v>45758</v>
      </c>
      <c r="BE304" s="1">
        <v>3.69</v>
      </c>
      <c r="BF304" s="3">
        <v>45778</v>
      </c>
      <c r="BG304" s="1">
        <v>3.5249999999999999</v>
      </c>
      <c r="BH304" s="3">
        <v>45778</v>
      </c>
      <c r="BI304" s="1">
        <v>3.4849999999999999</v>
      </c>
      <c r="BJ304" s="3">
        <v>45778</v>
      </c>
      <c r="BK304" s="1">
        <v>3.4580000000000002</v>
      </c>
      <c r="BL304" s="3">
        <v>45778</v>
      </c>
      <c r="BM304" s="1">
        <v>3.2480000000000002</v>
      </c>
      <c r="BN304" s="3">
        <v>45778</v>
      </c>
      <c r="BO304" s="1">
        <v>3.105</v>
      </c>
      <c r="BP304" s="3">
        <v>45778</v>
      </c>
      <c r="BQ304" s="1">
        <v>3.02</v>
      </c>
      <c r="BR304" s="3">
        <v>45778</v>
      </c>
      <c r="BS304" s="1">
        <v>3.0230000000000001</v>
      </c>
      <c r="BT304" s="3">
        <v>45778</v>
      </c>
      <c r="BU304" s="1">
        <v>3.0430000000000001</v>
      </c>
      <c r="BV304" s="3">
        <v>45778</v>
      </c>
      <c r="BW304" s="1">
        <v>3.0880000000000001</v>
      </c>
      <c r="BY304" s="3">
        <v>45768</v>
      </c>
      <c r="BZ304" s="1">
        <v>6.5</v>
      </c>
      <c r="CA304" s="3">
        <v>45755</v>
      </c>
      <c r="CB304" s="1">
        <v>6.5</v>
      </c>
      <c r="CC304" s="3">
        <v>45778</v>
      </c>
      <c r="CD304" s="1">
        <v>6.5</v>
      </c>
      <c r="CE304" s="3">
        <v>45778</v>
      </c>
      <c r="CF304" s="1">
        <v>6.4489999999999998</v>
      </c>
      <c r="CG304" s="3">
        <v>45778</v>
      </c>
      <c r="CH304" s="1">
        <v>6.4</v>
      </c>
      <c r="CI304" s="3">
        <v>45778</v>
      </c>
      <c r="CJ304" s="1">
        <v>6.13</v>
      </c>
      <c r="CK304" s="3">
        <v>45778</v>
      </c>
      <c r="CL304" s="1">
        <v>5.59</v>
      </c>
      <c r="CM304" s="3">
        <v>45778</v>
      </c>
      <c r="CN304" s="1">
        <v>5.1950000000000003</v>
      </c>
      <c r="CO304" s="3">
        <v>45771</v>
      </c>
      <c r="CP304" s="1">
        <v>5.2450000000000001</v>
      </c>
      <c r="CQ304" s="3">
        <v>45771</v>
      </c>
      <c r="CR304" s="1">
        <v>5.26</v>
      </c>
      <c r="CS304" s="3">
        <v>45771</v>
      </c>
      <c r="CT304" s="1">
        <v>5.3150000000000004</v>
      </c>
    </row>
    <row r="305" spans="31:98" x14ac:dyDescent="0.2">
      <c r="AE305" s="3">
        <v>45777</v>
      </c>
      <c r="AF305" s="1">
        <v>5.75</v>
      </c>
      <c r="AG305" s="3">
        <v>45757</v>
      </c>
      <c r="AH305" s="1">
        <v>5.59</v>
      </c>
      <c r="AI305" s="3">
        <v>45777</v>
      </c>
      <c r="AJ305" s="2">
        <v>4.95</v>
      </c>
      <c r="AK305" s="3">
        <v>45777</v>
      </c>
      <c r="AL305" s="2">
        <v>4.59</v>
      </c>
      <c r="AM305" s="3">
        <v>45777</v>
      </c>
      <c r="AN305" s="2">
        <v>4.43</v>
      </c>
      <c r="AO305" s="3">
        <v>45777</v>
      </c>
      <c r="AP305" s="2">
        <v>4.0350000000000001</v>
      </c>
      <c r="AQ305" s="3">
        <v>45777</v>
      </c>
      <c r="AR305" s="2">
        <v>3.7050000000000001</v>
      </c>
      <c r="AS305" s="3">
        <v>45777</v>
      </c>
      <c r="AT305" s="2">
        <v>3.5249999999999999</v>
      </c>
      <c r="AU305" s="3">
        <v>45777</v>
      </c>
      <c r="AV305" s="2">
        <v>3.4</v>
      </c>
      <c r="AW305" s="3">
        <v>45777</v>
      </c>
      <c r="AX305" s="2">
        <v>3.355</v>
      </c>
      <c r="AY305" s="3">
        <v>45777</v>
      </c>
      <c r="AZ305" s="2">
        <v>3.36</v>
      </c>
      <c r="BB305" s="3">
        <v>45756</v>
      </c>
      <c r="BC305" s="1">
        <v>3.75</v>
      </c>
      <c r="BD305" s="3">
        <v>45757</v>
      </c>
      <c r="BE305" s="1">
        <v>3.68</v>
      </c>
      <c r="BF305" s="3">
        <v>45777</v>
      </c>
      <c r="BG305" s="1">
        <v>3.5249999999999999</v>
      </c>
      <c r="BH305" s="3">
        <v>45777</v>
      </c>
      <c r="BI305" s="1">
        <v>3.4849999999999999</v>
      </c>
      <c r="BJ305" s="3">
        <v>45777</v>
      </c>
      <c r="BK305" s="1">
        <v>3.4580000000000002</v>
      </c>
      <c r="BL305" s="3">
        <v>45777</v>
      </c>
      <c r="BM305" s="1">
        <v>3.2480000000000002</v>
      </c>
      <c r="BN305" s="3">
        <v>45777</v>
      </c>
      <c r="BO305" s="1">
        <v>3.105</v>
      </c>
      <c r="BP305" s="3">
        <v>45777</v>
      </c>
      <c r="BQ305" s="1">
        <v>3.02</v>
      </c>
      <c r="BR305" s="3">
        <v>45777</v>
      </c>
      <c r="BS305" s="1">
        <v>3.0230000000000001</v>
      </c>
      <c r="BT305" s="3">
        <v>45777</v>
      </c>
      <c r="BU305" s="1">
        <v>3.0430000000000001</v>
      </c>
      <c r="BV305" s="3">
        <v>45777</v>
      </c>
      <c r="BW305" s="1">
        <v>3.0880000000000001</v>
      </c>
      <c r="BY305" s="3">
        <v>45765</v>
      </c>
      <c r="BZ305" s="1">
        <v>6.5</v>
      </c>
      <c r="CA305" s="3">
        <v>45754</v>
      </c>
      <c r="CB305" s="1">
        <v>6.5</v>
      </c>
      <c r="CC305" s="3">
        <v>45777</v>
      </c>
      <c r="CD305" s="1">
        <v>6.5</v>
      </c>
      <c r="CE305" s="3">
        <v>45777</v>
      </c>
      <c r="CF305" s="1">
        <v>6.4489999999999998</v>
      </c>
      <c r="CG305" s="3">
        <v>45777</v>
      </c>
      <c r="CH305" s="1">
        <v>6.4</v>
      </c>
      <c r="CI305" s="3">
        <v>45777</v>
      </c>
      <c r="CJ305" s="1">
        <v>6.13</v>
      </c>
      <c r="CK305" s="3">
        <v>45777</v>
      </c>
      <c r="CL305" s="1">
        <v>5.59</v>
      </c>
      <c r="CM305" s="3">
        <v>45777</v>
      </c>
      <c r="CN305" s="1">
        <v>5.1950000000000003</v>
      </c>
      <c r="CO305" s="3">
        <v>45770</v>
      </c>
      <c r="CP305" s="1">
        <v>5.27</v>
      </c>
      <c r="CQ305" s="3">
        <v>45770</v>
      </c>
      <c r="CR305" s="1">
        <v>5.27</v>
      </c>
      <c r="CS305" s="3">
        <v>45770</v>
      </c>
      <c r="CT305" s="1">
        <v>5.31</v>
      </c>
    </row>
    <row r="306" spans="31:98" x14ac:dyDescent="0.2">
      <c r="AE306" s="3">
        <v>45776</v>
      </c>
      <c r="AF306" s="1">
        <v>5.75</v>
      </c>
      <c r="AG306" s="3">
        <v>45756</v>
      </c>
      <c r="AH306" s="1">
        <v>5.63</v>
      </c>
      <c r="AI306" s="3">
        <v>45776</v>
      </c>
      <c r="AJ306" s="2">
        <v>4.99</v>
      </c>
      <c r="AK306" s="3">
        <v>45776</v>
      </c>
      <c r="AL306" s="2">
        <v>4.7050000000000001</v>
      </c>
      <c r="AM306" s="3">
        <v>45776</v>
      </c>
      <c r="AN306" s="2">
        <v>4.42</v>
      </c>
      <c r="AO306" s="3">
        <v>45776</v>
      </c>
      <c r="AP306" s="2">
        <v>4.0250000000000004</v>
      </c>
      <c r="AQ306" s="3">
        <v>45776</v>
      </c>
      <c r="AR306" s="2">
        <v>3.7</v>
      </c>
      <c r="AS306" s="3">
        <v>45776</v>
      </c>
      <c r="AT306" s="2">
        <v>3.5150000000000001</v>
      </c>
      <c r="AU306" s="3">
        <v>45776</v>
      </c>
      <c r="AV306" s="2">
        <v>3.395</v>
      </c>
      <c r="AW306" s="3">
        <v>45776</v>
      </c>
      <c r="AX306" s="2">
        <v>3.35</v>
      </c>
      <c r="AY306" s="3">
        <v>45776</v>
      </c>
      <c r="AZ306" s="2">
        <v>3.36</v>
      </c>
      <c r="BB306" s="3">
        <v>45755</v>
      </c>
      <c r="BC306" s="1">
        <v>3.75</v>
      </c>
      <c r="BD306" s="3">
        <v>45756</v>
      </c>
      <c r="BE306" s="1">
        <v>3.68</v>
      </c>
      <c r="BF306" s="3">
        <v>45776</v>
      </c>
      <c r="BG306" s="1">
        <v>3.52</v>
      </c>
      <c r="BH306" s="3">
        <v>45776</v>
      </c>
      <c r="BI306" s="1">
        <v>3.48</v>
      </c>
      <c r="BJ306" s="3">
        <v>45776</v>
      </c>
      <c r="BK306" s="1">
        <v>3.4550000000000001</v>
      </c>
      <c r="BL306" s="3">
        <v>45776</v>
      </c>
      <c r="BM306" s="1">
        <v>3.2149999999999999</v>
      </c>
      <c r="BN306" s="3">
        <v>45776</v>
      </c>
      <c r="BO306" s="1">
        <v>2.98</v>
      </c>
      <c r="BP306" s="3">
        <v>45776</v>
      </c>
      <c r="BQ306" s="1">
        <v>2.98</v>
      </c>
      <c r="BR306" s="3">
        <v>45776</v>
      </c>
      <c r="BS306" s="1">
        <v>2.98</v>
      </c>
      <c r="BT306" s="3">
        <v>45776</v>
      </c>
      <c r="BU306" s="1">
        <v>3.0049999999999999</v>
      </c>
      <c r="BV306" s="3">
        <v>45776</v>
      </c>
      <c r="BW306" s="1">
        <v>3.05</v>
      </c>
      <c r="BY306" s="3">
        <v>45764</v>
      </c>
      <c r="BZ306" s="1">
        <v>6.5</v>
      </c>
      <c r="CA306" s="3">
        <v>45751</v>
      </c>
      <c r="CB306" s="1">
        <v>6.51</v>
      </c>
      <c r="CC306" s="3">
        <v>45776</v>
      </c>
      <c r="CD306" s="1">
        <v>6.5010000000000003</v>
      </c>
      <c r="CE306" s="3">
        <v>45776</v>
      </c>
      <c r="CF306" s="1">
        <v>6.4459999999999997</v>
      </c>
      <c r="CG306" s="3">
        <v>45776</v>
      </c>
      <c r="CH306" s="1">
        <v>6.41</v>
      </c>
      <c r="CI306" s="3">
        <v>45776</v>
      </c>
      <c r="CJ306" s="1">
        <v>6.15</v>
      </c>
      <c r="CK306" s="3">
        <v>45776</v>
      </c>
      <c r="CL306" s="1">
        <v>5.62</v>
      </c>
      <c r="CM306" s="3">
        <v>45776</v>
      </c>
      <c r="CN306" s="1">
        <v>5.2750000000000004</v>
      </c>
      <c r="CO306" s="3">
        <v>45769</v>
      </c>
      <c r="CP306" s="1">
        <v>5.1849999999999996</v>
      </c>
      <c r="CQ306" s="3">
        <v>45769</v>
      </c>
      <c r="CR306" s="1">
        <v>5.1849999999999996</v>
      </c>
      <c r="CS306" s="3">
        <v>45769</v>
      </c>
      <c r="CT306" s="1">
        <v>5.2149999999999999</v>
      </c>
    </row>
    <row r="307" spans="31:98" x14ac:dyDescent="0.2">
      <c r="AE307" s="3">
        <v>45775</v>
      </c>
      <c r="AF307" s="1">
        <v>5.75</v>
      </c>
      <c r="AG307" s="3">
        <v>45755</v>
      </c>
      <c r="AH307" s="1">
        <v>5.61</v>
      </c>
      <c r="AI307" s="3">
        <v>45775</v>
      </c>
      <c r="AJ307" s="2">
        <v>5.04</v>
      </c>
      <c r="AK307" s="3">
        <v>45775</v>
      </c>
      <c r="AL307" s="2">
        <v>4.7220000000000004</v>
      </c>
      <c r="AM307" s="3">
        <v>45775</v>
      </c>
      <c r="AN307" s="2">
        <v>4.43</v>
      </c>
      <c r="AO307" s="3">
        <v>45775</v>
      </c>
      <c r="AP307" s="2">
        <v>4.05</v>
      </c>
      <c r="AQ307" s="3">
        <v>45775</v>
      </c>
      <c r="AR307" s="2">
        <v>3.7650000000000001</v>
      </c>
      <c r="AS307" s="3">
        <v>45775</v>
      </c>
      <c r="AT307" s="2">
        <v>3.5474999999999999</v>
      </c>
      <c r="AU307" s="3">
        <v>45775</v>
      </c>
      <c r="AV307" s="2">
        <v>3.4375</v>
      </c>
      <c r="AW307" s="3">
        <v>45775</v>
      </c>
      <c r="AX307" s="2">
        <v>3.3875000000000002</v>
      </c>
      <c r="AY307" s="3">
        <v>45775</v>
      </c>
      <c r="AZ307" s="2">
        <v>3.3925000000000001</v>
      </c>
      <c r="BB307" s="3">
        <v>45754</v>
      </c>
      <c r="BC307" s="1">
        <v>3.75</v>
      </c>
      <c r="BD307" s="3">
        <v>45755</v>
      </c>
      <c r="BE307" s="1">
        <v>3.68</v>
      </c>
      <c r="BF307" s="3">
        <v>45775</v>
      </c>
      <c r="BG307" s="1">
        <v>3.5</v>
      </c>
      <c r="BH307" s="3">
        <v>45775</v>
      </c>
      <c r="BI307" s="1">
        <v>3.4329999999999998</v>
      </c>
      <c r="BJ307" s="3">
        <v>45775</v>
      </c>
      <c r="BK307" s="1">
        <v>3.403</v>
      </c>
      <c r="BL307" s="3">
        <v>45775</v>
      </c>
      <c r="BM307" s="1">
        <v>3.16</v>
      </c>
      <c r="BN307" s="3">
        <v>45775</v>
      </c>
      <c r="BO307" s="1">
        <v>3.0049999999999999</v>
      </c>
      <c r="BP307" s="3">
        <v>45775</v>
      </c>
      <c r="BQ307" s="1">
        <v>2.9180000000000001</v>
      </c>
      <c r="BR307" s="3">
        <v>45775</v>
      </c>
      <c r="BS307" s="1">
        <v>2.9279999999999999</v>
      </c>
      <c r="BT307" s="3">
        <v>45775</v>
      </c>
      <c r="BU307" s="1">
        <v>2.9529999999999998</v>
      </c>
      <c r="BV307" s="3">
        <v>45775</v>
      </c>
      <c r="BW307" s="1">
        <v>3.0030000000000001</v>
      </c>
      <c r="BY307" s="3">
        <v>45763</v>
      </c>
      <c r="BZ307" s="1">
        <v>6.5</v>
      </c>
      <c r="CA307" s="3">
        <v>45750</v>
      </c>
      <c r="CB307" s="1">
        <v>6.51</v>
      </c>
      <c r="CC307" s="3">
        <v>45775</v>
      </c>
      <c r="CD307" s="1">
        <v>6.4829999999999997</v>
      </c>
      <c r="CE307" s="3">
        <v>45775</v>
      </c>
      <c r="CF307" s="1">
        <v>6.4470000000000001</v>
      </c>
      <c r="CG307" s="3">
        <v>45775</v>
      </c>
      <c r="CH307" s="1">
        <v>6.4</v>
      </c>
      <c r="CI307" s="3">
        <v>45775</v>
      </c>
      <c r="CJ307" s="1">
        <v>6.125</v>
      </c>
      <c r="CK307" s="3">
        <v>45775</v>
      </c>
      <c r="CL307" s="1">
        <v>5.6150000000000002</v>
      </c>
      <c r="CM307" s="3">
        <v>45775</v>
      </c>
      <c r="CN307" s="1">
        <v>5.2249999999999996</v>
      </c>
      <c r="CO307" s="3">
        <v>45768</v>
      </c>
      <c r="CP307" s="1">
        <v>5.37</v>
      </c>
      <c r="CQ307" s="3">
        <v>45768</v>
      </c>
      <c r="CR307" s="1">
        <v>5.38</v>
      </c>
      <c r="CS307" s="3">
        <v>45768</v>
      </c>
      <c r="CT307" s="1">
        <v>5.41</v>
      </c>
    </row>
    <row r="308" spans="31:98" x14ac:dyDescent="0.2">
      <c r="AE308" s="3">
        <v>45772</v>
      </c>
      <c r="AF308" s="1">
        <v>5.75</v>
      </c>
      <c r="AG308" s="3">
        <v>45754</v>
      </c>
      <c r="AH308" s="1">
        <v>5.68</v>
      </c>
      <c r="AI308" s="3">
        <v>45772</v>
      </c>
      <c r="AJ308" s="2">
        <v>5.04</v>
      </c>
      <c r="AK308" s="3">
        <v>45772</v>
      </c>
      <c r="AL308" s="2">
        <v>4.74</v>
      </c>
      <c r="AM308" s="3">
        <v>45772</v>
      </c>
      <c r="AN308" s="2">
        <v>4.4450000000000003</v>
      </c>
      <c r="AO308" s="3">
        <v>45772</v>
      </c>
      <c r="AP308" s="2">
        <v>4.0350000000000001</v>
      </c>
      <c r="AQ308" s="3">
        <v>45772</v>
      </c>
      <c r="AR308" s="2">
        <v>3.76</v>
      </c>
      <c r="AS308" s="3">
        <v>45772</v>
      </c>
      <c r="AT308" s="2">
        <v>3.56</v>
      </c>
      <c r="AU308" s="3">
        <v>45772</v>
      </c>
      <c r="AV308" s="2">
        <v>3.46</v>
      </c>
      <c r="AW308" s="3">
        <v>45772</v>
      </c>
      <c r="AX308" s="2">
        <v>3.42</v>
      </c>
      <c r="AY308" s="3">
        <v>45772</v>
      </c>
      <c r="AZ308" s="2">
        <v>3.43</v>
      </c>
      <c r="BB308" s="3">
        <v>45751</v>
      </c>
      <c r="BC308" s="1">
        <v>3.75</v>
      </c>
      <c r="BD308" s="3">
        <v>45754</v>
      </c>
      <c r="BE308" s="1">
        <v>3.69</v>
      </c>
      <c r="BF308" s="3">
        <v>45772</v>
      </c>
      <c r="BG308" s="1">
        <v>3.4950000000000001</v>
      </c>
      <c r="BH308" s="3">
        <v>45772</v>
      </c>
      <c r="BI308" s="1">
        <v>3.4279999999999999</v>
      </c>
      <c r="BJ308" s="3">
        <v>45772</v>
      </c>
      <c r="BK308" s="1">
        <v>3.415</v>
      </c>
      <c r="BL308" s="3">
        <v>45772</v>
      </c>
      <c r="BM308" s="1">
        <v>3.1850000000000001</v>
      </c>
      <c r="BN308" s="3">
        <v>45772</v>
      </c>
      <c r="BO308" s="1">
        <v>3.0430000000000001</v>
      </c>
      <c r="BP308" s="3">
        <v>45772</v>
      </c>
      <c r="BQ308" s="1">
        <v>2.9649999999999999</v>
      </c>
      <c r="BR308" s="3">
        <v>45772</v>
      </c>
      <c r="BS308" s="1">
        <v>2.9780000000000002</v>
      </c>
      <c r="BT308" s="3">
        <v>45772</v>
      </c>
      <c r="BU308" s="1">
        <v>2.9980000000000002</v>
      </c>
      <c r="BV308" s="3">
        <v>45772</v>
      </c>
      <c r="BW308" s="1">
        <v>3.048</v>
      </c>
      <c r="BY308" s="3">
        <v>45762</v>
      </c>
      <c r="BZ308" s="1">
        <v>6.5</v>
      </c>
      <c r="CA308" s="3">
        <v>45749</v>
      </c>
      <c r="CB308" s="1">
        <v>6.51</v>
      </c>
      <c r="CC308" s="3">
        <v>45772</v>
      </c>
      <c r="CD308" s="1">
        <v>6.4859999999999998</v>
      </c>
      <c r="CE308" s="3">
        <v>45772</v>
      </c>
      <c r="CF308" s="1">
        <v>6.452</v>
      </c>
      <c r="CG308" s="3">
        <v>45772</v>
      </c>
      <c r="CH308" s="1">
        <v>6.4</v>
      </c>
      <c r="CI308" s="3">
        <v>45772</v>
      </c>
      <c r="CJ308" s="1">
        <v>6.15</v>
      </c>
      <c r="CK308" s="3">
        <v>45772</v>
      </c>
      <c r="CL308" s="1">
        <v>5.71</v>
      </c>
      <c r="CM308" s="3">
        <v>45772</v>
      </c>
      <c r="CN308" s="1">
        <v>5.3449999999999998</v>
      </c>
      <c r="CO308" s="3">
        <v>45765</v>
      </c>
      <c r="CP308" s="1">
        <v>5.37</v>
      </c>
      <c r="CQ308" s="3">
        <v>45765</v>
      </c>
      <c r="CR308" s="1">
        <v>5.38</v>
      </c>
      <c r="CS308" s="3">
        <v>45765</v>
      </c>
      <c r="CT308" s="1">
        <v>5.41</v>
      </c>
    </row>
    <row r="309" spans="31:98" x14ac:dyDescent="0.2">
      <c r="AE309" s="3">
        <v>45771</v>
      </c>
      <c r="AF309" s="1">
        <v>5.75</v>
      </c>
      <c r="AG309" s="3">
        <v>45751</v>
      </c>
      <c r="AH309" s="1">
        <v>5.69</v>
      </c>
      <c r="AI309" s="3">
        <v>45771</v>
      </c>
      <c r="AJ309" s="2">
        <v>5.09</v>
      </c>
      <c r="AK309" s="3">
        <v>45771</v>
      </c>
      <c r="AL309" s="2">
        <v>4.7575000000000003</v>
      </c>
      <c r="AM309" s="3">
        <v>45771</v>
      </c>
      <c r="AN309" s="2">
        <v>4.4424999999999999</v>
      </c>
      <c r="AO309" s="3">
        <v>45771</v>
      </c>
      <c r="AP309" s="2">
        <v>4.0650000000000004</v>
      </c>
      <c r="AQ309" s="3">
        <v>45771</v>
      </c>
      <c r="AR309" s="2">
        <v>3.7850000000000001</v>
      </c>
      <c r="AS309" s="3">
        <v>45771</v>
      </c>
      <c r="AT309" s="2">
        <v>3.605</v>
      </c>
      <c r="AU309" s="3">
        <v>45771</v>
      </c>
      <c r="AV309" s="2">
        <v>3.5150000000000001</v>
      </c>
      <c r="AW309" s="3">
        <v>45771</v>
      </c>
      <c r="AX309" s="2">
        <v>3.4849999999999999</v>
      </c>
      <c r="AY309" s="3">
        <v>45771</v>
      </c>
      <c r="AZ309" s="2">
        <v>3.5049999999999999</v>
      </c>
      <c r="BB309" s="3">
        <v>45750</v>
      </c>
      <c r="BC309" s="1">
        <v>3.75</v>
      </c>
      <c r="BD309" s="3">
        <v>45751</v>
      </c>
      <c r="BE309" s="1">
        <v>3.71</v>
      </c>
      <c r="BF309" s="3">
        <v>45771</v>
      </c>
      <c r="BG309" s="1">
        <v>3.5</v>
      </c>
      <c r="BH309" s="3">
        <v>45771</v>
      </c>
      <c r="BI309" s="1">
        <v>3.4279999999999999</v>
      </c>
      <c r="BJ309" s="3">
        <v>45771</v>
      </c>
      <c r="BK309" s="1">
        <v>3.4049999999999998</v>
      </c>
      <c r="BL309" s="3">
        <v>45771</v>
      </c>
      <c r="BM309" s="1">
        <v>3.1850000000000001</v>
      </c>
      <c r="BN309" s="3">
        <v>45771</v>
      </c>
      <c r="BO309" s="1">
        <v>3.0329999999999999</v>
      </c>
      <c r="BP309" s="3">
        <v>45771</v>
      </c>
      <c r="BQ309" s="1">
        <v>2.9580000000000002</v>
      </c>
      <c r="BR309" s="3">
        <v>45771</v>
      </c>
      <c r="BS309" s="1">
        <v>2.968</v>
      </c>
      <c r="BT309" s="3">
        <v>45771</v>
      </c>
      <c r="BU309" s="1">
        <v>2.988</v>
      </c>
      <c r="BV309" s="3">
        <v>45771</v>
      </c>
      <c r="BW309" s="1">
        <v>3.0430000000000001</v>
      </c>
      <c r="BY309" s="3">
        <v>45761</v>
      </c>
      <c r="BZ309" s="1">
        <v>6.5</v>
      </c>
      <c r="CA309" s="3">
        <v>45748</v>
      </c>
      <c r="CB309" s="1">
        <v>6.51</v>
      </c>
      <c r="CC309" s="3">
        <v>45771</v>
      </c>
      <c r="CD309" s="1">
        <v>6.492</v>
      </c>
      <c r="CE309" s="3">
        <v>45771</v>
      </c>
      <c r="CF309" s="1">
        <v>6.4589999999999996</v>
      </c>
      <c r="CG309" s="3">
        <v>45771</v>
      </c>
      <c r="CH309" s="1">
        <v>6.41</v>
      </c>
      <c r="CI309" s="3">
        <v>45771</v>
      </c>
      <c r="CJ309" s="1">
        <v>6.18</v>
      </c>
      <c r="CK309" s="3">
        <v>45771</v>
      </c>
      <c r="CL309" s="1">
        <v>5.72</v>
      </c>
      <c r="CM309" s="3">
        <v>45771</v>
      </c>
      <c r="CN309" s="1">
        <v>5.3550000000000004</v>
      </c>
      <c r="CO309" s="3">
        <v>45764</v>
      </c>
      <c r="CP309" s="1">
        <v>5.37</v>
      </c>
      <c r="CQ309" s="3">
        <v>45764</v>
      </c>
      <c r="CR309" s="1">
        <v>5.38</v>
      </c>
      <c r="CS309" s="3">
        <v>45764</v>
      </c>
      <c r="CT309" s="1">
        <v>5.41</v>
      </c>
    </row>
    <row r="310" spans="31:98" x14ac:dyDescent="0.2">
      <c r="AE310" s="3">
        <v>45770</v>
      </c>
      <c r="AF310" s="1">
        <v>5.75</v>
      </c>
      <c r="AG310" s="3">
        <v>45750</v>
      </c>
      <c r="AH310" s="1">
        <v>5.85</v>
      </c>
      <c r="AI310" s="3">
        <v>45770</v>
      </c>
      <c r="AJ310" s="2">
        <v>5.085</v>
      </c>
      <c r="AK310" s="3">
        <v>45770</v>
      </c>
      <c r="AL310" s="2">
        <v>4.76</v>
      </c>
      <c r="AM310" s="3">
        <v>45770</v>
      </c>
      <c r="AN310" s="2">
        <v>4.43</v>
      </c>
      <c r="AO310" s="3">
        <v>45770</v>
      </c>
      <c r="AP310" s="2">
        <v>4.04</v>
      </c>
      <c r="AQ310" s="3">
        <v>45770</v>
      </c>
      <c r="AR310" s="2">
        <v>3.77</v>
      </c>
      <c r="AS310" s="3">
        <v>45770</v>
      </c>
      <c r="AT310" s="2">
        <v>3.56</v>
      </c>
      <c r="AU310" s="3">
        <v>45770</v>
      </c>
      <c r="AV310" s="2">
        <v>3.4550000000000001</v>
      </c>
      <c r="AW310" s="3">
        <v>45770</v>
      </c>
      <c r="AX310" s="2">
        <v>3.42</v>
      </c>
      <c r="AY310" s="3">
        <v>45770</v>
      </c>
      <c r="AZ310" s="2">
        <v>3.4350000000000001</v>
      </c>
      <c r="BB310" s="3">
        <v>45749</v>
      </c>
      <c r="BC310" s="1">
        <v>3.75</v>
      </c>
      <c r="BD310" s="3">
        <v>45750</v>
      </c>
      <c r="BE310" s="1">
        <v>3.71</v>
      </c>
      <c r="BF310" s="3">
        <v>45770</v>
      </c>
      <c r="BG310" s="1">
        <v>3.5249999999999999</v>
      </c>
      <c r="BH310" s="3">
        <v>45770</v>
      </c>
      <c r="BI310" s="1">
        <v>3.4780000000000002</v>
      </c>
      <c r="BJ310" s="3">
        <v>45770</v>
      </c>
      <c r="BK310" s="1">
        <v>3.4</v>
      </c>
      <c r="BL310" s="3">
        <v>45770</v>
      </c>
      <c r="BM310" s="1">
        <v>3.1749999999999998</v>
      </c>
      <c r="BN310" s="3">
        <v>45770</v>
      </c>
      <c r="BO310" s="1">
        <v>3.0179999999999998</v>
      </c>
      <c r="BP310" s="3">
        <v>45770</v>
      </c>
      <c r="BQ310" s="1">
        <v>2.9279999999999999</v>
      </c>
      <c r="BR310" s="3">
        <v>45770</v>
      </c>
      <c r="BS310" s="1">
        <v>2.9329999999999998</v>
      </c>
      <c r="BT310" s="3">
        <v>45770</v>
      </c>
      <c r="BU310" s="1">
        <v>2.9430000000000001</v>
      </c>
      <c r="BV310" s="3">
        <v>45770</v>
      </c>
      <c r="BW310" s="1">
        <v>2.988</v>
      </c>
      <c r="BY310" s="3">
        <v>45758</v>
      </c>
      <c r="BZ310" s="1">
        <v>6.5</v>
      </c>
      <c r="CA310" s="3">
        <v>45747</v>
      </c>
      <c r="CB310" s="1">
        <v>6.51</v>
      </c>
      <c r="CC310" s="3">
        <v>45770</v>
      </c>
      <c r="CD310" s="1">
        <v>6.4969999999999999</v>
      </c>
      <c r="CE310" s="3">
        <v>45770</v>
      </c>
      <c r="CF310" s="1">
        <v>6.4660000000000002</v>
      </c>
      <c r="CG310" s="3">
        <v>45770</v>
      </c>
      <c r="CH310" s="1">
        <v>6.43</v>
      </c>
      <c r="CI310" s="3">
        <v>45770</v>
      </c>
      <c r="CJ310" s="1">
        <v>6.25</v>
      </c>
      <c r="CK310" s="3">
        <v>45770</v>
      </c>
      <c r="CL310" s="1">
        <v>5.77</v>
      </c>
      <c r="CM310" s="3">
        <v>45770</v>
      </c>
      <c r="CN310" s="1">
        <v>5.39</v>
      </c>
      <c r="CO310" s="3">
        <v>45763</v>
      </c>
      <c r="CP310" s="1">
        <v>5.52</v>
      </c>
      <c r="CQ310" s="3">
        <v>45763</v>
      </c>
      <c r="CR310" s="1">
        <v>5.52</v>
      </c>
      <c r="CS310" s="3">
        <v>45763</v>
      </c>
      <c r="CT310" s="1">
        <v>5.54</v>
      </c>
    </row>
    <row r="311" spans="31:98" x14ac:dyDescent="0.2">
      <c r="AE311" s="3">
        <v>45769</v>
      </c>
      <c r="AF311" s="1">
        <v>5.75</v>
      </c>
      <c r="AG311" s="3">
        <v>45749</v>
      </c>
      <c r="AH311" s="1">
        <v>5.85</v>
      </c>
      <c r="AI311" s="3">
        <v>45769</v>
      </c>
      <c r="AJ311" s="2">
        <v>5.0350000000000001</v>
      </c>
      <c r="AK311" s="3">
        <v>45769</v>
      </c>
      <c r="AL311" s="2">
        <v>4.6900000000000004</v>
      </c>
      <c r="AM311" s="3">
        <v>45769</v>
      </c>
      <c r="AN311" s="2">
        <v>4.33</v>
      </c>
      <c r="AO311" s="3">
        <v>45769</v>
      </c>
      <c r="AP311" s="2">
        <v>3.9049999999999998</v>
      </c>
      <c r="AQ311" s="3">
        <v>45769</v>
      </c>
      <c r="AR311" s="2">
        <v>3.6150000000000002</v>
      </c>
      <c r="AS311" s="3">
        <v>45769</v>
      </c>
      <c r="AT311" s="2">
        <v>3.4275000000000002</v>
      </c>
      <c r="AU311" s="3">
        <v>45769</v>
      </c>
      <c r="AV311" s="2">
        <v>3.3250000000000002</v>
      </c>
      <c r="AW311" s="3">
        <v>45769</v>
      </c>
      <c r="AX311" s="2">
        <v>3.29</v>
      </c>
      <c r="AY311" s="3">
        <v>45769</v>
      </c>
      <c r="AZ311" s="2">
        <v>3.3050000000000002</v>
      </c>
      <c r="BB311" s="3">
        <v>45748</v>
      </c>
      <c r="BC311" s="1">
        <v>3.75</v>
      </c>
      <c r="BD311" s="3">
        <v>45749</v>
      </c>
      <c r="BE311" s="1">
        <v>3.71</v>
      </c>
      <c r="BF311" s="3">
        <v>45769</v>
      </c>
      <c r="BG311" s="1">
        <v>3.5350000000000001</v>
      </c>
      <c r="BH311" s="3">
        <v>45769</v>
      </c>
      <c r="BI311" s="1">
        <v>3.49</v>
      </c>
      <c r="BJ311" s="3">
        <v>45769</v>
      </c>
      <c r="BK311" s="1">
        <v>3.395</v>
      </c>
      <c r="BL311" s="3">
        <v>45769</v>
      </c>
      <c r="BM311" s="1">
        <v>3.12</v>
      </c>
      <c r="BN311" s="3">
        <v>45769</v>
      </c>
      <c r="BO311" s="1">
        <v>2.96</v>
      </c>
      <c r="BP311" s="3">
        <v>45769</v>
      </c>
      <c r="BQ311" s="1">
        <v>2.8580000000000001</v>
      </c>
      <c r="BR311" s="3">
        <v>45769</v>
      </c>
      <c r="BS311" s="1">
        <v>2.86</v>
      </c>
      <c r="BT311" s="3">
        <v>45769</v>
      </c>
      <c r="BU311" s="1">
        <v>2.87</v>
      </c>
      <c r="BV311" s="3">
        <v>45769</v>
      </c>
      <c r="BW311" s="1">
        <v>2.9049999999999998</v>
      </c>
      <c r="BY311" s="3">
        <v>45757</v>
      </c>
      <c r="BZ311" s="1">
        <v>6.5</v>
      </c>
      <c r="CA311" s="3">
        <v>45744</v>
      </c>
      <c r="CB311" s="1">
        <v>6.51</v>
      </c>
      <c r="CC311" s="3">
        <v>45769</v>
      </c>
      <c r="CD311" s="1">
        <v>6.49</v>
      </c>
      <c r="CE311" s="3">
        <v>45769</v>
      </c>
      <c r="CF311" s="1">
        <v>6.4720000000000004</v>
      </c>
      <c r="CG311" s="3">
        <v>45769</v>
      </c>
      <c r="CH311" s="1">
        <v>6.43</v>
      </c>
      <c r="CI311" s="3">
        <v>45769</v>
      </c>
      <c r="CJ311" s="1">
        <v>6.2</v>
      </c>
      <c r="CK311" s="3">
        <v>45769</v>
      </c>
      <c r="CL311" s="1">
        <v>5.74</v>
      </c>
      <c r="CM311" s="3">
        <v>45769</v>
      </c>
      <c r="CN311" s="1">
        <v>5.31</v>
      </c>
      <c r="CO311" s="3">
        <v>45762</v>
      </c>
      <c r="CP311" s="1">
        <v>5.6150000000000002</v>
      </c>
      <c r="CQ311" s="3">
        <v>45762</v>
      </c>
      <c r="CR311" s="1">
        <v>5.63</v>
      </c>
      <c r="CS311" s="3">
        <v>45762</v>
      </c>
      <c r="CT311" s="1">
        <v>5.69</v>
      </c>
    </row>
    <row r="312" spans="31:98" x14ac:dyDescent="0.2">
      <c r="AE312" s="3">
        <v>45768</v>
      </c>
      <c r="AF312" s="1">
        <v>5.75</v>
      </c>
      <c r="AG312" s="3">
        <v>45748</v>
      </c>
      <c r="AH312" s="1">
        <v>5.85</v>
      </c>
      <c r="AI312" s="3">
        <v>45768</v>
      </c>
      <c r="AJ312" s="2">
        <v>5.15</v>
      </c>
      <c r="AK312" s="3">
        <v>45768</v>
      </c>
      <c r="AL312" s="2">
        <v>4.8</v>
      </c>
      <c r="AM312" s="3">
        <v>45768</v>
      </c>
      <c r="AN312" s="2">
        <v>4.45</v>
      </c>
      <c r="AO312" s="3">
        <v>45768</v>
      </c>
      <c r="AP312" s="2">
        <v>4.0350000000000001</v>
      </c>
      <c r="AQ312" s="3">
        <v>45768</v>
      </c>
      <c r="AR312" s="2">
        <v>3.7749999999999999</v>
      </c>
      <c r="AS312" s="3">
        <v>45768</v>
      </c>
      <c r="AT312" s="2">
        <v>3.6025</v>
      </c>
      <c r="AU312" s="3">
        <v>45768</v>
      </c>
      <c r="AV312" s="2">
        <v>3.5125000000000002</v>
      </c>
      <c r="AW312" s="3">
        <v>45768</v>
      </c>
      <c r="AX312" s="2">
        <v>3.4725000000000001</v>
      </c>
      <c r="AY312" s="3">
        <v>45768</v>
      </c>
      <c r="AZ312" s="2">
        <v>3.4624999999999999</v>
      </c>
      <c r="BB312" s="3">
        <v>45747</v>
      </c>
      <c r="BC312" s="1">
        <v>3.75</v>
      </c>
      <c r="BD312" s="3">
        <v>45748</v>
      </c>
      <c r="BE312" s="1">
        <v>3.72</v>
      </c>
      <c r="BF312" s="3">
        <v>45768</v>
      </c>
      <c r="BG312" s="1">
        <v>3.5449999999999999</v>
      </c>
      <c r="BH312" s="3">
        <v>45768</v>
      </c>
      <c r="BI312" s="1">
        <v>3.5150000000000001</v>
      </c>
      <c r="BJ312" s="3">
        <v>45768</v>
      </c>
      <c r="BK312" s="1">
        <v>3.43</v>
      </c>
      <c r="BL312" s="3">
        <v>45768</v>
      </c>
      <c r="BM312" s="1">
        <v>3.16</v>
      </c>
      <c r="BN312" s="3">
        <v>45768</v>
      </c>
      <c r="BO312" s="1">
        <v>2.97</v>
      </c>
      <c r="BP312" s="3">
        <v>45768</v>
      </c>
      <c r="BQ312" s="1">
        <v>2.875</v>
      </c>
      <c r="BR312" s="3">
        <v>45768</v>
      </c>
      <c r="BS312" s="1">
        <v>2.8849999999999998</v>
      </c>
      <c r="BT312" s="3">
        <v>45768</v>
      </c>
      <c r="BU312" s="1">
        <v>2.9</v>
      </c>
      <c r="BV312" s="3">
        <v>45768</v>
      </c>
      <c r="BW312" s="1">
        <v>2.93</v>
      </c>
      <c r="BY312" s="3">
        <v>45756</v>
      </c>
      <c r="BZ312" s="1">
        <v>6.5</v>
      </c>
      <c r="CA312" s="3">
        <v>45743</v>
      </c>
      <c r="CB312" s="1">
        <v>6.51</v>
      </c>
      <c r="CC312" s="3">
        <v>45768</v>
      </c>
      <c r="CD312" s="1">
        <v>6.4987000000000004</v>
      </c>
      <c r="CE312" s="3">
        <v>45768</v>
      </c>
      <c r="CF312" s="1">
        <v>6.4820000000000002</v>
      </c>
      <c r="CG312" s="3">
        <v>45768</v>
      </c>
      <c r="CH312" s="1">
        <v>6.444</v>
      </c>
      <c r="CI312" s="3">
        <v>45768</v>
      </c>
      <c r="CJ312" s="1">
        <v>6.2598000000000003</v>
      </c>
      <c r="CK312" s="3">
        <v>45768</v>
      </c>
      <c r="CL312" s="1">
        <v>5.8132000000000001</v>
      </c>
      <c r="CM312" s="3">
        <v>45768</v>
      </c>
      <c r="CN312" s="1">
        <v>5.46</v>
      </c>
      <c r="CO312" s="3">
        <v>45761</v>
      </c>
      <c r="CP312" s="1">
        <v>5.62</v>
      </c>
      <c r="CQ312" s="3">
        <v>45761</v>
      </c>
      <c r="CR312" s="1">
        <v>5.625</v>
      </c>
      <c r="CS312" s="3">
        <v>45761</v>
      </c>
      <c r="CT312" s="1">
        <v>5.6849999999999996</v>
      </c>
    </row>
    <row r="313" spans="31:98" x14ac:dyDescent="0.2">
      <c r="AE313" s="3">
        <v>45765</v>
      </c>
      <c r="AF313" s="1">
        <v>5.75</v>
      </c>
      <c r="AG313" s="3">
        <v>45747</v>
      </c>
      <c r="AH313" s="1">
        <v>5.84</v>
      </c>
      <c r="AI313" s="3">
        <v>45765</v>
      </c>
      <c r="AJ313" s="2">
        <v>5.15</v>
      </c>
      <c r="AK313" s="3">
        <v>45765</v>
      </c>
      <c r="AL313" s="2">
        <v>4.8049999999999997</v>
      </c>
      <c r="AM313" s="3">
        <v>45765</v>
      </c>
      <c r="AN313" s="2">
        <v>4.45</v>
      </c>
      <c r="AO313" s="3">
        <v>45765</v>
      </c>
      <c r="AP313" s="2">
        <v>4.0350000000000001</v>
      </c>
      <c r="AQ313" s="3">
        <v>45765</v>
      </c>
      <c r="AR313" s="2">
        <v>3.7749999999999999</v>
      </c>
      <c r="AS313" s="3">
        <v>45765</v>
      </c>
      <c r="AT313" s="2">
        <v>3.6025</v>
      </c>
      <c r="AU313" s="3">
        <v>45765</v>
      </c>
      <c r="AV313" s="2">
        <v>3.5125000000000002</v>
      </c>
      <c r="AW313" s="3">
        <v>45765</v>
      </c>
      <c r="AX313" s="2">
        <v>3.4725000000000001</v>
      </c>
      <c r="AY313" s="3">
        <v>45765</v>
      </c>
      <c r="AZ313" s="2">
        <v>3.4624999999999999</v>
      </c>
      <c r="BB313" s="3">
        <v>45744</v>
      </c>
      <c r="BC313" s="1">
        <v>3.75</v>
      </c>
      <c r="BD313" s="3">
        <v>45747</v>
      </c>
      <c r="BE313" s="1">
        <v>3.72</v>
      </c>
      <c r="BF313" s="3">
        <v>45765</v>
      </c>
      <c r="BG313" s="1">
        <v>3.5449999999999999</v>
      </c>
      <c r="BH313" s="3">
        <v>45765</v>
      </c>
      <c r="BI313" s="1">
        <v>3.5150000000000001</v>
      </c>
      <c r="BJ313" s="3">
        <v>45765</v>
      </c>
      <c r="BK313" s="1">
        <v>3.43</v>
      </c>
      <c r="BL313" s="3">
        <v>45765</v>
      </c>
      <c r="BM313" s="1">
        <v>3.16</v>
      </c>
      <c r="BN313" s="3">
        <v>45765</v>
      </c>
      <c r="BO313" s="1">
        <v>2.97</v>
      </c>
      <c r="BP313" s="3">
        <v>45765</v>
      </c>
      <c r="BQ313" s="1">
        <v>2.875</v>
      </c>
      <c r="BR313" s="3">
        <v>45765</v>
      </c>
      <c r="BS313" s="1">
        <v>2.8849999999999998</v>
      </c>
      <c r="BT313" s="3">
        <v>45765</v>
      </c>
      <c r="BU313" s="1">
        <v>2.9</v>
      </c>
      <c r="BV313" s="3">
        <v>45765</v>
      </c>
      <c r="BW313" s="1">
        <v>2.93</v>
      </c>
      <c r="BY313" s="3">
        <v>45754</v>
      </c>
      <c r="BZ313" s="1">
        <v>6.5</v>
      </c>
      <c r="CA313" s="3">
        <v>45742</v>
      </c>
      <c r="CB313" s="1">
        <v>6.51</v>
      </c>
      <c r="CC313" s="3">
        <v>45765</v>
      </c>
      <c r="CD313" s="1">
        <v>6.4980000000000002</v>
      </c>
      <c r="CE313" s="3">
        <v>45765</v>
      </c>
      <c r="CF313" s="1">
        <v>6.4790000000000001</v>
      </c>
      <c r="CG313" s="3">
        <v>45765</v>
      </c>
      <c r="CH313" s="1">
        <v>6.44</v>
      </c>
      <c r="CI313" s="3">
        <v>45765</v>
      </c>
      <c r="CJ313" s="1">
        <v>6.25</v>
      </c>
      <c r="CK313" s="3">
        <v>45765</v>
      </c>
      <c r="CL313" s="1">
        <v>5.8</v>
      </c>
      <c r="CM313" s="3">
        <v>45765</v>
      </c>
      <c r="CN313" s="1">
        <v>5.46</v>
      </c>
      <c r="CO313" s="3">
        <v>45758</v>
      </c>
      <c r="CP313" s="1">
        <v>5.585</v>
      </c>
      <c r="CQ313" s="3">
        <v>45758</v>
      </c>
      <c r="CR313" s="1">
        <v>5.59</v>
      </c>
      <c r="CS313" s="3">
        <v>45758</v>
      </c>
      <c r="CT313" s="1">
        <v>5.65</v>
      </c>
    </row>
    <row r="314" spans="31:98" x14ac:dyDescent="0.2">
      <c r="AE314" s="3">
        <v>45764</v>
      </c>
      <c r="AF314" s="1">
        <v>5.75</v>
      </c>
      <c r="AG314" s="3">
        <v>45744</v>
      </c>
      <c r="AH314" s="1">
        <v>5.86</v>
      </c>
      <c r="AI314" s="3">
        <v>45764</v>
      </c>
      <c r="AJ314" s="2">
        <v>5.15</v>
      </c>
      <c r="AK314" s="3">
        <v>45764</v>
      </c>
      <c r="AL314" s="2">
        <v>4.7949999999999999</v>
      </c>
      <c r="AM314" s="3">
        <v>45764</v>
      </c>
      <c r="AN314" s="2">
        <v>4.4450000000000003</v>
      </c>
      <c r="AO314" s="3">
        <v>45764</v>
      </c>
      <c r="AP314" s="2">
        <v>4.03</v>
      </c>
      <c r="AQ314" s="3">
        <v>45764</v>
      </c>
      <c r="AR314" s="2">
        <v>3.77</v>
      </c>
      <c r="AS314" s="3">
        <v>45764</v>
      </c>
      <c r="AT314" s="2">
        <v>3.5975000000000001</v>
      </c>
      <c r="AU314" s="3">
        <v>45764</v>
      </c>
      <c r="AV314" s="2">
        <v>3.5074999999999998</v>
      </c>
      <c r="AW314" s="3">
        <v>45764</v>
      </c>
      <c r="AX314" s="2">
        <v>3.4674999999999998</v>
      </c>
      <c r="AY314" s="3">
        <v>45764</v>
      </c>
      <c r="AZ314" s="2">
        <v>3.4575</v>
      </c>
      <c r="BB314" s="3">
        <v>45743</v>
      </c>
      <c r="BC314" s="1">
        <v>3.75</v>
      </c>
      <c r="BD314" s="3">
        <v>45744</v>
      </c>
      <c r="BE314" s="1">
        <v>3.72</v>
      </c>
      <c r="BF314" s="3">
        <v>45764</v>
      </c>
      <c r="BG314" s="1">
        <v>3.54</v>
      </c>
      <c r="BH314" s="3">
        <v>45764</v>
      </c>
      <c r="BI314" s="1">
        <v>3.5150000000000001</v>
      </c>
      <c r="BJ314" s="3">
        <v>45764</v>
      </c>
      <c r="BK314" s="1">
        <v>3.43</v>
      </c>
      <c r="BL314" s="3">
        <v>45764</v>
      </c>
      <c r="BM314" s="1">
        <v>3.16</v>
      </c>
      <c r="BN314" s="3">
        <v>45764</v>
      </c>
      <c r="BO314" s="1">
        <v>2.97</v>
      </c>
      <c r="BP314" s="3">
        <v>45764</v>
      </c>
      <c r="BQ314" s="1">
        <v>2.875</v>
      </c>
      <c r="BR314" s="3">
        <v>45764</v>
      </c>
      <c r="BS314" s="1">
        <v>2.8849999999999998</v>
      </c>
      <c r="BT314" s="3">
        <v>45764</v>
      </c>
      <c r="BU314" s="1">
        <v>2.9</v>
      </c>
      <c r="BV314" s="3">
        <v>45764</v>
      </c>
      <c r="BW314" s="1">
        <v>2.93</v>
      </c>
      <c r="BY314" s="3">
        <v>45751</v>
      </c>
      <c r="BZ314" s="1">
        <v>6.5</v>
      </c>
      <c r="CA314" s="3">
        <v>45741</v>
      </c>
      <c r="CB314" s="1">
        <v>6.51</v>
      </c>
      <c r="CC314" s="3">
        <v>45764</v>
      </c>
      <c r="CD314" s="1">
        <v>6.4980000000000002</v>
      </c>
      <c r="CE314" s="3">
        <v>45764</v>
      </c>
      <c r="CF314" s="1">
        <v>6.4790000000000001</v>
      </c>
      <c r="CG314" s="3">
        <v>45764</v>
      </c>
      <c r="CH314" s="1">
        <v>6.44</v>
      </c>
      <c r="CI314" s="3">
        <v>45764</v>
      </c>
      <c r="CJ314" s="1">
        <v>6.25</v>
      </c>
      <c r="CK314" s="3">
        <v>45764</v>
      </c>
      <c r="CL314" s="1">
        <v>5.8</v>
      </c>
      <c r="CM314" s="3">
        <v>45764</v>
      </c>
      <c r="CN314" s="1">
        <v>5.46</v>
      </c>
      <c r="CO314" s="3">
        <v>45757</v>
      </c>
      <c r="CP314" s="1">
        <v>5.59</v>
      </c>
      <c r="CQ314" s="3">
        <v>45757</v>
      </c>
      <c r="CR314" s="1">
        <v>5.5949999999999998</v>
      </c>
      <c r="CS314" s="3">
        <v>45757</v>
      </c>
      <c r="CT314" s="1">
        <v>5.65</v>
      </c>
    </row>
    <row r="315" spans="31:98" x14ac:dyDescent="0.2">
      <c r="AE315" s="3">
        <v>45763</v>
      </c>
      <c r="AF315" s="1">
        <v>5.75</v>
      </c>
      <c r="AG315" s="3">
        <v>45743</v>
      </c>
      <c r="AH315" s="1">
        <v>5.86</v>
      </c>
      <c r="AI315" s="3">
        <v>45763</v>
      </c>
      <c r="AJ315" s="2">
        <v>5.21</v>
      </c>
      <c r="AK315" s="3">
        <v>45763</v>
      </c>
      <c r="AL315" s="2">
        <v>4.84</v>
      </c>
      <c r="AM315" s="3">
        <v>45763</v>
      </c>
      <c r="AN315" s="2">
        <v>4.4950000000000001</v>
      </c>
      <c r="AO315" s="3">
        <v>45763</v>
      </c>
      <c r="AP315" s="2">
        <v>4.0650000000000004</v>
      </c>
      <c r="AQ315" s="3">
        <v>45763</v>
      </c>
      <c r="AR315" s="2">
        <v>3.8149999999999999</v>
      </c>
      <c r="AS315" s="3">
        <v>45763</v>
      </c>
      <c r="AT315" s="2">
        <v>3.65</v>
      </c>
      <c r="AU315" s="3">
        <v>45763</v>
      </c>
      <c r="AV315" s="2">
        <v>3.5550000000000002</v>
      </c>
      <c r="AW315" s="3">
        <v>45763</v>
      </c>
      <c r="AX315" s="2">
        <v>3.5150000000000001</v>
      </c>
      <c r="AY315" s="3">
        <v>45763</v>
      </c>
      <c r="AZ315" s="2">
        <v>3.52</v>
      </c>
      <c r="BB315" s="3">
        <v>45742</v>
      </c>
      <c r="BC315" s="1">
        <v>3.75</v>
      </c>
      <c r="BD315" s="3">
        <v>45743</v>
      </c>
      <c r="BE315" s="1">
        <v>3.72</v>
      </c>
      <c r="BF315" s="3">
        <v>45763</v>
      </c>
      <c r="BG315" s="1">
        <v>3.5649999999999999</v>
      </c>
      <c r="BH315" s="3">
        <v>45763</v>
      </c>
      <c r="BI315" s="1">
        <v>3.53</v>
      </c>
      <c r="BJ315" s="3">
        <v>45763</v>
      </c>
      <c r="BK315" s="1">
        <v>3.4430000000000001</v>
      </c>
      <c r="BL315" s="3">
        <v>45763</v>
      </c>
      <c r="BM315" s="1">
        <v>3.1949999999999998</v>
      </c>
      <c r="BN315" s="3">
        <v>45763</v>
      </c>
      <c r="BO315" s="1">
        <v>3.02</v>
      </c>
      <c r="BP315" s="3">
        <v>45763</v>
      </c>
      <c r="BQ315" s="1">
        <v>2.9249999999999998</v>
      </c>
      <c r="BR315" s="3">
        <v>45763</v>
      </c>
      <c r="BS315" s="1">
        <v>2.9350000000000001</v>
      </c>
      <c r="BT315" s="3">
        <v>45763</v>
      </c>
      <c r="BU315" s="1">
        <v>2.95</v>
      </c>
      <c r="BV315" s="3">
        <v>45763</v>
      </c>
      <c r="BW315" s="1">
        <v>2.9750000000000001</v>
      </c>
      <c r="BY315" s="3">
        <v>45750</v>
      </c>
      <c r="BZ315" s="1">
        <v>6.5</v>
      </c>
      <c r="CA315" s="3">
        <v>45740</v>
      </c>
      <c r="CB315" s="1">
        <v>6.51</v>
      </c>
      <c r="CC315" s="3">
        <v>45763</v>
      </c>
      <c r="CD315" s="1">
        <v>6.5039999999999996</v>
      </c>
      <c r="CE315" s="3">
        <v>45763</v>
      </c>
      <c r="CF315" s="1">
        <v>6.4880000000000004</v>
      </c>
      <c r="CG315" s="3">
        <v>45763</v>
      </c>
      <c r="CH315" s="1">
        <v>6.46</v>
      </c>
      <c r="CI315" s="3">
        <v>45763</v>
      </c>
      <c r="CJ315" s="1">
        <v>6.28</v>
      </c>
      <c r="CK315" s="3">
        <v>45763</v>
      </c>
      <c r="CL315" s="1">
        <v>5.87</v>
      </c>
      <c r="CM315" s="3">
        <v>45763</v>
      </c>
      <c r="CN315" s="1">
        <v>5.57</v>
      </c>
      <c r="CO315" s="3">
        <v>45756</v>
      </c>
      <c r="CP315" s="1">
        <v>5.6349999999999998</v>
      </c>
      <c r="CQ315" s="3">
        <v>45756</v>
      </c>
      <c r="CR315" s="1">
        <v>5.64</v>
      </c>
      <c r="CS315" s="3">
        <v>45756</v>
      </c>
      <c r="CT315" s="1">
        <v>5.7050000000000001</v>
      </c>
    </row>
    <row r="316" spans="31:98" x14ac:dyDescent="0.2">
      <c r="AE316" s="3">
        <v>45762</v>
      </c>
      <c r="AF316" s="1">
        <v>5.75</v>
      </c>
      <c r="AG316" s="3">
        <v>45742</v>
      </c>
      <c r="AH316" s="1">
        <v>5.86</v>
      </c>
      <c r="AI316" s="3">
        <v>45762</v>
      </c>
      <c r="AJ316" s="2">
        <v>5.21</v>
      </c>
      <c r="AK316" s="3">
        <v>45762</v>
      </c>
      <c r="AL316" s="2">
        <v>4.83</v>
      </c>
      <c r="AM316" s="3">
        <v>45762</v>
      </c>
      <c r="AN316" s="2">
        <v>4.5</v>
      </c>
      <c r="AO316" s="3">
        <v>45762</v>
      </c>
      <c r="AP316" s="2">
        <v>4.0449999999999999</v>
      </c>
      <c r="AQ316" s="3">
        <v>45762</v>
      </c>
      <c r="AR316" s="2">
        <v>3.7949999999999999</v>
      </c>
      <c r="AS316" s="3">
        <v>45762</v>
      </c>
      <c r="AT316" s="2">
        <v>3.5924999999999998</v>
      </c>
      <c r="AU316" s="3">
        <v>45762</v>
      </c>
      <c r="AV316" s="2">
        <v>3.4874999999999998</v>
      </c>
      <c r="AW316" s="3">
        <v>45762</v>
      </c>
      <c r="AX316" s="2">
        <v>3.4575</v>
      </c>
      <c r="AY316" s="3">
        <v>45762</v>
      </c>
      <c r="AZ316" s="2">
        <v>3.4624999999999999</v>
      </c>
      <c r="BB316" s="3">
        <v>45741</v>
      </c>
      <c r="BC316" s="1">
        <v>3.75</v>
      </c>
      <c r="BD316" s="3">
        <v>45742</v>
      </c>
      <c r="BE316" s="1">
        <v>3.72</v>
      </c>
      <c r="BF316" s="3">
        <v>45762</v>
      </c>
      <c r="BG316" s="1">
        <v>3.57</v>
      </c>
      <c r="BH316" s="3">
        <v>45762</v>
      </c>
      <c r="BI316" s="1">
        <v>3.5409999999999999</v>
      </c>
      <c r="BJ316" s="3">
        <v>45762</v>
      </c>
      <c r="BK316" s="1">
        <v>3.45</v>
      </c>
      <c r="BL316" s="3">
        <v>45762</v>
      </c>
      <c r="BM316" s="1">
        <v>3.2050000000000001</v>
      </c>
      <c r="BN316" s="3">
        <v>45762</v>
      </c>
      <c r="BO316" s="1">
        <v>3.03</v>
      </c>
      <c r="BP316" s="3">
        <v>45762</v>
      </c>
      <c r="BQ316" s="1">
        <v>2.9529999999999998</v>
      </c>
      <c r="BR316" s="3">
        <v>45762</v>
      </c>
      <c r="BS316" s="1">
        <v>2.9649999999999999</v>
      </c>
      <c r="BT316" s="3">
        <v>45762</v>
      </c>
      <c r="BU316" s="1">
        <v>2.9849999999999999</v>
      </c>
      <c r="BV316" s="3">
        <v>45762</v>
      </c>
      <c r="BW316" s="1">
        <v>3.0249999999999999</v>
      </c>
      <c r="BY316" s="3">
        <v>45749</v>
      </c>
      <c r="BZ316" s="1">
        <v>6.5</v>
      </c>
      <c r="CA316" s="3">
        <v>45737</v>
      </c>
      <c r="CB316" s="1">
        <v>6.51</v>
      </c>
      <c r="CC316" s="3">
        <v>45762</v>
      </c>
      <c r="CD316" s="1">
        <v>6.5</v>
      </c>
      <c r="CE316" s="3">
        <v>45762</v>
      </c>
      <c r="CF316" s="1">
        <v>6.4950000000000001</v>
      </c>
      <c r="CG316" s="3">
        <v>45762</v>
      </c>
      <c r="CH316" s="1">
        <v>6.49</v>
      </c>
      <c r="CI316" s="3">
        <v>45762</v>
      </c>
      <c r="CJ316" s="1">
        <v>6.34</v>
      </c>
      <c r="CK316" s="3">
        <v>45762</v>
      </c>
      <c r="CL316" s="1">
        <v>5.95</v>
      </c>
      <c r="CM316" s="3">
        <v>45762</v>
      </c>
      <c r="CN316" s="1">
        <v>5.6550000000000002</v>
      </c>
      <c r="CO316" s="3">
        <v>45755</v>
      </c>
      <c r="CP316" s="1">
        <v>5.6150000000000002</v>
      </c>
      <c r="CQ316" s="3">
        <v>45755</v>
      </c>
      <c r="CR316" s="1">
        <v>5.6150000000000002</v>
      </c>
      <c r="CS316" s="3">
        <v>45755</v>
      </c>
      <c r="CT316" s="1">
        <v>5.68</v>
      </c>
    </row>
    <row r="317" spans="31:98" x14ac:dyDescent="0.2">
      <c r="AE317" s="3">
        <v>45761</v>
      </c>
      <c r="AF317" s="1">
        <v>5.75</v>
      </c>
      <c r="AG317" s="3">
        <v>45741</v>
      </c>
      <c r="AH317" s="1">
        <v>5.87</v>
      </c>
      <c r="AI317" s="3">
        <v>45761</v>
      </c>
      <c r="AJ317" s="2">
        <v>5.2149999999999999</v>
      </c>
      <c r="AK317" s="3">
        <v>45761</v>
      </c>
      <c r="AL317" s="2">
        <v>4.84</v>
      </c>
      <c r="AM317" s="3">
        <v>45761</v>
      </c>
      <c r="AN317" s="2">
        <v>4.4950000000000001</v>
      </c>
      <c r="AO317" s="3">
        <v>45761</v>
      </c>
      <c r="AP317" s="2">
        <v>4.0199999999999996</v>
      </c>
      <c r="AQ317" s="3">
        <v>45761</v>
      </c>
      <c r="AR317" s="2">
        <v>3.78</v>
      </c>
      <c r="AS317" s="3">
        <v>45761</v>
      </c>
      <c r="AT317" s="2">
        <v>3.5449999999999999</v>
      </c>
      <c r="AU317" s="3">
        <v>45761</v>
      </c>
      <c r="AV317" s="2">
        <v>3.42</v>
      </c>
      <c r="AW317" s="3">
        <v>45761</v>
      </c>
      <c r="AX317" s="2">
        <v>3.4</v>
      </c>
      <c r="AY317" s="3">
        <v>45761</v>
      </c>
      <c r="AZ317" s="2">
        <v>3.415</v>
      </c>
      <c r="BB317" s="3">
        <v>45740</v>
      </c>
      <c r="BC317" s="1">
        <v>3.75</v>
      </c>
      <c r="BD317" s="3">
        <v>45741</v>
      </c>
      <c r="BE317" s="1">
        <v>3.72</v>
      </c>
      <c r="BF317" s="3">
        <v>45761</v>
      </c>
      <c r="BG317" s="1">
        <v>3.57</v>
      </c>
      <c r="BH317" s="3">
        <v>45761</v>
      </c>
      <c r="BI317" s="1">
        <v>3.5339999999999998</v>
      </c>
      <c r="BJ317" s="3">
        <v>45761</v>
      </c>
      <c r="BK317" s="1">
        <v>3.42</v>
      </c>
      <c r="BL317" s="3">
        <v>45761</v>
      </c>
      <c r="BM317" s="1">
        <v>3.18</v>
      </c>
      <c r="BN317" s="3">
        <v>45761</v>
      </c>
      <c r="BO317" s="1">
        <v>3</v>
      </c>
      <c r="BP317" s="3">
        <v>45761</v>
      </c>
      <c r="BQ317" s="1">
        <v>2.915</v>
      </c>
      <c r="BR317" s="3">
        <v>45761</v>
      </c>
      <c r="BS317" s="1">
        <v>2.93</v>
      </c>
      <c r="BT317" s="3">
        <v>45761</v>
      </c>
      <c r="BU317" s="1">
        <v>2.94</v>
      </c>
      <c r="BV317" s="3">
        <v>45761</v>
      </c>
      <c r="BW317" s="1">
        <v>2.9750000000000001</v>
      </c>
      <c r="BY317" s="3">
        <v>45748</v>
      </c>
      <c r="BZ317" s="1">
        <v>6.5</v>
      </c>
      <c r="CA317" s="3">
        <v>45736</v>
      </c>
      <c r="CB317" s="1">
        <v>6.51</v>
      </c>
      <c r="CC317" s="3">
        <v>45761</v>
      </c>
      <c r="CD317" s="1">
        <v>6.5069999999999997</v>
      </c>
      <c r="CE317" s="3">
        <v>45761</v>
      </c>
      <c r="CF317" s="1">
        <v>6.5049999999999999</v>
      </c>
      <c r="CG317" s="3">
        <v>45761</v>
      </c>
      <c r="CH317" s="1">
        <v>6.5</v>
      </c>
      <c r="CI317" s="3">
        <v>45761</v>
      </c>
      <c r="CJ317" s="1">
        <v>6.38</v>
      </c>
      <c r="CK317" s="3">
        <v>45761</v>
      </c>
      <c r="CL317" s="1">
        <v>5.98</v>
      </c>
      <c r="CM317" s="3">
        <v>45761</v>
      </c>
      <c r="CN317" s="1">
        <v>5.67</v>
      </c>
      <c r="CO317" s="3">
        <v>45754</v>
      </c>
      <c r="CP317" s="1">
        <v>5.7</v>
      </c>
      <c r="CQ317" s="3">
        <v>45754</v>
      </c>
      <c r="CR317" s="1">
        <v>5.7</v>
      </c>
      <c r="CS317" s="3">
        <v>45754</v>
      </c>
      <c r="CT317" s="1">
        <v>5.76</v>
      </c>
    </row>
    <row r="318" spans="31:98" x14ac:dyDescent="0.2">
      <c r="AE318" s="3">
        <v>45758</v>
      </c>
      <c r="AF318" s="1">
        <v>5.75</v>
      </c>
      <c r="AG318" s="3">
        <v>45740</v>
      </c>
      <c r="AH318" s="1">
        <v>5.85</v>
      </c>
      <c r="AI318" s="3">
        <v>45758</v>
      </c>
      <c r="AJ318" s="2">
        <v>5.1875</v>
      </c>
      <c r="AK318" s="3">
        <v>45758</v>
      </c>
      <c r="AL318" s="2">
        <v>4.8</v>
      </c>
      <c r="AM318" s="3">
        <v>45758</v>
      </c>
      <c r="AN318" s="2">
        <v>4.4550000000000001</v>
      </c>
      <c r="AO318" s="3">
        <v>45758</v>
      </c>
      <c r="AP318" s="2">
        <v>3.98</v>
      </c>
      <c r="AQ318" s="3">
        <v>45758</v>
      </c>
      <c r="AR318" s="2">
        <v>3.7625000000000002</v>
      </c>
      <c r="AS318" s="3">
        <v>45758</v>
      </c>
      <c r="AT318" s="2">
        <v>3.5449999999999999</v>
      </c>
      <c r="AU318" s="3">
        <v>45758</v>
      </c>
      <c r="AV318" s="2">
        <v>3.42</v>
      </c>
      <c r="AW318" s="3">
        <v>45758</v>
      </c>
      <c r="AX318" s="2">
        <v>3.41</v>
      </c>
      <c r="AY318" s="3">
        <v>45758</v>
      </c>
      <c r="AZ318" s="2">
        <v>3.43</v>
      </c>
      <c r="BB318" s="3">
        <v>45737</v>
      </c>
      <c r="BC318" s="1">
        <v>3.75</v>
      </c>
      <c r="BD318" s="3">
        <v>45740</v>
      </c>
      <c r="BE318" s="1">
        <v>3.72</v>
      </c>
      <c r="BF318" s="3">
        <v>45758</v>
      </c>
      <c r="BG318" s="1">
        <v>3.55</v>
      </c>
      <c r="BH318" s="3">
        <v>45758</v>
      </c>
      <c r="BI318" s="1">
        <v>3.5350000000000001</v>
      </c>
      <c r="BJ318" s="3">
        <v>45758</v>
      </c>
      <c r="BK318" s="1">
        <v>3.4249999999999998</v>
      </c>
      <c r="BL318" s="3">
        <v>45758</v>
      </c>
      <c r="BM318" s="1">
        <v>3.165</v>
      </c>
      <c r="BN318" s="3">
        <v>45758</v>
      </c>
      <c r="BO318" s="1">
        <v>2.97</v>
      </c>
      <c r="BP318" s="3">
        <v>45758</v>
      </c>
      <c r="BQ318" s="1">
        <v>2.895</v>
      </c>
      <c r="BR318" s="3">
        <v>45758</v>
      </c>
      <c r="BS318" s="1">
        <v>2.91</v>
      </c>
      <c r="BT318" s="3">
        <v>45758</v>
      </c>
      <c r="BU318" s="1">
        <v>2.9249999999999998</v>
      </c>
      <c r="BV318" s="3">
        <v>45758</v>
      </c>
      <c r="BW318" s="1">
        <v>2.9630000000000001</v>
      </c>
      <c r="BY318" s="3">
        <v>45747</v>
      </c>
      <c r="BZ318" s="1">
        <v>6.5</v>
      </c>
      <c r="CA318" s="3">
        <v>45735</v>
      </c>
      <c r="CB318" s="1">
        <v>6.51</v>
      </c>
      <c r="CC318" s="3">
        <v>45758</v>
      </c>
      <c r="CD318" s="1">
        <v>6.4980000000000002</v>
      </c>
      <c r="CE318" s="3">
        <v>45758</v>
      </c>
      <c r="CF318" s="1">
        <v>6.49</v>
      </c>
      <c r="CG318" s="3">
        <v>45758</v>
      </c>
      <c r="CH318" s="1">
        <v>6.48</v>
      </c>
      <c r="CI318" s="3">
        <v>45758</v>
      </c>
      <c r="CJ318" s="1">
        <v>6.36</v>
      </c>
      <c r="CK318" s="3">
        <v>45758</v>
      </c>
      <c r="CL318" s="1">
        <v>5.94</v>
      </c>
      <c r="CM318" s="3">
        <v>45758</v>
      </c>
      <c r="CN318" s="1">
        <v>5.6349999999999998</v>
      </c>
      <c r="CO318" s="3">
        <v>45751</v>
      </c>
      <c r="CP318" s="1">
        <v>5.63</v>
      </c>
      <c r="CQ318" s="3">
        <v>45751</v>
      </c>
      <c r="CR318" s="1">
        <v>5.63</v>
      </c>
      <c r="CS318" s="3">
        <v>45751</v>
      </c>
      <c r="CT318" s="1">
        <v>5.68</v>
      </c>
    </row>
    <row r="319" spans="31:98" x14ac:dyDescent="0.2">
      <c r="AE319" s="3">
        <v>45757</v>
      </c>
      <c r="AF319" s="1">
        <v>5.75</v>
      </c>
      <c r="AG319" s="3">
        <v>45737</v>
      </c>
      <c r="AH319" s="1">
        <v>5.85</v>
      </c>
      <c r="AI319" s="3">
        <v>45757</v>
      </c>
      <c r="AJ319" s="2">
        <v>5.2</v>
      </c>
      <c r="AK319" s="3">
        <v>45757</v>
      </c>
      <c r="AL319" s="2">
        <v>4.82</v>
      </c>
      <c r="AM319" s="3">
        <v>45757</v>
      </c>
      <c r="AN319" s="2">
        <v>4.5049999999999999</v>
      </c>
      <c r="AO319" s="3">
        <v>45757</v>
      </c>
      <c r="AP319" s="2">
        <v>4.04</v>
      </c>
      <c r="AQ319" s="3">
        <v>45757</v>
      </c>
      <c r="AR319" s="2">
        <v>3.83</v>
      </c>
      <c r="AS319" s="3">
        <v>45757</v>
      </c>
      <c r="AT319" s="2">
        <v>3.62</v>
      </c>
      <c r="AU319" s="3">
        <v>45757</v>
      </c>
      <c r="AV319" s="2">
        <v>3.5049999999999999</v>
      </c>
      <c r="AW319" s="3">
        <v>45757</v>
      </c>
      <c r="AX319" s="2">
        <v>3.5049999999999999</v>
      </c>
      <c r="AY319" s="3">
        <v>45757</v>
      </c>
      <c r="AZ319" s="2">
        <v>3.5249999999999999</v>
      </c>
      <c r="BB319" s="3">
        <v>45736</v>
      </c>
      <c r="BC319" s="1">
        <v>3.75</v>
      </c>
      <c r="BD319" s="3">
        <v>45737</v>
      </c>
      <c r="BE319" s="1">
        <v>3.71</v>
      </c>
      <c r="BF319" s="3">
        <v>45757</v>
      </c>
      <c r="BG319" s="1">
        <v>3.55</v>
      </c>
      <c r="BH319" s="3">
        <v>45757</v>
      </c>
      <c r="BI319" s="1">
        <v>3.5310000000000001</v>
      </c>
      <c r="BJ319" s="3">
        <v>45757</v>
      </c>
      <c r="BK319" s="1">
        <v>3.41</v>
      </c>
      <c r="BL319" s="3">
        <v>45757</v>
      </c>
      <c r="BM319" s="1">
        <v>3.16</v>
      </c>
      <c r="BN319" s="3">
        <v>45757</v>
      </c>
      <c r="BO319" s="1">
        <v>2.9649999999999999</v>
      </c>
      <c r="BP319" s="3">
        <v>45757</v>
      </c>
      <c r="BQ319" s="1">
        <v>2.9049999999999998</v>
      </c>
      <c r="BR319" s="3">
        <v>45757</v>
      </c>
      <c r="BS319" s="1">
        <v>2.92</v>
      </c>
      <c r="BT319" s="3">
        <v>45757</v>
      </c>
      <c r="BU319" s="1">
        <v>2.9449999999999998</v>
      </c>
      <c r="BV319" s="3">
        <v>45757</v>
      </c>
      <c r="BW319" s="1">
        <v>2.9849999999999999</v>
      </c>
      <c r="BY319" s="3">
        <v>45744</v>
      </c>
      <c r="BZ319" s="1">
        <v>6.5</v>
      </c>
      <c r="CA319" s="3">
        <v>45734</v>
      </c>
      <c r="CB319" s="1">
        <v>6.51</v>
      </c>
      <c r="CC319" s="3">
        <v>45757</v>
      </c>
      <c r="CD319" s="1">
        <v>6.5</v>
      </c>
      <c r="CE319" s="3">
        <v>45757</v>
      </c>
      <c r="CF319" s="1">
        <v>6.4850000000000003</v>
      </c>
      <c r="CG319" s="3">
        <v>45757</v>
      </c>
      <c r="CH319" s="1">
        <v>6.47</v>
      </c>
      <c r="CI319" s="3">
        <v>45757</v>
      </c>
      <c r="CJ319" s="1">
        <v>6.37</v>
      </c>
      <c r="CK319" s="3">
        <v>45757</v>
      </c>
      <c r="CL319" s="1">
        <v>5.97</v>
      </c>
      <c r="CM319" s="3">
        <v>45757</v>
      </c>
      <c r="CN319" s="1">
        <v>5.64</v>
      </c>
      <c r="CO319" s="3">
        <v>45750</v>
      </c>
      <c r="CP319" s="1">
        <v>5.82</v>
      </c>
      <c r="CQ319" s="3">
        <v>45750</v>
      </c>
      <c r="CR319" s="1">
        <v>5.82</v>
      </c>
      <c r="CS319" s="3">
        <v>45750</v>
      </c>
      <c r="CT319" s="1">
        <v>5.85</v>
      </c>
    </row>
    <row r="320" spans="31:98" x14ac:dyDescent="0.2">
      <c r="AE320" s="3">
        <v>45756</v>
      </c>
      <c r="AF320" s="1">
        <v>5.75</v>
      </c>
      <c r="AG320" s="3">
        <v>45736</v>
      </c>
      <c r="AH320" s="1">
        <v>5.86</v>
      </c>
      <c r="AI320" s="3">
        <v>45756</v>
      </c>
      <c r="AJ320" s="2">
        <v>5.2249999999999996</v>
      </c>
      <c r="AK320" s="3">
        <v>45756</v>
      </c>
      <c r="AL320" s="2">
        <v>4.84</v>
      </c>
      <c r="AM320" s="3">
        <v>45756</v>
      </c>
      <c r="AN320" s="2">
        <v>4.5</v>
      </c>
      <c r="AO320" s="3">
        <v>45756</v>
      </c>
      <c r="AP320" s="2">
        <v>4.03</v>
      </c>
      <c r="AQ320" s="3">
        <v>45756</v>
      </c>
      <c r="AR320" s="2">
        <v>3.82</v>
      </c>
      <c r="AS320" s="3">
        <v>45756</v>
      </c>
      <c r="AT320" s="2">
        <v>3.61</v>
      </c>
      <c r="AU320" s="3">
        <v>45756</v>
      </c>
      <c r="AV320" s="2">
        <v>3.4750000000000001</v>
      </c>
      <c r="AW320" s="3">
        <v>45756</v>
      </c>
      <c r="AX320" s="2">
        <v>3.4750000000000001</v>
      </c>
      <c r="AY320" s="3">
        <v>45756</v>
      </c>
      <c r="AZ320" s="2">
        <v>3.4950000000000001</v>
      </c>
      <c r="BB320" s="3">
        <v>45735</v>
      </c>
      <c r="BC320" s="1">
        <v>3.75</v>
      </c>
      <c r="BD320" s="3">
        <v>45736</v>
      </c>
      <c r="BE320" s="1">
        <v>3.71</v>
      </c>
      <c r="BF320" s="3">
        <v>45756</v>
      </c>
      <c r="BG320" s="1">
        <v>3.6</v>
      </c>
      <c r="BH320" s="3">
        <v>45756</v>
      </c>
      <c r="BI320" s="1">
        <v>3.45</v>
      </c>
      <c r="BJ320" s="3">
        <v>45756</v>
      </c>
      <c r="BK320" s="1">
        <v>3.3180000000000001</v>
      </c>
      <c r="BL320" s="3">
        <v>45756</v>
      </c>
      <c r="BM320" s="1">
        <v>3.1</v>
      </c>
      <c r="BN320" s="3">
        <v>45756</v>
      </c>
      <c r="BO320" s="1">
        <v>2.89</v>
      </c>
      <c r="BP320" s="3">
        <v>45756</v>
      </c>
      <c r="BQ320" s="1">
        <v>2.843</v>
      </c>
      <c r="BR320" s="3">
        <v>45756</v>
      </c>
      <c r="BS320" s="1">
        <v>2.8530000000000002</v>
      </c>
      <c r="BT320" s="3">
        <v>45756</v>
      </c>
      <c r="BU320" s="1">
        <v>2.8780000000000001</v>
      </c>
      <c r="BV320" s="3">
        <v>45756</v>
      </c>
      <c r="BW320" s="1">
        <v>2.9329999999999998</v>
      </c>
      <c r="BY320" s="3">
        <v>45743</v>
      </c>
      <c r="BZ320" s="1">
        <v>6.5</v>
      </c>
      <c r="CA320" s="3">
        <v>45733</v>
      </c>
      <c r="CB320" s="1">
        <v>6.51</v>
      </c>
      <c r="CC320" s="3">
        <v>45756</v>
      </c>
      <c r="CD320" s="1">
        <v>6.5030000000000001</v>
      </c>
      <c r="CE320" s="3">
        <v>45756</v>
      </c>
      <c r="CF320" s="1">
        <v>6.4859999999999998</v>
      </c>
      <c r="CG320" s="3">
        <v>45756</v>
      </c>
      <c r="CH320" s="1">
        <v>6.48</v>
      </c>
      <c r="CI320" s="3">
        <v>45756</v>
      </c>
      <c r="CJ320" s="1">
        <v>6.39</v>
      </c>
      <c r="CK320" s="3">
        <v>45756</v>
      </c>
      <c r="CL320" s="1">
        <v>5.99</v>
      </c>
      <c r="CM320" s="3">
        <v>45756</v>
      </c>
      <c r="CN320" s="1">
        <v>5.6849999999999996</v>
      </c>
      <c r="CO320" s="3">
        <v>45749</v>
      </c>
      <c r="CP320" s="1">
        <v>6.05</v>
      </c>
      <c r="CQ320" s="3">
        <v>45749</v>
      </c>
      <c r="CR320" s="1">
        <v>6.04</v>
      </c>
      <c r="CS320" s="3">
        <v>45749</v>
      </c>
      <c r="CT320" s="1">
        <v>6.07</v>
      </c>
    </row>
    <row r="321" spans="31:98" x14ac:dyDescent="0.2">
      <c r="AE321" s="3">
        <v>45755</v>
      </c>
      <c r="AF321" s="1">
        <v>5.75</v>
      </c>
      <c r="AG321" s="3">
        <v>45735</v>
      </c>
      <c r="AH321" s="1">
        <v>5.86</v>
      </c>
      <c r="AI321" s="3">
        <v>45755</v>
      </c>
      <c r="AJ321" s="2">
        <v>5.28</v>
      </c>
      <c r="AK321" s="3">
        <v>45755</v>
      </c>
      <c r="AL321" s="2">
        <v>4.9749999999999996</v>
      </c>
      <c r="AM321" s="3">
        <v>45755</v>
      </c>
      <c r="AN321" s="2">
        <v>4.6749999999999998</v>
      </c>
      <c r="AO321" s="3">
        <v>45755</v>
      </c>
      <c r="AP321" s="2">
        <v>4.2750000000000004</v>
      </c>
      <c r="AQ321" s="3">
        <v>45755</v>
      </c>
      <c r="AR321" s="2">
        <v>4.0199999999999996</v>
      </c>
      <c r="AS321" s="3">
        <v>45755</v>
      </c>
      <c r="AT321" s="2">
        <v>3.8</v>
      </c>
      <c r="AU321" s="3">
        <v>45755</v>
      </c>
      <c r="AV321" s="2">
        <v>3.63</v>
      </c>
      <c r="AW321" s="3">
        <v>45755</v>
      </c>
      <c r="AX321" s="2">
        <v>3.6150000000000002</v>
      </c>
      <c r="AY321" s="3">
        <v>45755</v>
      </c>
      <c r="AZ321" s="2">
        <v>3.62</v>
      </c>
      <c r="BB321" s="3">
        <v>45734</v>
      </c>
      <c r="BC321" s="1">
        <v>3.75</v>
      </c>
      <c r="BD321" s="3">
        <v>45735</v>
      </c>
      <c r="BE321" s="1">
        <v>3.71</v>
      </c>
      <c r="BF321" s="3">
        <v>45755</v>
      </c>
      <c r="BG321" s="1">
        <v>3.6150000000000002</v>
      </c>
      <c r="BH321" s="3">
        <v>45755</v>
      </c>
      <c r="BI321" s="1">
        <v>3.4449999999999998</v>
      </c>
      <c r="BJ321" s="3">
        <v>45755</v>
      </c>
      <c r="BK321" s="1">
        <v>3.363</v>
      </c>
      <c r="BL321" s="3">
        <v>45755</v>
      </c>
      <c r="BM321" s="1">
        <v>3.1829999999999998</v>
      </c>
      <c r="BN321" s="3">
        <v>45755</v>
      </c>
      <c r="BO321" s="1">
        <v>3.03</v>
      </c>
      <c r="BP321" s="3">
        <v>45755</v>
      </c>
      <c r="BQ321" s="1">
        <v>3.0049999999999999</v>
      </c>
      <c r="BR321" s="3">
        <v>45755</v>
      </c>
      <c r="BS321" s="1">
        <v>3.01</v>
      </c>
      <c r="BT321" s="3">
        <v>45755</v>
      </c>
      <c r="BU321" s="1">
        <v>3.03</v>
      </c>
      <c r="BV321" s="3">
        <v>45755</v>
      </c>
      <c r="BW321" s="1">
        <v>3.0630000000000002</v>
      </c>
      <c r="BY321" s="3">
        <v>45742</v>
      </c>
      <c r="BZ321" s="1">
        <v>6.5</v>
      </c>
      <c r="CA321" s="3">
        <v>45730</v>
      </c>
      <c r="CB321" s="1">
        <v>6.51</v>
      </c>
      <c r="CC321" s="3">
        <v>45755</v>
      </c>
      <c r="CD321" s="1">
        <v>6.49</v>
      </c>
      <c r="CE321" s="3">
        <v>45755</v>
      </c>
      <c r="CF321" s="1">
        <v>6.4820000000000002</v>
      </c>
      <c r="CG321" s="3">
        <v>45755</v>
      </c>
      <c r="CH321" s="1">
        <v>6.47</v>
      </c>
      <c r="CI321" s="3">
        <v>45755</v>
      </c>
      <c r="CJ321" s="1">
        <v>6.37</v>
      </c>
      <c r="CK321" s="3">
        <v>45755</v>
      </c>
      <c r="CL321" s="1">
        <v>5.96</v>
      </c>
      <c r="CM321" s="3">
        <v>45755</v>
      </c>
      <c r="CN321" s="1">
        <v>5.6849999999999996</v>
      </c>
      <c r="CO321" s="3">
        <v>45748</v>
      </c>
      <c r="CP321" s="1">
        <v>6.05</v>
      </c>
      <c r="CQ321" s="3">
        <v>45748</v>
      </c>
      <c r="CR321" s="1">
        <v>6.04</v>
      </c>
      <c r="CS321" s="3">
        <v>45748</v>
      </c>
      <c r="CT321" s="1">
        <v>6.07</v>
      </c>
    </row>
    <row r="322" spans="31:98" x14ac:dyDescent="0.2">
      <c r="AE322" s="3">
        <v>45754</v>
      </c>
      <c r="AF322" s="1">
        <v>5.75</v>
      </c>
      <c r="AG322" s="3">
        <v>45734</v>
      </c>
      <c r="AH322" s="1">
        <v>5.86</v>
      </c>
      <c r="AI322" s="3">
        <v>45754</v>
      </c>
      <c r="AJ322" s="2">
        <v>5.41</v>
      </c>
      <c r="AK322" s="3">
        <v>45754</v>
      </c>
      <c r="AL322" s="2">
        <v>4.93</v>
      </c>
      <c r="AM322" s="3">
        <v>45754</v>
      </c>
      <c r="AN322" s="2">
        <v>4.63</v>
      </c>
      <c r="AO322" s="3">
        <v>45754</v>
      </c>
      <c r="AP322" s="2">
        <v>4.18</v>
      </c>
      <c r="AQ322" s="3">
        <v>45754</v>
      </c>
      <c r="AR322" s="2">
        <v>3.91</v>
      </c>
      <c r="AS322" s="3">
        <v>45754</v>
      </c>
      <c r="AT322" s="2">
        <v>3.6949999999999998</v>
      </c>
      <c r="AU322" s="3">
        <v>45754</v>
      </c>
      <c r="AV322" s="2">
        <v>3.5249999999999999</v>
      </c>
      <c r="AW322" s="3">
        <v>45754</v>
      </c>
      <c r="AX322" s="2">
        <v>3.51</v>
      </c>
      <c r="AY322" s="3">
        <v>45754</v>
      </c>
      <c r="AZ322" s="2">
        <v>3.53</v>
      </c>
      <c r="BB322" s="3">
        <v>45733</v>
      </c>
      <c r="BC322" s="1">
        <v>3.75</v>
      </c>
      <c r="BD322" s="3">
        <v>45734</v>
      </c>
      <c r="BE322" s="1">
        <v>3.71</v>
      </c>
      <c r="BF322" s="3">
        <v>45754</v>
      </c>
      <c r="BG322" s="1">
        <v>3.6150000000000002</v>
      </c>
      <c r="BH322" s="3">
        <v>45754</v>
      </c>
      <c r="BI322" s="1">
        <v>3.47</v>
      </c>
      <c r="BJ322" s="3">
        <v>45754</v>
      </c>
      <c r="BK322" s="1">
        <v>3.37</v>
      </c>
      <c r="BL322" s="3">
        <v>45754</v>
      </c>
      <c r="BM322" s="1">
        <v>3.165</v>
      </c>
      <c r="BN322" s="3">
        <v>45754</v>
      </c>
      <c r="BO322" s="1">
        <v>3.01</v>
      </c>
      <c r="BP322" s="3">
        <v>45754</v>
      </c>
      <c r="BQ322" s="1">
        <v>2.94</v>
      </c>
      <c r="BR322" s="3">
        <v>45754</v>
      </c>
      <c r="BS322" s="1">
        <v>2.95</v>
      </c>
      <c r="BT322" s="3">
        <v>45754</v>
      </c>
      <c r="BU322" s="1">
        <v>2.968</v>
      </c>
      <c r="BV322" s="3">
        <v>45754</v>
      </c>
      <c r="BW322" s="1">
        <v>3.0030000000000001</v>
      </c>
      <c r="BY322" s="3">
        <v>45741</v>
      </c>
      <c r="BZ322" s="1">
        <v>6.5</v>
      </c>
      <c r="CA322" s="3">
        <v>45729</v>
      </c>
      <c r="CB322" s="1">
        <v>6.51</v>
      </c>
      <c r="CC322" s="3">
        <v>45754</v>
      </c>
      <c r="CD322" s="1">
        <v>6.5090000000000003</v>
      </c>
      <c r="CE322" s="3">
        <v>45754</v>
      </c>
      <c r="CF322" s="1">
        <v>6.5190000000000001</v>
      </c>
      <c r="CG322" s="3">
        <v>45754</v>
      </c>
      <c r="CH322" s="1">
        <v>6.53</v>
      </c>
      <c r="CI322" s="3">
        <v>45754</v>
      </c>
      <c r="CJ322" s="1">
        <v>6.46</v>
      </c>
      <c r="CK322" s="3">
        <v>45754</v>
      </c>
      <c r="CL322" s="1">
        <v>6.1</v>
      </c>
      <c r="CM322" s="3">
        <v>45754</v>
      </c>
      <c r="CN322" s="1">
        <v>5.78</v>
      </c>
      <c r="CO322" s="3">
        <v>45747</v>
      </c>
      <c r="CP322" s="1">
        <v>6.14</v>
      </c>
      <c r="CQ322" s="3">
        <v>45747</v>
      </c>
      <c r="CR322" s="1">
        <v>6.1449999999999996</v>
      </c>
      <c r="CS322" s="3">
        <v>45747</v>
      </c>
      <c r="CT322" s="1">
        <v>6.1749999999999998</v>
      </c>
    </row>
    <row r="323" spans="31:98" x14ac:dyDescent="0.2">
      <c r="AE323" s="3">
        <v>45751</v>
      </c>
      <c r="AF323" s="1">
        <v>5.75</v>
      </c>
      <c r="AG323" s="3">
        <v>45733</v>
      </c>
      <c r="AH323" s="1">
        <v>5.85</v>
      </c>
      <c r="AI323" s="3">
        <v>45751</v>
      </c>
      <c r="AJ323" s="2">
        <v>5.39</v>
      </c>
      <c r="AK323" s="3">
        <v>45751</v>
      </c>
      <c r="AL323" s="2">
        <v>4.93</v>
      </c>
      <c r="AM323" s="3">
        <v>45751</v>
      </c>
      <c r="AN323" s="2">
        <v>4.6500000000000004</v>
      </c>
      <c r="AO323" s="3">
        <v>45751</v>
      </c>
      <c r="AP323" s="2">
        <v>4.18</v>
      </c>
      <c r="AQ323" s="3">
        <v>45751</v>
      </c>
      <c r="AR323" s="2">
        <v>3.9049999999999998</v>
      </c>
      <c r="AS323" s="3">
        <v>45751</v>
      </c>
      <c r="AT323" s="2">
        <v>3.7349999999999999</v>
      </c>
      <c r="AU323" s="3">
        <v>45751</v>
      </c>
      <c r="AV323" s="2">
        <v>3.5950000000000002</v>
      </c>
      <c r="AW323" s="3">
        <v>45751</v>
      </c>
      <c r="AX323" s="2">
        <v>3.5750000000000002</v>
      </c>
      <c r="AY323" s="3">
        <v>45751</v>
      </c>
      <c r="AZ323" s="2">
        <v>3.58</v>
      </c>
      <c r="BB323" s="3">
        <v>45730</v>
      </c>
      <c r="BC323" s="1">
        <v>3.75</v>
      </c>
      <c r="BD323" s="3">
        <v>45733</v>
      </c>
      <c r="BE323" s="1">
        <v>3.71</v>
      </c>
      <c r="BF323" s="3">
        <v>45751</v>
      </c>
      <c r="BG323" s="1">
        <v>3.645</v>
      </c>
      <c r="BH323" s="3">
        <v>45751</v>
      </c>
      <c r="BI323" s="1">
        <v>3.4750000000000001</v>
      </c>
      <c r="BJ323" s="3">
        <v>45751</v>
      </c>
      <c r="BK323" s="1">
        <v>3.39</v>
      </c>
      <c r="BL323" s="3">
        <v>45751</v>
      </c>
      <c r="BM323" s="1">
        <v>3.2050000000000001</v>
      </c>
      <c r="BN323" s="3">
        <v>45751</v>
      </c>
      <c r="BO323" s="1">
        <v>3.01</v>
      </c>
      <c r="BP323" s="3">
        <v>45751</v>
      </c>
      <c r="BQ323" s="1">
        <v>2.9380000000000002</v>
      </c>
      <c r="BR323" s="3">
        <v>45751</v>
      </c>
      <c r="BS323" s="1">
        <v>2.9449999999999998</v>
      </c>
      <c r="BT323" s="3">
        <v>45751</v>
      </c>
      <c r="BU323" s="1">
        <v>2.96</v>
      </c>
      <c r="BV323" s="3">
        <v>45751</v>
      </c>
      <c r="BW323" s="1">
        <v>2.99</v>
      </c>
      <c r="BY323" s="3">
        <v>45737</v>
      </c>
      <c r="BZ323" s="1">
        <v>6.5</v>
      </c>
      <c r="CA323" s="3">
        <v>45728</v>
      </c>
      <c r="CB323" s="1">
        <v>6.51</v>
      </c>
      <c r="CC323" s="3">
        <v>45751</v>
      </c>
      <c r="CD323" s="1">
        <v>6.5</v>
      </c>
      <c r="CE323" s="3">
        <v>45751</v>
      </c>
      <c r="CF323" s="1">
        <v>6.49</v>
      </c>
      <c r="CG323" s="3">
        <v>45751</v>
      </c>
      <c r="CH323" s="1">
        <v>6.48</v>
      </c>
      <c r="CI323" s="3">
        <v>45751</v>
      </c>
      <c r="CJ323" s="1">
        <v>6.39</v>
      </c>
      <c r="CK323" s="3">
        <v>45751</v>
      </c>
      <c r="CL323" s="1">
        <v>5.99</v>
      </c>
      <c r="CM323" s="3">
        <v>45751</v>
      </c>
      <c r="CN323" s="1">
        <v>5.7450000000000001</v>
      </c>
      <c r="CO323" s="3">
        <v>45744</v>
      </c>
      <c r="CP323" s="1">
        <v>6.15</v>
      </c>
      <c r="CQ323" s="3">
        <v>45744</v>
      </c>
      <c r="CR323" s="1">
        <v>6.1550000000000002</v>
      </c>
      <c r="CS323" s="3">
        <v>45744</v>
      </c>
      <c r="CT323" s="1">
        <v>6.1849999999999996</v>
      </c>
    </row>
    <row r="324" spans="31:98" x14ac:dyDescent="0.2">
      <c r="AE324" s="3">
        <v>45750</v>
      </c>
      <c r="AF324" s="1">
        <v>5.75</v>
      </c>
      <c r="AG324" s="3">
        <v>45730</v>
      </c>
      <c r="AH324" s="1">
        <v>5.86</v>
      </c>
      <c r="AI324" s="3">
        <v>45750</v>
      </c>
      <c r="AJ324" s="2">
        <v>5.65</v>
      </c>
      <c r="AK324" s="3">
        <v>45750</v>
      </c>
      <c r="AL324" s="2">
        <v>5.3330000000000002</v>
      </c>
      <c r="AM324" s="3">
        <v>45750</v>
      </c>
      <c r="AN324" s="2">
        <v>5.1349999999999998</v>
      </c>
      <c r="AO324" s="3">
        <v>45750</v>
      </c>
      <c r="AP324" s="2">
        <v>4.6224999999999996</v>
      </c>
      <c r="AQ324" s="3">
        <v>45750</v>
      </c>
      <c r="AR324" s="2">
        <v>4.21</v>
      </c>
      <c r="AS324" s="3">
        <v>45750</v>
      </c>
      <c r="AT324" s="2">
        <v>3.8975</v>
      </c>
      <c r="AU324" s="3">
        <v>45750</v>
      </c>
      <c r="AV324" s="2">
        <v>3.7174999999999998</v>
      </c>
      <c r="AW324" s="3">
        <v>45750</v>
      </c>
      <c r="AX324" s="2">
        <v>3.68</v>
      </c>
      <c r="AY324" s="3">
        <v>45750</v>
      </c>
      <c r="AZ324" s="2">
        <v>3.6749999999999998</v>
      </c>
      <c r="BB324" s="3">
        <v>45729</v>
      </c>
      <c r="BC324" s="1">
        <v>3.75</v>
      </c>
      <c r="BD324" s="3">
        <v>45730</v>
      </c>
      <c r="BE324" s="1">
        <v>3.71</v>
      </c>
      <c r="BF324" s="3">
        <v>45750</v>
      </c>
      <c r="BG324" s="1">
        <v>3.6549999999999998</v>
      </c>
      <c r="BH324" s="3">
        <v>45750</v>
      </c>
      <c r="BI324" s="1">
        <v>3.5249999999999999</v>
      </c>
      <c r="BJ324" s="3">
        <v>45750</v>
      </c>
      <c r="BK324" s="1">
        <v>3.47</v>
      </c>
      <c r="BL324" s="3">
        <v>45750</v>
      </c>
      <c r="BM324" s="1">
        <v>3.3</v>
      </c>
      <c r="BN324" s="3">
        <v>45750</v>
      </c>
      <c r="BO324" s="1">
        <v>3.14</v>
      </c>
      <c r="BP324" s="3">
        <v>45750</v>
      </c>
      <c r="BQ324" s="1">
        <v>3.06</v>
      </c>
      <c r="BR324" s="3">
        <v>45750</v>
      </c>
      <c r="BS324" s="1">
        <v>3.07</v>
      </c>
      <c r="BT324" s="3">
        <v>45750</v>
      </c>
      <c r="BU324" s="1">
        <v>3.08</v>
      </c>
      <c r="BV324" s="3">
        <v>45750</v>
      </c>
      <c r="BW324" s="1">
        <v>3.1</v>
      </c>
      <c r="BY324" s="3">
        <v>45736</v>
      </c>
      <c r="BZ324" s="1">
        <v>6.5</v>
      </c>
      <c r="CA324" s="3">
        <v>45727</v>
      </c>
      <c r="CB324" s="1">
        <v>6.51</v>
      </c>
      <c r="CC324" s="3">
        <v>45750</v>
      </c>
      <c r="CD324" s="1">
        <v>6.5060000000000002</v>
      </c>
      <c r="CE324" s="3">
        <v>45750</v>
      </c>
      <c r="CF324" s="1">
        <v>6.5110000000000001</v>
      </c>
      <c r="CG324" s="3">
        <v>45750</v>
      </c>
      <c r="CH324" s="1">
        <v>6.51</v>
      </c>
      <c r="CI324" s="3">
        <v>45750</v>
      </c>
      <c r="CJ324" s="1">
        <v>6.46</v>
      </c>
      <c r="CK324" s="3">
        <v>45750</v>
      </c>
      <c r="CL324" s="1">
        <v>6.11</v>
      </c>
      <c r="CM324" s="3">
        <v>45750</v>
      </c>
      <c r="CN324" s="1">
        <v>5.9050000000000002</v>
      </c>
      <c r="CO324" s="3">
        <v>45743</v>
      </c>
      <c r="CP324" s="1">
        <v>6.09</v>
      </c>
      <c r="CQ324" s="3">
        <v>45743</v>
      </c>
      <c r="CR324" s="1">
        <v>6.085</v>
      </c>
      <c r="CS324" s="3">
        <v>45743</v>
      </c>
      <c r="CT324" s="1">
        <v>6.1150000000000002</v>
      </c>
    </row>
    <row r="325" spans="31:98" x14ac:dyDescent="0.2">
      <c r="AE325" s="3">
        <v>45749</v>
      </c>
      <c r="AF325" s="1">
        <v>5.75</v>
      </c>
      <c r="AG325" s="3">
        <v>45729</v>
      </c>
      <c r="AH325" s="1">
        <v>5.85</v>
      </c>
      <c r="AI325" s="3">
        <v>45749</v>
      </c>
      <c r="AJ325" s="2">
        <v>5.7770000000000001</v>
      </c>
      <c r="AK325" s="3">
        <v>45749</v>
      </c>
      <c r="AL325" s="2">
        <v>5.6574999999999998</v>
      </c>
      <c r="AM325" s="3">
        <v>45749</v>
      </c>
      <c r="AN325" s="2">
        <v>5.5250000000000004</v>
      </c>
      <c r="AO325" s="3">
        <v>45749</v>
      </c>
      <c r="AP325" s="2">
        <v>4.99</v>
      </c>
      <c r="AQ325" s="3">
        <v>45749</v>
      </c>
      <c r="AR325" s="2">
        <v>4.5999999999999996</v>
      </c>
      <c r="AS325" s="3">
        <v>45749</v>
      </c>
      <c r="AT325" s="2">
        <v>4.33</v>
      </c>
      <c r="AU325" s="3">
        <v>45749</v>
      </c>
      <c r="AV325" s="2">
        <v>4.16</v>
      </c>
      <c r="AW325" s="3">
        <v>45749</v>
      </c>
      <c r="AX325" s="2">
        <v>4.1050000000000004</v>
      </c>
      <c r="AY325" s="3">
        <v>45749</v>
      </c>
      <c r="AZ325" s="2">
        <v>4.07</v>
      </c>
      <c r="BB325" s="3">
        <v>45728</v>
      </c>
      <c r="BC325" s="1">
        <v>3.75</v>
      </c>
      <c r="BD325" s="3">
        <v>45729</v>
      </c>
      <c r="BE325" s="1">
        <v>3.71</v>
      </c>
      <c r="BF325" s="3">
        <v>45749</v>
      </c>
      <c r="BG325" s="1">
        <v>3.67</v>
      </c>
      <c r="BH325" s="3">
        <v>45749</v>
      </c>
      <c r="BI325" s="1">
        <v>3.55</v>
      </c>
      <c r="BJ325" s="3">
        <v>45749</v>
      </c>
      <c r="BK325" s="1">
        <v>3.52</v>
      </c>
      <c r="BL325" s="3">
        <v>45749</v>
      </c>
      <c r="BM325" s="1">
        <v>3.403</v>
      </c>
      <c r="BN325" s="3">
        <v>45749</v>
      </c>
      <c r="BO325" s="1">
        <v>3.3130000000000002</v>
      </c>
      <c r="BP325" s="3">
        <v>45749</v>
      </c>
      <c r="BQ325" s="1">
        <v>3.25</v>
      </c>
      <c r="BR325" s="3">
        <v>45749</v>
      </c>
      <c r="BS325" s="1">
        <v>3.2650000000000001</v>
      </c>
      <c r="BT325" s="3">
        <v>45749</v>
      </c>
      <c r="BU325" s="1">
        <v>3.2850000000000001</v>
      </c>
      <c r="BV325" s="3">
        <v>45749</v>
      </c>
      <c r="BW325" s="1">
        <v>3.3079999999999998</v>
      </c>
      <c r="BY325" s="3">
        <v>45735</v>
      </c>
      <c r="BZ325" s="1">
        <v>6.5</v>
      </c>
      <c r="CA325" s="3">
        <v>45726</v>
      </c>
      <c r="CB325" s="1">
        <v>6.5</v>
      </c>
      <c r="CC325" s="3">
        <v>45749</v>
      </c>
      <c r="CD325" s="1">
        <v>6.5510000000000002</v>
      </c>
      <c r="CE325" s="3">
        <v>45749</v>
      </c>
      <c r="CF325" s="1">
        <v>6.5739999999999998</v>
      </c>
      <c r="CG325" s="3">
        <v>45749</v>
      </c>
      <c r="CH325" s="1">
        <v>6.58</v>
      </c>
      <c r="CI325" s="3">
        <v>45749</v>
      </c>
      <c r="CJ325" s="1">
        <v>6.55</v>
      </c>
      <c r="CK325" s="3">
        <v>45749</v>
      </c>
      <c r="CL325" s="1">
        <v>6.31</v>
      </c>
      <c r="CM325" s="3">
        <v>45749</v>
      </c>
      <c r="CN325" s="1">
        <v>6.1050000000000004</v>
      </c>
      <c r="CO325" s="3">
        <v>45742</v>
      </c>
      <c r="CP325" s="1">
        <v>6.0250000000000004</v>
      </c>
      <c r="CQ325" s="3">
        <v>45742</v>
      </c>
      <c r="CR325" s="1">
        <v>6.02</v>
      </c>
      <c r="CS325" s="3">
        <v>45742</v>
      </c>
      <c r="CT325" s="1">
        <v>6.05</v>
      </c>
    </row>
    <row r="326" spans="31:98" x14ac:dyDescent="0.2">
      <c r="AE326" s="3">
        <v>45748</v>
      </c>
      <c r="AF326" s="1">
        <v>5.75</v>
      </c>
      <c r="AG326" s="3">
        <v>45728</v>
      </c>
      <c r="AH326" s="1">
        <v>5.85</v>
      </c>
      <c r="AI326" s="3">
        <v>45748</v>
      </c>
      <c r="AJ326" s="2">
        <v>5.7655000000000003</v>
      </c>
      <c r="AK326" s="3">
        <v>45748</v>
      </c>
      <c r="AL326" s="2">
        <v>5.6574999999999998</v>
      </c>
      <c r="AM326" s="3">
        <v>45748</v>
      </c>
      <c r="AN326" s="2">
        <v>5.5324999999999998</v>
      </c>
      <c r="AO326" s="3">
        <v>45748</v>
      </c>
      <c r="AP326" s="2">
        <v>4.99</v>
      </c>
      <c r="AQ326" s="3">
        <v>45748</v>
      </c>
      <c r="AR326" s="2">
        <v>4.5925000000000002</v>
      </c>
      <c r="AS326" s="3">
        <v>45748</v>
      </c>
      <c r="AT326" s="2">
        <v>4.3174999999999999</v>
      </c>
      <c r="AU326" s="3">
        <v>45748</v>
      </c>
      <c r="AV326" s="2">
        <v>4.1399999999999997</v>
      </c>
      <c r="AW326" s="3">
        <v>45748</v>
      </c>
      <c r="AX326" s="2">
        <v>4.085</v>
      </c>
      <c r="AY326" s="3">
        <v>45748</v>
      </c>
      <c r="AZ326" s="2">
        <v>4.0549999999999997</v>
      </c>
      <c r="BB326" s="3">
        <v>45727</v>
      </c>
      <c r="BC326" s="1">
        <v>3.75</v>
      </c>
      <c r="BD326" s="3">
        <v>45728</v>
      </c>
      <c r="BE326" s="1">
        <v>3.71</v>
      </c>
      <c r="BF326" s="3">
        <v>45748</v>
      </c>
      <c r="BG326" s="1">
        <v>3.68</v>
      </c>
      <c r="BH326" s="3">
        <v>45748</v>
      </c>
      <c r="BI326" s="1">
        <v>3.56</v>
      </c>
      <c r="BJ326" s="3">
        <v>45748</v>
      </c>
      <c r="BK326" s="1">
        <v>3.5249999999999999</v>
      </c>
      <c r="BL326" s="3">
        <v>45748</v>
      </c>
      <c r="BM326" s="1">
        <v>3.39</v>
      </c>
      <c r="BN326" s="3">
        <v>45748</v>
      </c>
      <c r="BO326" s="1">
        <v>3.28</v>
      </c>
      <c r="BP326" s="3">
        <v>45748</v>
      </c>
      <c r="BQ326" s="1">
        <v>3.21</v>
      </c>
      <c r="BR326" s="3">
        <v>45748</v>
      </c>
      <c r="BS326" s="1">
        <v>3.2229999999999999</v>
      </c>
      <c r="BT326" s="3">
        <v>45748</v>
      </c>
      <c r="BU326" s="1">
        <v>3.24</v>
      </c>
      <c r="BV326" s="3">
        <v>45748</v>
      </c>
      <c r="BW326" s="1">
        <v>3.2629999999999999</v>
      </c>
      <c r="BY326" s="3">
        <v>45734</v>
      </c>
      <c r="BZ326" s="1">
        <v>6.5</v>
      </c>
      <c r="CA326" s="3">
        <v>45723</v>
      </c>
      <c r="CB326" s="1">
        <v>6.5</v>
      </c>
      <c r="CC326" s="3">
        <v>45748</v>
      </c>
      <c r="CD326" s="1">
        <v>6.5679999999999996</v>
      </c>
      <c r="CE326" s="3">
        <v>45748</v>
      </c>
      <c r="CF326" s="1">
        <v>6.6050000000000004</v>
      </c>
      <c r="CG326" s="3">
        <v>45748</v>
      </c>
      <c r="CH326" s="1">
        <v>6.6</v>
      </c>
      <c r="CI326" s="3">
        <v>45748</v>
      </c>
      <c r="CJ326" s="1">
        <v>6.55</v>
      </c>
      <c r="CK326" s="3">
        <v>45748</v>
      </c>
      <c r="CL326" s="1">
        <v>6.32</v>
      </c>
      <c r="CM326" s="3">
        <v>45748</v>
      </c>
      <c r="CN326" s="1">
        <v>6.1150000000000002</v>
      </c>
      <c r="CO326" s="3">
        <v>45741</v>
      </c>
      <c r="CP326" s="1">
        <v>6.0049999999999999</v>
      </c>
      <c r="CQ326" s="3">
        <v>45741</v>
      </c>
      <c r="CR326" s="1">
        <v>6</v>
      </c>
      <c r="CS326" s="3">
        <v>45741</v>
      </c>
      <c r="CT326" s="1">
        <v>6.03</v>
      </c>
    </row>
    <row r="327" spans="31:98" x14ac:dyDescent="0.2">
      <c r="AE327" s="3">
        <v>45747</v>
      </c>
      <c r="AF327" s="1">
        <v>5.75</v>
      </c>
      <c r="AG327" s="3">
        <v>45727</v>
      </c>
      <c r="AH327" s="1">
        <v>5.84</v>
      </c>
      <c r="AI327" s="3">
        <v>45747</v>
      </c>
      <c r="AJ327" s="2">
        <v>5.7830000000000004</v>
      </c>
      <c r="AK327" s="3">
        <v>45747</v>
      </c>
      <c r="AL327" s="2">
        <v>5.6950000000000003</v>
      </c>
      <c r="AM327" s="3">
        <v>45747</v>
      </c>
      <c r="AN327" s="2">
        <v>5.58</v>
      </c>
      <c r="AO327" s="3">
        <v>45747</v>
      </c>
      <c r="AP327" s="2">
        <v>5.04</v>
      </c>
      <c r="AQ327" s="3">
        <v>45747</v>
      </c>
      <c r="AR327" s="2">
        <v>4.6500000000000004</v>
      </c>
      <c r="AS327" s="3">
        <v>45747</v>
      </c>
      <c r="AT327" s="2">
        <v>4.37</v>
      </c>
      <c r="AU327" s="3">
        <v>45747</v>
      </c>
      <c r="AV327" s="2">
        <v>4.18</v>
      </c>
      <c r="AW327" s="3">
        <v>45747</v>
      </c>
      <c r="AX327" s="2">
        <v>4.13</v>
      </c>
      <c r="AY327" s="3">
        <v>45747</v>
      </c>
      <c r="AZ327" s="2">
        <v>4.0949999999999998</v>
      </c>
      <c r="BB327" s="3">
        <v>45726</v>
      </c>
      <c r="BC327" s="1">
        <v>3.75</v>
      </c>
      <c r="BD327" s="3">
        <v>45727</v>
      </c>
      <c r="BE327" s="1">
        <v>3.71</v>
      </c>
      <c r="BF327" s="3">
        <v>45747</v>
      </c>
      <c r="BG327" s="1">
        <v>3.6850000000000001</v>
      </c>
      <c r="BH327" s="3">
        <v>45747</v>
      </c>
      <c r="BI327" s="1">
        <v>3.56</v>
      </c>
      <c r="BJ327" s="3">
        <v>45747</v>
      </c>
      <c r="BK327" s="1">
        <v>3.52</v>
      </c>
      <c r="BL327" s="3">
        <v>45747</v>
      </c>
      <c r="BM327" s="1">
        <v>3.415</v>
      </c>
      <c r="BN327" s="3">
        <v>45747</v>
      </c>
      <c r="BO327" s="1">
        <v>3.3330000000000002</v>
      </c>
      <c r="BP327" s="3">
        <v>45747</v>
      </c>
      <c r="BQ327" s="1">
        <v>3.278</v>
      </c>
      <c r="BR327" s="3">
        <v>45747</v>
      </c>
      <c r="BS327" s="1">
        <v>3.29</v>
      </c>
      <c r="BT327" s="3">
        <v>45747</v>
      </c>
      <c r="BU327" s="1">
        <v>3.31</v>
      </c>
      <c r="BV327" s="3">
        <v>45747</v>
      </c>
      <c r="BW327" s="1">
        <v>3.34</v>
      </c>
      <c r="BY327" s="3">
        <v>45733</v>
      </c>
      <c r="BZ327" s="1">
        <v>6.5</v>
      </c>
      <c r="CA327" s="3">
        <v>45722</v>
      </c>
      <c r="CB327" s="1">
        <v>6.5</v>
      </c>
      <c r="CC327" s="3">
        <v>45747</v>
      </c>
      <c r="CD327" s="1">
        <v>6.5880000000000001</v>
      </c>
      <c r="CE327" s="3">
        <v>45747</v>
      </c>
      <c r="CF327" s="1">
        <v>6.6360000000000001</v>
      </c>
      <c r="CG327" s="3">
        <v>45747</v>
      </c>
      <c r="CH327" s="1">
        <v>6.64</v>
      </c>
      <c r="CI327" s="3">
        <v>45747</v>
      </c>
      <c r="CJ327" s="1">
        <v>6.63</v>
      </c>
      <c r="CK327" s="3">
        <v>45747</v>
      </c>
      <c r="CL327" s="1">
        <v>6.41</v>
      </c>
      <c r="CM327" s="3">
        <v>45747</v>
      </c>
      <c r="CN327" s="1">
        <v>6.1849999999999996</v>
      </c>
      <c r="CO327" s="3">
        <v>45740</v>
      </c>
      <c r="CP327" s="1">
        <v>6.125</v>
      </c>
      <c r="CQ327" s="3">
        <v>45740</v>
      </c>
      <c r="CR327" s="1">
        <v>6.14</v>
      </c>
      <c r="CS327" s="3">
        <v>45740</v>
      </c>
      <c r="CT327" s="1">
        <v>6.17</v>
      </c>
    </row>
    <row r="328" spans="31:98" x14ac:dyDescent="0.2">
      <c r="AE328" s="3">
        <v>45744</v>
      </c>
      <c r="AF328" s="1">
        <v>5.75</v>
      </c>
      <c r="AG328" s="3">
        <v>45726</v>
      </c>
      <c r="AH328" s="1">
        <v>5.85</v>
      </c>
      <c r="AI328" s="3">
        <v>45744</v>
      </c>
      <c r="AJ328" s="2">
        <v>5.8108000000000004</v>
      </c>
      <c r="AK328" s="3">
        <v>45744</v>
      </c>
      <c r="AL328" s="2">
        <v>5.74</v>
      </c>
      <c r="AM328" s="3">
        <v>45744</v>
      </c>
      <c r="AN328" s="2">
        <v>5.64</v>
      </c>
      <c r="AO328" s="3">
        <v>45744</v>
      </c>
      <c r="AP328" s="2">
        <v>5.0999999999999996</v>
      </c>
      <c r="AQ328" s="3">
        <v>45744</v>
      </c>
      <c r="AR328" s="2">
        <v>4.7149999999999999</v>
      </c>
      <c r="AS328" s="3">
        <v>45744</v>
      </c>
      <c r="AT328" s="2">
        <v>4.4400000000000004</v>
      </c>
      <c r="AU328" s="3">
        <v>45744</v>
      </c>
      <c r="AV328" s="2">
        <v>4.2850000000000001</v>
      </c>
      <c r="AW328" s="3">
        <v>45744</v>
      </c>
      <c r="AX328" s="2">
        <v>4.2300000000000004</v>
      </c>
      <c r="AY328" s="3">
        <v>45744</v>
      </c>
      <c r="AZ328" s="2">
        <v>4.1900000000000004</v>
      </c>
      <c r="BB328" s="3">
        <v>45723</v>
      </c>
      <c r="BC328" s="1">
        <v>3.75</v>
      </c>
      <c r="BD328" s="3">
        <v>45726</v>
      </c>
      <c r="BE328" s="1">
        <v>3.72</v>
      </c>
      <c r="BF328" s="3">
        <v>45744</v>
      </c>
      <c r="BG328" s="1">
        <v>3.6949999999999998</v>
      </c>
      <c r="BH328" s="3">
        <v>45744</v>
      </c>
      <c r="BI328" s="1">
        <v>3.5649999999999999</v>
      </c>
      <c r="BJ328" s="3">
        <v>45744</v>
      </c>
      <c r="BK328" s="1">
        <v>3.52</v>
      </c>
      <c r="BL328" s="3">
        <v>45744</v>
      </c>
      <c r="BM328" s="1">
        <v>3.43</v>
      </c>
      <c r="BN328" s="3">
        <v>45744</v>
      </c>
      <c r="BO328" s="1">
        <v>3.3580000000000001</v>
      </c>
      <c r="BP328" s="3">
        <v>45744</v>
      </c>
      <c r="BQ328" s="1">
        <v>3.32</v>
      </c>
      <c r="BR328" s="3">
        <v>45744</v>
      </c>
      <c r="BS328" s="1">
        <v>3.3380000000000001</v>
      </c>
      <c r="BT328" s="3">
        <v>45744</v>
      </c>
      <c r="BU328" s="1">
        <v>3.36</v>
      </c>
      <c r="BV328" s="3">
        <v>45744</v>
      </c>
      <c r="BW328" s="1">
        <v>3.39</v>
      </c>
      <c r="BY328" s="3">
        <v>45730</v>
      </c>
      <c r="BZ328" s="1">
        <v>6.5</v>
      </c>
      <c r="CA328" s="3">
        <v>45721</v>
      </c>
      <c r="CB328" s="1">
        <v>6.5</v>
      </c>
      <c r="CC328" s="3">
        <v>45744</v>
      </c>
      <c r="CD328" s="1">
        <v>6.5789999999999997</v>
      </c>
      <c r="CE328" s="3">
        <v>45744</v>
      </c>
      <c r="CF328" s="1">
        <v>6.6289999999999996</v>
      </c>
      <c r="CG328" s="3">
        <v>45744</v>
      </c>
      <c r="CH328" s="1">
        <v>6.62</v>
      </c>
      <c r="CI328" s="3">
        <v>45744</v>
      </c>
      <c r="CJ328" s="1">
        <v>6.61</v>
      </c>
      <c r="CK328" s="3">
        <v>45744</v>
      </c>
      <c r="CL328" s="1">
        <v>6.38</v>
      </c>
      <c r="CM328" s="3">
        <v>45744</v>
      </c>
      <c r="CN328" s="1">
        <v>6.1950000000000003</v>
      </c>
      <c r="CO328" s="3">
        <v>45737</v>
      </c>
      <c r="CP328" s="1">
        <v>6.125</v>
      </c>
      <c r="CQ328" s="3">
        <v>45737</v>
      </c>
      <c r="CR328" s="1">
        <v>6.14</v>
      </c>
      <c r="CS328" s="3">
        <v>45737</v>
      </c>
      <c r="CT328" s="1">
        <v>6.17</v>
      </c>
    </row>
    <row r="329" spans="31:98" x14ac:dyDescent="0.2">
      <c r="AE329" s="3">
        <v>45743</v>
      </c>
      <c r="AF329" s="1">
        <v>5.75</v>
      </c>
      <c r="AG329" s="3">
        <v>45723</v>
      </c>
      <c r="AH329" s="1">
        <v>5.85</v>
      </c>
      <c r="AI329" s="3">
        <v>45743</v>
      </c>
      <c r="AJ329" s="2">
        <v>5.8109999999999999</v>
      </c>
      <c r="AK329" s="3">
        <v>45743</v>
      </c>
      <c r="AL329" s="2">
        <v>5.74</v>
      </c>
      <c r="AM329" s="3">
        <v>45743</v>
      </c>
      <c r="AN329" s="2">
        <v>5.6325000000000003</v>
      </c>
      <c r="AO329" s="3">
        <v>45743</v>
      </c>
      <c r="AP329" s="2">
        <v>5.0999999999999996</v>
      </c>
      <c r="AQ329" s="3">
        <v>45743</v>
      </c>
      <c r="AR329" s="2">
        <v>4.7125000000000004</v>
      </c>
      <c r="AS329" s="3">
        <v>45743</v>
      </c>
      <c r="AT329" s="2">
        <v>4.45</v>
      </c>
      <c r="AU329" s="3">
        <v>45743</v>
      </c>
      <c r="AV329" s="2">
        <v>4.2925000000000004</v>
      </c>
      <c r="AW329" s="3">
        <v>45743</v>
      </c>
      <c r="AX329" s="2">
        <v>4.2324999999999999</v>
      </c>
      <c r="AY329" s="3">
        <v>45743</v>
      </c>
      <c r="AZ329" s="2">
        <v>4.2074999999999996</v>
      </c>
      <c r="BB329" s="3">
        <v>45722</v>
      </c>
      <c r="BC329" s="1">
        <v>3.75</v>
      </c>
      <c r="BD329" s="3">
        <v>45723</v>
      </c>
      <c r="BE329" s="1">
        <v>3.72</v>
      </c>
      <c r="BF329" s="3">
        <v>45743</v>
      </c>
      <c r="BG329" s="1">
        <v>3.69</v>
      </c>
      <c r="BH329" s="3">
        <v>45743</v>
      </c>
      <c r="BI329" s="1">
        <v>3.56</v>
      </c>
      <c r="BJ329" s="3">
        <v>45743</v>
      </c>
      <c r="BK329" s="1">
        <v>3.528</v>
      </c>
      <c r="BL329" s="3">
        <v>45743</v>
      </c>
      <c r="BM329" s="1">
        <v>3.45</v>
      </c>
      <c r="BN329" s="3">
        <v>45743</v>
      </c>
      <c r="BO329" s="1">
        <v>3.375</v>
      </c>
      <c r="BP329" s="3">
        <v>45743</v>
      </c>
      <c r="BQ329" s="1">
        <v>3.3530000000000002</v>
      </c>
      <c r="BR329" s="3">
        <v>45743</v>
      </c>
      <c r="BS329" s="1">
        <v>3.375</v>
      </c>
      <c r="BT329" s="3">
        <v>45743</v>
      </c>
      <c r="BU329" s="1">
        <v>3.3980000000000001</v>
      </c>
      <c r="BV329" s="3">
        <v>45743</v>
      </c>
      <c r="BW329" s="1">
        <v>3.4380000000000002</v>
      </c>
      <c r="BY329" s="3">
        <v>45729</v>
      </c>
      <c r="BZ329" s="1">
        <v>6.5</v>
      </c>
      <c r="CA329" s="3">
        <v>45720</v>
      </c>
      <c r="CB329" s="1">
        <v>6.5</v>
      </c>
      <c r="CC329" s="3">
        <v>45743</v>
      </c>
      <c r="CD329" s="1">
        <v>6.5629999999999997</v>
      </c>
      <c r="CE329" s="3">
        <v>45743</v>
      </c>
      <c r="CF329" s="1">
        <v>6.5750000000000002</v>
      </c>
      <c r="CG329" s="3">
        <v>45743</v>
      </c>
      <c r="CH329" s="1">
        <v>6.59</v>
      </c>
      <c r="CI329" s="3">
        <v>45743</v>
      </c>
      <c r="CJ329" s="1">
        <v>6.57</v>
      </c>
      <c r="CK329" s="3">
        <v>45743</v>
      </c>
      <c r="CL329" s="1">
        <v>6.36</v>
      </c>
      <c r="CM329" s="3">
        <v>45743</v>
      </c>
      <c r="CN329" s="1">
        <v>6.15</v>
      </c>
      <c r="CO329" s="3">
        <v>45736</v>
      </c>
      <c r="CP329" s="1">
        <v>6.0350000000000001</v>
      </c>
      <c r="CQ329" s="3">
        <v>45736</v>
      </c>
      <c r="CR329" s="1">
        <v>6.04</v>
      </c>
      <c r="CS329" s="3">
        <v>45736</v>
      </c>
      <c r="CT329" s="1">
        <v>6.0650000000000004</v>
      </c>
    </row>
    <row r="330" spans="31:98" x14ac:dyDescent="0.2">
      <c r="AE330" s="3">
        <v>45742</v>
      </c>
      <c r="AF330" s="1">
        <v>5.75</v>
      </c>
      <c r="AG330" s="3">
        <v>45722</v>
      </c>
      <c r="AH330" s="1">
        <v>5.85</v>
      </c>
      <c r="AI330" s="3">
        <v>45742</v>
      </c>
      <c r="AJ330" s="2">
        <v>5.7990000000000004</v>
      </c>
      <c r="AK330" s="3">
        <v>45742</v>
      </c>
      <c r="AL330" s="2">
        <v>5.7249999999999996</v>
      </c>
      <c r="AM330" s="3">
        <v>45742</v>
      </c>
      <c r="AN330" s="2">
        <v>5.5949999999999998</v>
      </c>
      <c r="AO330" s="3">
        <v>45742</v>
      </c>
      <c r="AP330" s="2">
        <v>5.0350000000000001</v>
      </c>
      <c r="AQ330" s="3">
        <v>45742</v>
      </c>
      <c r="AR330" s="2">
        <v>4.6449999999999996</v>
      </c>
      <c r="AS330" s="3">
        <v>45742</v>
      </c>
      <c r="AT330" s="2">
        <v>4.375</v>
      </c>
      <c r="AU330" s="3">
        <v>45742</v>
      </c>
      <c r="AV330" s="2">
        <v>4.2300000000000004</v>
      </c>
      <c r="AW330" s="3">
        <v>45742</v>
      </c>
      <c r="AX330" s="2">
        <v>4.18</v>
      </c>
      <c r="AY330" s="3">
        <v>45742</v>
      </c>
      <c r="AZ330" s="2">
        <v>4.16</v>
      </c>
      <c r="BB330" s="3">
        <v>45721</v>
      </c>
      <c r="BC330" s="1">
        <v>3.75</v>
      </c>
      <c r="BD330" s="3">
        <v>45722</v>
      </c>
      <c r="BE330" s="1">
        <v>3.72</v>
      </c>
      <c r="BF330" s="3">
        <v>45742</v>
      </c>
      <c r="BG330" s="1">
        <v>3.69</v>
      </c>
      <c r="BH330" s="3">
        <v>45742</v>
      </c>
      <c r="BI330" s="1">
        <v>3.56</v>
      </c>
      <c r="BJ330" s="3">
        <v>45742</v>
      </c>
      <c r="BK330" s="1">
        <v>3.52</v>
      </c>
      <c r="BL330" s="3">
        <v>45742</v>
      </c>
      <c r="BM330" s="1">
        <v>3.44</v>
      </c>
      <c r="BN330" s="3">
        <v>45742</v>
      </c>
      <c r="BO330" s="1">
        <v>3.36</v>
      </c>
      <c r="BP330" s="3">
        <v>45742</v>
      </c>
      <c r="BQ330" s="1">
        <v>3.34</v>
      </c>
      <c r="BR330" s="3">
        <v>45742</v>
      </c>
      <c r="BS330" s="1">
        <v>3.36</v>
      </c>
      <c r="BT330" s="3">
        <v>45742</v>
      </c>
      <c r="BU330" s="1">
        <v>3.39</v>
      </c>
      <c r="BV330" s="3">
        <v>45742</v>
      </c>
      <c r="BW330" s="1">
        <v>3.43</v>
      </c>
      <c r="BY330" s="3">
        <v>45728</v>
      </c>
      <c r="BZ330" s="1">
        <v>6.5</v>
      </c>
      <c r="CA330" s="3">
        <v>45719</v>
      </c>
      <c r="CB330" s="1">
        <v>6.5</v>
      </c>
      <c r="CC330" s="3">
        <v>45742</v>
      </c>
      <c r="CD330" s="1">
        <v>6.55</v>
      </c>
      <c r="CE330" s="3">
        <v>45742</v>
      </c>
      <c r="CF330" s="1">
        <v>6.57</v>
      </c>
      <c r="CG330" s="3">
        <v>45742</v>
      </c>
      <c r="CH330" s="1">
        <v>6.57</v>
      </c>
      <c r="CI330" s="3">
        <v>45742</v>
      </c>
      <c r="CJ330" s="1">
        <v>6.53</v>
      </c>
      <c r="CK330" s="3">
        <v>45742</v>
      </c>
      <c r="CL330" s="1">
        <v>6.3</v>
      </c>
      <c r="CM330" s="3">
        <v>45742</v>
      </c>
      <c r="CN330" s="1">
        <v>6.085</v>
      </c>
      <c r="CO330" s="3">
        <v>45735</v>
      </c>
      <c r="CP330" s="1">
        <v>6.0650000000000004</v>
      </c>
      <c r="CQ330" s="3">
        <v>45735</v>
      </c>
      <c r="CR330" s="1">
        <v>6.07</v>
      </c>
      <c r="CS330" s="3">
        <v>45735</v>
      </c>
      <c r="CT330" s="1">
        <v>6.0949999999999998</v>
      </c>
    </row>
    <row r="331" spans="31:98" x14ac:dyDescent="0.2">
      <c r="AE331" s="3">
        <v>45741</v>
      </c>
      <c r="AF331" s="1">
        <v>5.75</v>
      </c>
      <c r="AG331" s="3">
        <v>45721</v>
      </c>
      <c r="AH331" s="1">
        <v>5.86</v>
      </c>
      <c r="AI331" s="3">
        <v>45741</v>
      </c>
      <c r="AJ331" s="2">
        <v>5.7910000000000004</v>
      </c>
      <c r="AK331" s="3">
        <v>45741</v>
      </c>
      <c r="AL331" s="2">
        <v>5.72</v>
      </c>
      <c r="AM331" s="3">
        <v>45741</v>
      </c>
      <c r="AN331" s="2">
        <v>5.58</v>
      </c>
      <c r="AO331" s="3">
        <v>45741</v>
      </c>
      <c r="AP331" s="2">
        <v>5</v>
      </c>
      <c r="AQ331" s="3">
        <v>45741</v>
      </c>
      <c r="AR331" s="2">
        <v>4.63</v>
      </c>
      <c r="AS331" s="3">
        <v>45741</v>
      </c>
      <c r="AT331" s="2">
        <v>4.3775000000000004</v>
      </c>
      <c r="AU331" s="3">
        <v>45741</v>
      </c>
      <c r="AV331" s="2">
        <v>4.2374999999999998</v>
      </c>
      <c r="AW331" s="3">
        <v>45741</v>
      </c>
      <c r="AX331" s="2">
        <v>4.1924999999999999</v>
      </c>
      <c r="AY331" s="3">
        <v>45741</v>
      </c>
      <c r="AZ331" s="2">
        <v>4.1725000000000003</v>
      </c>
      <c r="BB331" s="3">
        <v>45720</v>
      </c>
      <c r="BC331" s="1">
        <v>3.75</v>
      </c>
      <c r="BD331" s="3">
        <v>45721</v>
      </c>
      <c r="BE331" s="1">
        <v>3.72</v>
      </c>
      <c r="BF331" s="3">
        <v>45741</v>
      </c>
      <c r="BG331" s="1">
        <v>3.6949999999999998</v>
      </c>
      <c r="BH331" s="3">
        <v>45741</v>
      </c>
      <c r="BI331" s="1">
        <v>3.5630000000000002</v>
      </c>
      <c r="BJ331" s="3">
        <v>45741</v>
      </c>
      <c r="BK331" s="1">
        <v>3.5449999999999999</v>
      </c>
      <c r="BL331" s="3">
        <v>45741</v>
      </c>
      <c r="BM331" s="1">
        <v>3.415</v>
      </c>
      <c r="BN331" s="3">
        <v>45741</v>
      </c>
      <c r="BO331" s="1">
        <v>3.3330000000000002</v>
      </c>
      <c r="BP331" s="3">
        <v>45741</v>
      </c>
      <c r="BQ331" s="1">
        <v>3.323</v>
      </c>
      <c r="BR331" s="3">
        <v>45741</v>
      </c>
      <c r="BS331" s="1">
        <v>3.3479999999999999</v>
      </c>
      <c r="BT331" s="3">
        <v>45741</v>
      </c>
      <c r="BU331" s="1">
        <v>3.3780000000000001</v>
      </c>
      <c r="BV331" s="3">
        <v>45741</v>
      </c>
      <c r="BW331" s="1">
        <v>3.4249999999999998</v>
      </c>
      <c r="BY331" s="3">
        <v>45727</v>
      </c>
      <c r="BZ331" s="1">
        <v>6.5</v>
      </c>
      <c r="CA331" s="3">
        <v>45716</v>
      </c>
      <c r="CB331" s="1">
        <v>6.5</v>
      </c>
      <c r="CC331" s="3">
        <v>45741</v>
      </c>
      <c r="CD331" s="1">
        <v>6.55</v>
      </c>
      <c r="CE331" s="3">
        <v>45741</v>
      </c>
      <c r="CF331" s="1">
        <v>6.5590000000000002</v>
      </c>
      <c r="CG331" s="3">
        <v>45741</v>
      </c>
      <c r="CH331" s="1">
        <v>6.55</v>
      </c>
      <c r="CI331" s="3">
        <v>45741</v>
      </c>
      <c r="CJ331" s="1">
        <v>6.5</v>
      </c>
      <c r="CK331" s="3">
        <v>45741</v>
      </c>
      <c r="CL331" s="1">
        <v>6.24</v>
      </c>
      <c r="CM331" s="3">
        <v>45741</v>
      </c>
      <c r="CN331" s="1">
        <v>6.05</v>
      </c>
      <c r="CO331" s="3">
        <v>45734</v>
      </c>
      <c r="CP331" s="1">
        <v>5.98</v>
      </c>
      <c r="CQ331" s="3">
        <v>45734</v>
      </c>
      <c r="CR331" s="1">
        <v>5.9649999999999999</v>
      </c>
      <c r="CS331" s="3">
        <v>45734</v>
      </c>
      <c r="CT331" s="1">
        <v>5.99</v>
      </c>
    </row>
    <row r="332" spans="31:98" x14ac:dyDescent="0.2">
      <c r="AE332" s="3">
        <v>45740</v>
      </c>
      <c r="AF332" s="1">
        <v>5.75</v>
      </c>
      <c r="AG332" s="3">
        <v>45720</v>
      </c>
      <c r="AH332" s="1">
        <v>5.86</v>
      </c>
      <c r="AI332" s="3">
        <v>45740</v>
      </c>
      <c r="AJ332" s="2">
        <v>5.79</v>
      </c>
      <c r="AK332" s="3">
        <v>45740</v>
      </c>
      <c r="AL332" s="2">
        <v>5.7249999999999996</v>
      </c>
      <c r="AM332" s="3">
        <v>45740</v>
      </c>
      <c r="AN332" s="2">
        <v>5.585</v>
      </c>
      <c r="AO332" s="3">
        <v>45740</v>
      </c>
      <c r="AP332" s="2">
        <v>5.0250000000000004</v>
      </c>
      <c r="AQ332" s="3">
        <v>45740</v>
      </c>
      <c r="AR332" s="2">
        <v>4.6574999999999998</v>
      </c>
      <c r="AS332" s="3">
        <v>45740</v>
      </c>
      <c r="AT332" s="2">
        <v>4.4024999999999999</v>
      </c>
      <c r="AU332" s="3">
        <v>45740</v>
      </c>
      <c r="AV332" s="2">
        <v>4.2625000000000002</v>
      </c>
      <c r="AW332" s="3">
        <v>45740</v>
      </c>
      <c r="AX332" s="2">
        <v>4.2175000000000002</v>
      </c>
      <c r="AY332" s="3">
        <v>45740</v>
      </c>
      <c r="AZ332" s="2">
        <v>4.2024999999999997</v>
      </c>
      <c r="BB332" s="3">
        <v>45719</v>
      </c>
      <c r="BC332" s="1">
        <v>3.75</v>
      </c>
      <c r="BD332" s="3">
        <v>45720</v>
      </c>
      <c r="BE332" s="1">
        <v>3.73</v>
      </c>
      <c r="BF332" s="3">
        <v>45740</v>
      </c>
      <c r="BG332" s="1">
        <v>3.69</v>
      </c>
      <c r="BH332" s="3">
        <v>45740</v>
      </c>
      <c r="BI332" s="1">
        <v>3.5649999999999999</v>
      </c>
      <c r="BJ332" s="3">
        <v>45740</v>
      </c>
      <c r="BK332" s="1">
        <v>3.55</v>
      </c>
      <c r="BL332" s="3">
        <v>45740</v>
      </c>
      <c r="BM332" s="1">
        <v>3.4449999999999998</v>
      </c>
      <c r="BN332" s="3">
        <v>45740</v>
      </c>
      <c r="BO332" s="1">
        <v>3.35</v>
      </c>
      <c r="BP332" s="3">
        <v>45740</v>
      </c>
      <c r="BQ332" s="1">
        <v>3.3180000000000001</v>
      </c>
      <c r="BR332" s="3">
        <v>45740</v>
      </c>
      <c r="BS332" s="1">
        <v>3.3450000000000002</v>
      </c>
      <c r="BT332" s="3">
        <v>45740</v>
      </c>
      <c r="BU332" s="1">
        <v>3.375</v>
      </c>
      <c r="BV332" s="3">
        <v>45740</v>
      </c>
      <c r="BW332" s="1">
        <v>3.41</v>
      </c>
      <c r="BY332" s="3">
        <v>45726</v>
      </c>
      <c r="BZ332" s="1">
        <v>6.5</v>
      </c>
      <c r="CA332" s="3">
        <v>45715</v>
      </c>
      <c r="CB332" s="1">
        <v>6.5</v>
      </c>
      <c r="CC332" s="3">
        <v>45740</v>
      </c>
      <c r="CD332" s="1">
        <v>6.58</v>
      </c>
      <c r="CE332" s="3">
        <v>45740</v>
      </c>
      <c r="CF332" s="1">
        <v>6.61</v>
      </c>
      <c r="CG332" s="3">
        <v>45740</v>
      </c>
      <c r="CH332" s="1">
        <v>6.62</v>
      </c>
      <c r="CI332" s="3">
        <v>45740</v>
      </c>
      <c r="CJ332" s="1">
        <v>6.6</v>
      </c>
      <c r="CK332" s="3">
        <v>45740</v>
      </c>
      <c r="CL332" s="1">
        <v>6.38</v>
      </c>
      <c r="CM332" s="3">
        <v>45740</v>
      </c>
      <c r="CN332" s="1">
        <v>6.16</v>
      </c>
      <c r="CO332" s="3">
        <v>45733</v>
      </c>
      <c r="CP332" s="1">
        <v>6.03</v>
      </c>
      <c r="CQ332" s="3">
        <v>45733</v>
      </c>
      <c r="CR332" s="1">
        <v>6.02</v>
      </c>
      <c r="CS332" s="3">
        <v>45733</v>
      </c>
      <c r="CT332" s="1">
        <v>6.0449999999999999</v>
      </c>
    </row>
    <row r="333" spans="31:98" x14ac:dyDescent="0.2">
      <c r="AE333" s="3">
        <v>45737</v>
      </c>
      <c r="AF333" s="1">
        <v>5.75</v>
      </c>
      <c r="AG333" s="3">
        <v>45719</v>
      </c>
      <c r="AH333" s="1">
        <v>5.86</v>
      </c>
      <c r="AI333" s="3">
        <v>45737</v>
      </c>
      <c r="AJ333" s="2">
        <v>5.8025000000000002</v>
      </c>
      <c r="AK333" s="3">
        <v>45737</v>
      </c>
      <c r="AL333" s="2">
        <v>5.7549999999999999</v>
      </c>
      <c r="AM333" s="3">
        <v>45737</v>
      </c>
      <c r="AN333" s="2">
        <v>5.62</v>
      </c>
      <c r="AO333" s="3">
        <v>45737</v>
      </c>
      <c r="AP333" s="2">
        <v>5.0999999999999996</v>
      </c>
      <c r="AQ333" s="3">
        <v>45737</v>
      </c>
      <c r="AR333" s="2">
        <v>4.7149999999999999</v>
      </c>
      <c r="AS333" s="3">
        <v>45737</v>
      </c>
      <c r="AT333" s="2">
        <v>4.46</v>
      </c>
      <c r="AU333" s="3">
        <v>45737</v>
      </c>
      <c r="AV333" s="2">
        <v>4.3</v>
      </c>
      <c r="AW333" s="3">
        <v>45737</v>
      </c>
      <c r="AX333" s="2">
        <v>4.2424999999999997</v>
      </c>
      <c r="AY333" s="3">
        <v>45737</v>
      </c>
      <c r="AZ333" s="2">
        <v>4.22</v>
      </c>
      <c r="BB333" s="3">
        <v>45716</v>
      </c>
      <c r="BC333" s="1">
        <v>3.75</v>
      </c>
      <c r="BD333" s="3">
        <v>45719</v>
      </c>
      <c r="BE333" s="1">
        <v>3.73</v>
      </c>
      <c r="BF333" s="3">
        <v>45737</v>
      </c>
      <c r="BG333" s="1">
        <v>3.69</v>
      </c>
      <c r="BH333" s="3">
        <v>45737</v>
      </c>
      <c r="BI333" s="1">
        <v>3.548</v>
      </c>
      <c r="BJ333" s="3">
        <v>45737</v>
      </c>
      <c r="BK333" s="1">
        <v>3.53</v>
      </c>
      <c r="BL333" s="3">
        <v>45737</v>
      </c>
      <c r="BM333" s="1">
        <v>3.41</v>
      </c>
      <c r="BN333" s="3">
        <v>45737</v>
      </c>
      <c r="BO333" s="1">
        <v>3.298</v>
      </c>
      <c r="BP333" s="3">
        <v>45737</v>
      </c>
      <c r="BQ333" s="1">
        <v>3.2650000000000001</v>
      </c>
      <c r="BR333" s="3">
        <v>45737</v>
      </c>
      <c r="BS333" s="1">
        <v>3.2949999999999999</v>
      </c>
      <c r="BT333" s="3">
        <v>45737</v>
      </c>
      <c r="BU333" s="1">
        <v>3.3330000000000002</v>
      </c>
      <c r="BV333" s="3">
        <v>45737</v>
      </c>
      <c r="BW333" s="1">
        <v>3.3730000000000002</v>
      </c>
      <c r="BY333" s="3">
        <v>45723</v>
      </c>
      <c r="BZ333" s="1">
        <v>6.5</v>
      </c>
      <c r="CA333" s="3">
        <v>45714</v>
      </c>
      <c r="CB333" s="1">
        <v>6.51</v>
      </c>
      <c r="CC333" s="3">
        <v>45737</v>
      </c>
      <c r="CD333" s="1">
        <v>6.577</v>
      </c>
      <c r="CE333" s="3">
        <v>45737</v>
      </c>
      <c r="CF333" s="1">
        <v>6.6130000000000004</v>
      </c>
      <c r="CG333" s="3">
        <v>45737</v>
      </c>
      <c r="CH333" s="1">
        <v>6.62</v>
      </c>
      <c r="CI333" s="3">
        <v>45737</v>
      </c>
      <c r="CJ333" s="1">
        <v>6.6</v>
      </c>
      <c r="CK333" s="3">
        <v>45737</v>
      </c>
      <c r="CL333" s="1">
        <v>6.37</v>
      </c>
      <c r="CM333" s="3">
        <v>45737</v>
      </c>
      <c r="CN333" s="1">
        <v>6.16</v>
      </c>
      <c r="CO333" s="3">
        <v>45730</v>
      </c>
      <c r="CP333" s="1">
        <v>6.1150000000000002</v>
      </c>
      <c r="CQ333" s="3">
        <v>45730</v>
      </c>
      <c r="CR333" s="1">
        <v>6.1050000000000004</v>
      </c>
      <c r="CS333" s="3">
        <v>45730</v>
      </c>
      <c r="CT333" s="1">
        <v>6.13</v>
      </c>
    </row>
    <row r="334" spans="31:98" x14ac:dyDescent="0.2">
      <c r="AE334" s="3">
        <v>45736</v>
      </c>
      <c r="AF334" s="1">
        <v>5.75</v>
      </c>
      <c r="AG334" s="3">
        <v>45716</v>
      </c>
      <c r="AH334" s="1">
        <v>5.86</v>
      </c>
      <c r="AI334" s="3">
        <v>45736</v>
      </c>
      <c r="AJ334" s="2">
        <v>5.8109999999999999</v>
      </c>
      <c r="AK334" s="3">
        <v>45736</v>
      </c>
      <c r="AL334" s="2">
        <v>5.7625000000000002</v>
      </c>
      <c r="AM334" s="3">
        <v>45736</v>
      </c>
      <c r="AN334" s="2">
        <v>5.64</v>
      </c>
      <c r="AO334" s="3">
        <v>45736</v>
      </c>
      <c r="AP334" s="2">
        <v>5.1275000000000004</v>
      </c>
      <c r="AQ334" s="3">
        <v>45736</v>
      </c>
      <c r="AR334" s="2">
        <v>4.74</v>
      </c>
      <c r="AS334" s="3">
        <v>45736</v>
      </c>
      <c r="AT334" s="2">
        <v>4.49</v>
      </c>
      <c r="AU334" s="3">
        <v>45736</v>
      </c>
      <c r="AV334" s="2">
        <v>4.3224999999999998</v>
      </c>
      <c r="AW334" s="3">
        <v>45736</v>
      </c>
      <c r="AX334" s="2">
        <v>4.2649999999999997</v>
      </c>
      <c r="AY334" s="3">
        <v>45736</v>
      </c>
      <c r="AZ334" s="2">
        <v>4.2424999999999997</v>
      </c>
      <c r="BB334" s="3">
        <v>45715</v>
      </c>
      <c r="BC334" s="1">
        <v>3.75</v>
      </c>
      <c r="BD334" s="3">
        <v>45716</v>
      </c>
      <c r="BE334" s="1">
        <v>3.73</v>
      </c>
      <c r="BF334" s="3">
        <v>45736</v>
      </c>
      <c r="BG334" s="1">
        <v>3.6850000000000001</v>
      </c>
      <c r="BH334" s="3">
        <v>45736</v>
      </c>
      <c r="BI334" s="1">
        <v>3.55</v>
      </c>
      <c r="BJ334" s="3">
        <v>45736</v>
      </c>
      <c r="BK334" s="1">
        <v>3.5379999999999998</v>
      </c>
      <c r="BL334" s="3">
        <v>45736</v>
      </c>
      <c r="BM334" s="1">
        <v>3.42</v>
      </c>
      <c r="BN334" s="3">
        <v>45736</v>
      </c>
      <c r="BO334" s="1">
        <v>3.3149999999999999</v>
      </c>
      <c r="BP334" s="3">
        <v>45736</v>
      </c>
      <c r="BQ334" s="1">
        <v>3.2850000000000001</v>
      </c>
      <c r="BR334" s="3">
        <v>45736</v>
      </c>
      <c r="BS334" s="1">
        <v>3.3130000000000002</v>
      </c>
      <c r="BT334" s="3">
        <v>45736</v>
      </c>
      <c r="BU334" s="1">
        <v>3.3530000000000002</v>
      </c>
      <c r="BV334" s="3">
        <v>45736</v>
      </c>
      <c r="BW334" s="1">
        <v>3.39</v>
      </c>
      <c r="BY334" s="3">
        <v>45722</v>
      </c>
      <c r="BZ334" s="1">
        <v>6.5</v>
      </c>
      <c r="CA334" s="3">
        <v>45713</v>
      </c>
      <c r="CB334" s="1">
        <v>6.51</v>
      </c>
      <c r="CC334" s="3">
        <v>45736</v>
      </c>
      <c r="CD334" s="1">
        <v>6.5430000000000001</v>
      </c>
      <c r="CE334" s="3">
        <v>45736</v>
      </c>
      <c r="CF334" s="1">
        <v>6.5570000000000004</v>
      </c>
      <c r="CG334" s="3">
        <v>45736</v>
      </c>
      <c r="CH334" s="1">
        <v>6.57</v>
      </c>
      <c r="CI334" s="3">
        <v>45736</v>
      </c>
      <c r="CJ334" s="1">
        <v>6.54</v>
      </c>
      <c r="CK334" s="3">
        <v>45736</v>
      </c>
      <c r="CL334" s="1">
        <v>6.29</v>
      </c>
      <c r="CM334" s="3">
        <v>45736</v>
      </c>
      <c r="CN334" s="1">
        <v>6.08</v>
      </c>
      <c r="CO334" s="3">
        <v>45729</v>
      </c>
      <c r="CP334" s="1">
        <v>6.1950000000000003</v>
      </c>
      <c r="CQ334" s="3">
        <v>45729</v>
      </c>
      <c r="CR334" s="1">
        <v>6.1950000000000003</v>
      </c>
      <c r="CS334" s="3">
        <v>45729</v>
      </c>
      <c r="CT334" s="1">
        <v>6.22</v>
      </c>
    </row>
    <row r="335" spans="31:98" x14ac:dyDescent="0.2">
      <c r="AE335" s="3">
        <v>45735</v>
      </c>
      <c r="AF335" s="1">
        <v>5.75</v>
      </c>
      <c r="AG335" s="3">
        <v>45715</v>
      </c>
      <c r="AH335" s="1">
        <v>5.86</v>
      </c>
      <c r="AI335" s="3">
        <v>45735</v>
      </c>
      <c r="AJ335" s="2">
        <v>5.8220000000000001</v>
      </c>
      <c r="AK335" s="3">
        <v>45735</v>
      </c>
      <c r="AL335" s="2">
        <v>5.78</v>
      </c>
      <c r="AM335" s="3">
        <v>45735</v>
      </c>
      <c r="AN335" s="2">
        <v>5.6749999999999998</v>
      </c>
      <c r="AO335" s="3">
        <v>45735</v>
      </c>
      <c r="AP335" s="2">
        <v>5.18</v>
      </c>
      <c r="AQ335" s="3">
        <v>45735</v>
      </c>
      <c r="AR335" s="2">
        <v>4.7750000000000004</v>
      </c>
      <c r="AS335" s="3">
        <v>45735</v>
      </c>
      <c r="AT335" s="2">
        <v>4.5199999999999996</v>
      </c>
      <c r="AU335" s="3">
        <v>45735</v>
      </c>
      <c r="AV335" s="2">
        <v>4.3499999999999996</v>
      </c>
      <c r="AW335" s="3">
        <v>45735</v>
      </c>
      <c r="AX335" s="2">
        <v>4.29</v>
      </c>
      <c r="AY335" s="3">
        <v>45735</v>
      </c>
      <c r="AZ335" s="2">
        <v>4.2649999999999997</v>
      </c>
      <c r="BB335" s="3">
        <v>45714</v>
      </c>
      <c r="BC335" s="1">
        <v>3.75</v>
      </c>
      <c r="BD335" s="3">
        <v>45715</v>
      </c>
      <c r="BE335" s="1">
        <v>3.73</v>
      </c>
      <c r="BF335" s="3">
        <v>45735</v>
      </c>
      <c r="BG335" s="1">
        <v>3.69</v>
      </c>
      <c r="BH335" s="3">
        <v>45735</v>
      </c>
      <c r="BI335" s="1">
        <v>3.5649999999999999</v>
      </c>
      <c r="BJ335" s="3">
        <v>45735</v>
      </c>
      <c r="BK335" s="1">
        <v>3.5449999999999999</v>
      </c>
      <c r="BL335" s="3">
        <v>45735</v>
      </c>
      <c r="BM335" s="1">
        <v>3.42</v>
      </c>
      <c r="BN335" s="3">
        <v>45735</v>
      </c>
      <c r="BO335" s="1">
        <v>3.33</v>
      </c>
      <c r="BP335" s="3">
        <v>45735</v>
      </c>
      <c r="BQ335" s="1">
        <v>3.3029999999999999</v>
      </c>
      <c r="BR335" s="3">
        <v>45735</v>
      </c>
      <c r="BS335" s="1">
        <v>3.3250000000000002</v>
      </c>
      <c r="BT335" s="3">
        <v>45735</v>
      </c>
      <c r="BU335" s="1">
        <v>3.36</v>
      </c>
      <c r="BV335" s="3">
        <v>45735</v>
      </c>
      <c r="BW335" s="1">
        <v>3.403</v>
      </c>
      <c r="BY335" s="3">
        <v>45721</v>
      </c>
      <c r="BZ335" s="1">
        <v>6.5</v>
      </c>
      <c r="CA335" s="3">
        <v>45712</v>
      </c>
      <c r="CB335" s="1">
        <v>6.51</v>
      </c>
      <c r="CC335" s="3">
        <v>45735</v>
      </c>
      <c r="CD335" s="1">
        <v>6.5469999999999997</v>
      </c>
      <c r="CE335" s="3">
        <v>45735</v>
      </c>
      <c r="CF335" s="1">
        <v>6.5529999999999999</v>
      </c>
      <c r="CG335" s="3">
        <v>45735</v>
      </c>
      <c r="CH335" s="1">
        <v>6.56</v>
      </c>
      <c r="CI335" s="3">
        <v>45735</v>
      </c>
      <c r="CJ335" s="1">
        <v>6.54</v>
      </c>
      <c r="CK335" s="3">
        <v>45735</v>
      </c>
      <c r="CL335" s="1">
        <v>6.29</v>
      </c>
      <c r="CM335" s="3">
        <v>45735</v>
      </c>
      <c r="CN335" s="1">
        <v>6.11</v>
      </c>
      <c r="CO335" s="3">
        <v>45728</v>
      </c>
      <c r="CP335" s="1">
        <v>6.15</v>
      </c>
      <c r="CQ335" s="3">
        <v>45728</v>
      </c>
      <c r="CR335" s="1">
        <v>6.15</v>
      </c>
      <c r="CS335" s="3">
        <v>45728</v>
      </c>
      <c r="CT335" s="1">
        <v>6.165</v>
      </c>
    </row>
    <row r="336" spans="31:98" x14ac:dyDescent="0.2">
      <c r="AE336" s="3">
        <v>45734</v>
      </c>
      <c r="AF336" s="1">
        <v>5.75</v>
      </c>
      <c r="AG336" s="3">
        <v>45714</v>
      </c>
      <c r="AH336" s="1">
        <v>5.87</v>
      </c>
      <c r="AI336" s="3">
        <v>45734</v>
      </c>
      <c r="AJ336" s="2">
        <v>5.8185000000000002</v>
      </c>
      <c r="AK336" s="3">
        <v>45734</v>
      </c>
      <c r="AL336" s="2">
        <v>5.78</v>
      </c>
      <c r="AM336" s="3">
        <v>45734</v>
      </c>
      <c r="AN336" s="2">
        <v>5.66</v>
      </c>
      <c r="AO336" s="3">
        <v>45734</v>
      </c>
      <c r="AP336" s="2">
        <v>5.17</v>
      </c>
      <c r="AQ336" s="3">
        <v>45734</v>
      </c>
      <c r="AR336" s="2">
        <v>4.7725</v>
      </c>
      <c r="AS336" s="3">
        <v>45734</v>
      </c>
      <c r="AT336" s="2">
        <v>4.4924999999999997</v>
      </c>
      <c r="AU336" s="3">
        <v>45734</v>
      </c>
      <c r="AV336" s="2">
        <v>4.3150000000000004</v>
      </c>
      <c r="AW336" s="3">
        <v>45734</v>
      </c>
      <c r="AX336" s="2">
        <v>4.2525000000000004</v>
      </c>
      <c r="AY336" s="3">
        <v>45734</v>
      </c>
      <c r="AZ336" s="2">
        <v>4.2275</v>
      </c>
      <c r="BB336" s="3">
        <v>45713</v>
      </c>
      <c r="BC336" s="1">
        <v>3.75</v>
      </c>
      <c r="BD336" s="3">
        <v>45714</v>
      </c>
      <c r="BE336" s="1">
        <v>3.73</v>
      </c>
      <c r="BF336" s="3">
        <v>45734</v>
      </c>
      <c r="BG336" s="1">
        <v>3.67</v>
      </c>
      <c r="BH336" s="3">
        <v>45734</v>
      </c>
      <c r="BI336" s="1">
        <v>3.5350000000000001</v>
      </c>
      <c r="BJ336" s="3">
        <v>45734</v>
      </c>
      <c r="BK336" s="1">
        <v>3.5179999999999998</v>
      </c>
      <c r="BL336" s="3">
        <v>45734</v>
      </c>
      <c r="BM336" s="1">
        <v>3.3849999999999998</v>
      </c>
      <c r="BN336" s="3">
        <v>45734</v>
      </c>
      <c r="BO336" s="1">
        <v>3.2850000000000001</v>
      </c>
      <c r="BP336" s="3">
        <v>45734</v>
      </c>
      <c r="BQ336" s="1">
        <v>3.25</v>
      </c>
      <c r="BR336" s="3">
        <v>45734</v>
      </c>
      <c r="BS336" s="1">
        <v>3.27</v>
      </c>
      <c r="BT336" s="3">
        <v>45734</v>
      </c>
      <c r="BU336" s="1">
        <v>3.31</v>
      </c>
      <c r="BV336" s="3">
        <v>45734</v>
      </c>
      <c r="BW336" s="1">
        <v>3.35</v>
      </c>
      <c r="BY336" s="3">
        <v>45720</v>
      </c>
      <c r="BZ336" s="1">
        <v>6.5</v>
      </c>
      <c r="CA336" s="3">
        <v>45709</v>
      </c>
      <c r="CB336" s="1">
        <v>6.51</v>
      </c>
      <c r="CC336" s="3">
        <v>45734</v>
      </c>
      <c r="CD336" s="1">
        <v>6.54</v>
      </c>
      <c r="CE336" s="3">
        <v>45734</v>
      </c>
      <c r="CF336" s="1">
        <v>6.54</v>
      </c>
      <c r="CG336" s="3">
        <v>45734</v>
      </c>
      <c r="CH336" s="1">
        <v>6.55</v>
      </c>
      <c r="CI336" s="3">
        <v>45734</v>
      </c>
      <c r="CJ336" s="1">
        <v>6.52</v>
      </c>
      <c r="CK336" s="3">
        <v>45734</v>
      </c>
      <c r="CL336" s="1">
        <v>6.25</v>
      </c>
      <c r="CM336" s="3">
        <v>45734</v>
      </c>
      <c r="CN336" s="1">
        <v>6.0350000000000001</v>
      </c>
      <c r="CO336" s="3">
        <v>45727</v>
      </c>
      <c r="CP336" s="1">
        <v>6.08</v>
      </c>
      <c r="CQ336" s="3">
        <v>45727</v>
      </c>
      <c r="CR336" s="1">
        <v>6.06</v>
      </c>
      <c r="CS336" s="3">
        <v>45727</v>
      </c>
      <c r="CT336" s="1">
        <v>6.0949999999999998</v>
      </c>
    </row>
    <row r="337" spans="31:98" x14ac:dyDescent="0.2">
      <c r="AE337" s="3">
        <v>45733</v>
      </c>
      <c r="AF337" s="1">
        <v>5.75</v>
      </c>
      <c r="AG337" s="3">
        <v>45713</v>
      </c>
      <c r="AH337" s="1">
        <v>5.88</v>
      </c>
      <c r="AI337" s="3">
        <v>45733</v>
      </c>
      <c r="AJ337" s="2">
        <v>5.8205</v>
      </c>
      <c r="AK337" s="3">
        <v>45733</v>
      </c>
      <c r="AL337" s="2">
        <v>5.78</v>
      </c>
      <c r="AM337" s="3">
        <v>45733</v>
      </c>
      <c r="AN337" s="2">
        <v>5.66</v>
      </c>
      <c r="AO337" s="3">
        <v>45733</v>
      </c>
      <c r="AP337" s="2">
        <v>5.17</v>
      </c>
      <c r="AQ337" s="3">
        <v>45733</v>
      </c>
      <c r="AR337" s="2">
        <v>4.7649999999999997</v>
      </c>
      <c r="AS337" s="3">
        <v>45733</v>
      </c>
      <c r="AT337" s="2">
        <v>4.4850000000000003</v>
      </c>
      <c r="AU337" s="3">
        <v>45733</v>
      </c>
      <c r="AV337" s="2">
        <v>4.3049999999999997</v>
      </c>
      <c r="AW337" s="3">
        <v>45733</v>
      </c>
      <c r="AX337" s="2">
        <v>4.2300000000000004</v>
      </c>
      <c r="AY337" s="3">
        <v>45733</v>
      </c>
      <c r="AZ337" s="2">
        <v>4.2050000000000001</v>
      </c>
      <c r="BB337" s="3">
        <v>45712</v>
      </c>
      <c r="BC337" s="1">
        <v>3.75</v>
      </c>
      <c r="BD337" s="3">
        <v>45713</v>
      </c>
      <c r="BE337" s="1">
        <v>3.73</v>
      </c>
      <c r="BF337" s="3">
        <v>45733</v>
      </c>
      <c r="BG337" s="1">
        <v>3.65</v>
      </c>
      <c r="BH337" s="3">
        <v>45733</v>
      </c>
      <c r="BI337" s="1">
        <v>3.5350000000000001</v>
      </c>
      <c r="BJ337" s="3">
        <v>45733</v>
      </c>
      <c r="BK337" s="1">
        <v>3.5150000000000001</v>
      </c>
      <c r="BL337" s="3">
        <v>45733</v>
      </c>
      <c r="BM337" s="1">
        <v>3.383</v>
      </c>
      <c r="BN337" s="3">
        <v>45733</v>
      </c>
      <c r="BO337" s="1">
        <v>3.2749999999999999</v>
      </c>
      <c r="BP337" s="3">
        <v>45733</v>
      </c>
      <c r="BQ337" s="1">
        <v>3.24</v>
      </c>
      <c r="BR337" s="3">
        <v>45733</v>
      </c>
      <c r="BS337" s="1">
        <v>3.2650000000000001</v>
      </c>
      <c r="BT337" s="3">
        <v>45733</v>
      </c>
      <c r="BU337" s="1">
        <v>3.3029999999999999</v>
      </c>
      <c r="BV337" s="3">
        <v>45733</v>
      </c>
      <c r="BW337" s="1">
        <v>3.36</v>
      </c>
      <c r="BY337" s="3">
        <v>45719</v>
      </c>
      <c r="BZ337" s="1">
        <v>6.5</v>
      </c>
      <c r="CA337" s="3">
        <v>45708</v>
      </c>
      <c r="CB337" s="1">
        <v>6.51</v>
      </c>
      <c r="CC337" s="3">
        <v>45733</v>
      </c>
      <c r="CD337" s="1">
        <v>6.5410000000000004</v>
      </c>
      <c r="CE337" s="3">
        <v>45733</v>
      </c>
      <c r="CF337" s="1">
        <v>6.5510000000000002</v>
      </c>
      <c r="CG337" s="3">
        <v>45733</v>
      </c>
      <c r="CH337" s="1">
        <v>6.56</v>
      </c>
      <c r="CI337" s="3">
        <v>45733</v>
      </c>
      <c r="CJ337" s="1">
        <v>6.53</v>
      </c>
      <c r="CK337" s="3">
        <v>45733</v>
      </c>
      <c r="CL337" s="1">
        <v>6.28</v>
      </c>
      <c r="CM337" s="3">
        <v>45733</v>
      </c>
      <c r="CN337" s="1">
        <v>6.08</v>
      </c>
      <c r="CO337" s="3">
        <v>45726</v>
      </c>
      <c r="CP337" s="1">
        <v>5.8449999999999998</v>
      </c>
      <c r="CQ337" s="3">
        <v>45726</v>
      </c>
      <c r="CR337" s="1">
        <v>5.8150000000000004</v>
      </c>
      <c r="CS337" s="3">
        <v>45726</v>
      </c>
      <c r="CT337" s="1">
        <v>5.85</v>
      </c>
    </row>
    <row r="338" spans="31:98" x14ac:dyDescent="0.2">
      <c r="AE338" s="3">
        <v>45730</v>
      </c>
      <c r="AF338" s="1">
        <v>5.75</v>
      </c>
      <c r="AG338" s="3">
        <v>45712</v>
      </c>
      <c r="AH338" s="1">
        <v>5.91</v>
      </c>
      <c r="AI338" s="3">
        <v>45730</v>
      </c>
      <c r="AJ338" s="2">
        <v>5.8254999999999999</v>
      </c>
      <c r="AK338" s="3">
        <v>45730</v>
      </c>
      <c r="AL338" s="2">
        <v>5.8049999999999997</v>
      </c>
      <c r="AM338" s="3">
        <v>45730</v>
      </c>
      <c r="AN338" s="2">
        <v>5.665</v>
      </c>
      <c r="AO338" s="3">
        <v>45730</v>
      </c>
      <c r="AP338" s="2">
        <v>5.1849999999999996</v>
      </c>
      <c r="AQ338" s="3">
        <v>45730</v>
      </c>
      <c r="AR338" s="2">
        <v>4.7949999999999999</v>
      </c>
      <c r="AS338" s="3">
        <v>45730</v>
      </c>
      <c r="AT338" s="2">
        <v>4.5250000000000004</v>
      </c>
      <c r="AU338" s="3">
        <v>45730</v>
      </c>
      <c r="AV338" s="2">
        <v>4.335</v>
      </c>
      <c r="AW338" s="3">
        <v>45730</v>
      </c>
      <c r="AX338" s="2">
        <v>4.26</v>
      </c>
      <c r="AY338" s="3">
        <v>45730</v>
      </c>
      <c r="AZ338" s="2">
        <v>4.2300000000000004</v>
      </c>
      <c r="BB338" s="3">
        <v>45709</v>
      </c>
      <c r="BC338" s="1">
        <v>3.75</v>
      </c>
      <c r="BD338" s="3">
        <v>45712</v>
      </c>
      <c r="BE338" s="1">
        <v>3.74</v>
      </c>
      <c r="BF338" s="3">
        <v>45730</v>
      </c>
      <c r="BG338" s="1">
        <v>3.66</v>
      </c>
      <c r="BH338" s="3">
        <v>45730</v>
      </c>
      <c r="BI338" s="1">
        <v>3.55</v>
      </c>
      <c r="BJ338" s="3">
        <v>45730</v>
      </c>
      <c r="BK338" s="1">
        <v>3.528</v>
      </c>
      <c r="BL338" s="3">
        <v>45730</v>
      </c>
      <c r="BM338" s="1">
        <v>3.3879999999999999</v>
      </c>
      <c r="BN338" s="3">
        <v>45730</v>
      </c>
      <c r="BO338" s="1">
        <v>3.3149999999999999</v>
      </c>
      <c r="BP338" s="3">
        <v>45730</v>
      </c>
      <c r="BQ338" s="1">
        <v>3.2679999999999998</v>
      </c>
      <c r="BR338" s="3">
        <v>45730</v>
      </c>
      <c r="BS338" s="1">
        <v>3.3</v>
      </c>
      <c r="BT338" s="3">
        <v>45730</v>
      </c>
      <c r="BU338" s="1">
        <v>3.335</v>
      </c>
      <c r="BV338" s="3">
        <v>45730</v>
      </c>
      <c r="BW338" s="1">
        <v>3.3849999999999998</v>
      </c>
      <c r="BY338" s="3">
        <v>45716</v>
      </c>
      <c r="BZ338" s="1">
        <v>6.5</v>
      </c>
      <c r="CA338" s="3">
        <v>45707</v>
      </c>
      <c r="CB338" s="1">
        <v>6.51</v>
      </c>
      <c r="CC338" s="3">
        <v>45730</v>
      </c>
      <c r="CD338" s="1">
        <v>6.55</v>
      </c>
      <c r="CE338" s="3">
        <v>45730</v>
      </c>
      <c r="CF338" s="1">
        <v>6.57</v>
      </c>
      <c r="CG338" s="3">
        <v>45730</v>
      </c>
      <c r="CH338" s="1">
        <v>6.58</v>
      </c>
      <c r="CI338" s="3">
        <v>45730</v>
      </c>
      <c r="CJ338" s="1">
        <v>6.55</v>
      </c>
      <c r="CK338" s="3">
        <v>45730</v>
      </c>
      <c r="CL338" s="1">
        <v>6.34</v>
      </c>
      <c r="CM338" s="3">
        <v>45730</v>
      </c>
      <c r="CN338" s="1">
        <v>6.16</v>
      </c>
      <c r="CO338" s="3">
        <v>45723</v>
      </c>
      <c r="CP338" s="1">
        <v>5.85</v>
      </c>
      <c r="CQ338" s="3">
        <v>45723</v>
      </c>
      <c r="CR338" s="1">
        <v>5.82</v>
      </c>
      <c r="CS338" s="3">
        <v>45723</v>
      </c>
      <c r="CT338" s="1">
        <v>5.8550000000000004</v>
      </c>
    </row>
    <row r="339" spans="31:98" x14ac:dyDescent="0.2">
      <c r="AE339" s="3">
        <v>45729</v>
      </c>
      <c r="AF339" s="1">
        <v>5.75</v>
      </c>
      <c r="AG339" s="3">
        <v>45709</v>
      </c>
      <c r="AH339" s="1">
        <v>5.87</v>
      </c>
      <c r="AI339" s="3">
        <v>45729</v>
      </c>
      <c r="AJ339" s="2">
        <v>5.8239999999999998</v>
      </c>
      <c r="AK339" s="3">
        <v>45729</v>
      </c>
      <c r="AL339" s="2">
        <v>5.7949999999999999</v>
      </c>
      <c r="AM339" s="3">
        <v>45729</v>
      </c>
      <c r="AN339" s="2">
        <v>5.72</v>
      </c>
      <c r="AO339" s="3">
        <v>45729</v>
      </c>
      <c r="AP339" s="2">
        <v>5.3174999999999999</v>
      </c>
      <c r="AQ339" s="3">
        <v>45729</v>
      </c>
      <c r="AR339" s="2">
        <v>4.9413</v>
      </c>
      <c r="AS339" s="3">
        <v>45729</v>
      </c>
      <c r="AT339" s="2">
        <v>4.6500000000000004</v>
      </c>
      <c r="AU339" s="3">
        <v>45729</v>
      </c>
      <c r="AV339" s="2">
        <v>4.4550000000000001</v>
      </c>
      <c r="AW339" s="3">
        <v>45729</v>
      </c>
      <c r="AX339" s="2">
        <v>4.38</v>
      </c>
      <c r="AY339" s="3">
        <v>45729</v>
      </c>
      <c r="AZ339" s="2">
        <v>4.3449999999999998</v>
      </c>
      <c r="BB339" s="3">
        <v>45708</v>
      </c>
      <c r="BC339" s="1">
        <v>3.75</v>
      </c>
      <c r="BD339" s="3">
        <v>45709</v>
      </c>
      <c r="BE339" s="1">
        <v>3.74</v>
      </c>
      <c r="BF339" s="3">
        <v>45729</v>
      </c>
      <c r="BG339" s="1">
        <v>3.6549999999999998</v>
      </c>
      <c r="BH339" s="3">
        <v>45729</v>
      </c>
      <c r="BI339" s="1">
        <v>3.5550000000000002</v>
      </c>
      <c r="BJ339" s="3">
        <v>45729</v>
      </c>
      <c r="BK339" s="1">
        <v>3.5329999999999999</v>
      </c>
      <c r="BL339" s="3">
        <v>45729</v>
      </c>
      <c r="BM339" s="1">
        <v>3.395</v>
      </c>
      <c r="BN339" s="3">
        <v>45729</v>
      </c>
      <c r="BO339" s="1">
        <v>3.323</v>
      </c>
      <c r="BP339" s="3">
        <v>45729</v>
      </c>
      <c r="BQ339" s="1">
        <v>3.2749999999999999</v>
      </c>
      <c r="BR339" s="3">
        <v>45729</v>
      </c>
      <c r="BS339" s="1">
        <v>3.31</v>
      </c>
      <c r="BT339" s="3">
        <v>45729</v>
      </c>
      <c r="BU339" s="1">
        <v>3.343</v>
      </c>
      <c r="BV339" s="3">
        <v>45729</v>
      </c>
      <c r="BW339" s="1">
        <v>3.3929999999999998</v>
      </c>
      <c r="BY339" s="3">
        <v>45715</v>
      </c>
      <c r="BZ339" s="1">
        <v>6.5</v>
      </c>
      <c r="CA339" s="3">
        <v>45706</v>
      </c>
      <c r="CB339" s="1">
        <v>6.51</v>
      </c>
      <c r="CC339" s="3">
        <v>45729</v>
      </c>
      <c r="CD339" s="1">
        <v>6.556</v>
      </c>
      <c r="CE339" s="3">
        <v>45729</v>
      </c>
      <c r="CF339" s="1">
        <v>6.5919999999999996</v>
      </c>
      <c r="CG339" s="3">
        <v>45729</v>
      </c>
      <c r="CH339" s="1">
        <v>6.59</v>
      </c>
      <c r="CI339" s="3">
        <v>45729</v>
      </c>
      <c r="CJ339" s="1">
        <v>6.56</v>
      </c>
      <c r="CK339" s="3">
        <v>45729</v>
      </c>
      <c r="CL339" s="1">
        <v>6.35</v>
      </c>
      <c r="CM339" s="3">
        <v>45729</v>
      </c>
      <c r="CN339" s="1">
        <v>6.24</v>
      </c>
      <c r="CO339" s="3">
        <v>45722</v>
      </c>
      <c r="CP339" s="1">
        <v>5.87</v>
      </c>
      <c r="CQ339" s="3">
        <v>45722</v>
      </c>
      <c r="CR339" s="1">
        <v>5.84</v>
      </c>
      <c r="CS339" s="3">
        <v>45722</v>
      </c>
      <c r="CT339" s="1">
        <v>5.875</v>
      </c>
    </row>
    <row r="340" spans="31:98" x14ac:dyDescent="0.2">
      <c r="AE340" s="3">
        <v>45728</v>
      </c>
      <c r="AF340" s="1">
        <v>5.75</v>
      </c>
      <c r="AG340" s="3">
        <v>45708</v>
      </c>
      <c r="AH340" s="1">
        <v>5.87</v>
      </c>
      <c r="AI340" s="3">
        <v>45728</v>
      </c>
      <c r="AJ340" s="2">
        <v>5.8135000000000003</v>
      </c>
      <c r="AK340" s="3">
        <v>45728</v>
      </c>
      <c r="AL340" s="2">
        <v>5.78</v>
      </c>
      <c r="AM340" s="3">
        <v>45728</v>
      </c>
      <c r="AN340" s="2">
        <v>5.69</v>
      </c>
      <c r="AO340" s="3">
        <v>45728</v>
      </c>
      <c r="AP340" s="2">
        <v>5.3049999999999997</v>
      </c>
      <c r="AQ340" s="3">
        <v>45728</v>
      </c>
      <c r="AR340" s="2">
        <v>4.92</v>
      </c>
      <c r="AS340" s="3">
        <v>45728</v>
      </c>
      <c r="AT340" s="2">
        <v>4.6550000000000002</v>
      </c>
      <c r="AU340" s="3">
        <v>45728</v>
      </c>
      <c r="AV340" s="2">
        <v>4.4649999999999999</v>
      </c>
      <c r="AW340" s="3">
        <v>45728</v>
      </c>
      <c r="AX340" s="2">
        <v>4.3875000000000002</v>
      </c>
      <c r="AY340" s="3">
        <v>45728</v>
      </c>
      <c r="AZ340" s="2">
        <v>4.3525</v>
      </c>
      <c r="BB340" s="3">
        <v>45707</v>
      </c>
      <c r="BC340" s="1">
        <v>3.75</v>
      </c>
      <c r="BD340" s="3">
        <v>45708</v>
      </c>
      <c r="BE340" s="1">
        <v>3.74</v>
      </c>
      <c r="BF340" s="3">
        <v>45728</v>
      </c>
      <c r="BG340" s="1">
        <v>3.66</v>
      </c>
      <c r="BH340" s="3">
        <v>45728</v>
      </c>
      <c r="BI340" s="1">
        <v>3.573</v>
      </c>
      <c r="BJ340" s="3">
        <v>45728</v>
      </c>
      <c r="BK340" s="1">
        <v>3.54</v>
      </c>
      <c r="BL340" s="3">
        <v>45728</v>
      </c>
      <c r="BM340" s="1">
        <v>3.4</v>
      </c>
      <c r="BN340" s="3">
        <v>45728</v>
      </c>
      <c r="BO340" s="1">
        <v>3.335</v>
      </c>
      <c r="BP340" s="3">
        <v>45728</v>
      </c>
      <c r="BQ340" s="1">
        <v>3.3</v>
      </c>
      <c r="BR340" s="3">
        <v>45728</v>
      </c>
      <c r="BS340" s="1">
        <v>3.3330000000000002</v>
      </c>
      <c r="BT340" s="3">
        <v>45728</v>
      </c>
      <c r="BU340" s="1">
        <v>3.363</v>
      </c>
      <c r="BV340" s="3">
        <v>45728</v>
      </c>
      <c r="BW340" s="1">
        <v>3.415</v>
      </c>
      <c r="BY340" s="3">
        <v>45714</v>
      </c>
      <c r="BZ340" s="1">
        <v>6.5</v>
      </c>
      <c r="CA340" s="3">
        <v>45705</v>
      </c>
      <c r="CB340" s="1">
        <v>6.51</v>
      </c>
      <c r="CC340" s="3">
        <v>45728</v>
      </c>
      <c r="CD340" s="1">
        <v>6.55</v>
      </c>
      <c r="CE340" s="3">
        <v>45728</v>
      </c>
      <c r="CF340" s="1">
        <v>6.59</v>
      </c>
      <c r="CG340" s="3">
        <v>45728</v>
      </c>
      <c r="CH340" s="1">
        <v>6.59</v>
      </c>
      <c r="CI340" s="3">
        <v>45728</v>
      </c>
      <c r="CJ340" s="1">
        <v>6.58</v>
      </c>
      <c r="CK340" s="3">
        <v>45728</v>
      </c>
      <c r="CL340" s="1">
        <v>6.38</v>
      </c>
      <c r="CM340" s="3">
        <v>45728</v>
      </c>
      <c r="CN340" s="1">
        <v>6.21</v>
      </c>
      <c r="CO340" s="3">
        <v>45721</v>
      </c>
      <c r="CP340" s="1">
        <v>5.75</v>
      </c>
      <c r="CQ340" s="3">
        <v>45721</v>
      </c>
      <c r="CR340" s="1">
        <v>5.72</v>
      </c>
      <c r="CS340" s="3">
        <v>45721</v>
      </c>
      <c r="CT340" s="1">
        <v>5.7549999999999999</v>
      </c>
    </row>
    <row r="341" spans="31:98" x14ac:dyDescent="0.2">
      <c r="AE341" s="3">
        <v>45727</v>
      </c>
      <c r="AF341" s="1">
        <v>5.75</v>
      </c>
      <c r="AG341" s="3">
        <v>45707</v>
      </c>
      <c r="AH341" s="1">
        <v>5.87</v>
      </c>
      <c r="AI341" s="3">
        <v>45727</v>
      </c>
      <c r="AJ341" s="2">
        <v>5.8049999999999997</v>
      </c>
      <c r="AK341" s="3">
        <v>45727</v>
      </c>
      <c r="AL341" s="2">
        <v>5.7649999999999997</v>
      </c>
      <c r="AM341" s="3">
        <v>45727</v>
      </c>
      <c r="AN341" s="2">
        <v>5.6749999999999998</v>
      </c>
      <c r="AO341" s="3">
        <v>45727</v>
      </c>
      <c r="AP341" s="2">
        <v>5.28</v>
      </c>
      <c r="AQ341" s="3">
        <v>45727</v>
      </c>
      <c r="AR341" s="2">
        <v>4.8925000000000001</v>
      </c>
      <c r="AS341" s="3">
        <v>45727</v>
      </c>
      <c r="AT341" s="2">
        <v>4.6124999999999998</v>
      </c>
      <c r="AU341" s="3">
        <v>45727</v>
      </c>
      <c r="AV341" s="2">
        <v>4.4225000000000003</v>
      </c>
      <c r="AW341" s="3">
        <v>45727</v>
      </c>
      <c r="AX341" s="2">
        <v>4.3375000000000004</v>
      </c>
      <c r="AY341" s="3">
        <v>45727</v>
      </c>
      <c r="AZ341" s="2">
        <v>4.2925000000000004</v>
      </c>
      <c r="BB341" s="3">
        <v>45706</v>
      </c>
      <c r="BC341" s="1">
        <v>3.75</v>
      </c>
      <c r="BD341" s="3">
        <v>45707</v>
      </c>
      <c r="BE341" s="1">
        <v>3.74</v>
      </c>
      <c r="BF341" s="3">
        <v>45727</v>
      </c>
      <c r="BG341" s="1">
        <v>3.66</v>
      </c>
      <c r="BH341" s="3">
        <v>45727</v>
      </c>
      <c r="BI341" s="1">
        <v>3.58</v>
      </c>
      <c r="BJ341" s="3">
        <v>45727</v>
      </c>
      <c r="BK341" s="1">
        <v>3.55</v>
      </c>
      <c r="BL341" s="3">
        <v>45727</v>
      </c>
      <c r="BM341" s="1">
        <v>3.4249999999999998</v>
      </c>
      <c r="BN341" s="3">
        <v>45727</v>
      </c>
      <c r="BO341" s="1">
        <v>3.3679999999999999</v>
      </c>
      <c r="BP341" s="3">
        <v>45727</v>
      </c>
      <c r="BQ341" s="1">
        <v>3.3479999999999999</v>
      </c>
      <c r="BR341" s="3">
        <v>45727</v>
      </c>
      <c r="BS341" s="1">
        <v>3.383</v>
      </c>
      <c r="BT341" s="3">
        <v>45727</v>
      </c>
      <c r="BU341" s="1">
        <v>3.4129999999999998</v>
      </c>
      <c r="BV341" s="3">
        <v>45727</v>
      </c>
      <c r="BW341" s="1">
        <v>3.468</v>
      </c>
      <c r="BY341" s="3">
        <v>45713</v>
      </c>
      <c r="BZ341" s="1">
        <v>6.5</v>
      </c>
      <c r="CA341" s="3">
        <v>45702</v>
      </c>
      <c r="CB341" s="1">
        <v>6.51</v>
      </c>
      <c r="CC341" s="3">
        <v>45727</v>
      </c>
      <c r="CD341" s="1">
        <v>6.5229999999999997</v>
      </c>
      <c r="CE341" s="3">
        <v>45727</v>
      </c>
      <c r="CF341" s="1">
        <v>6.5430000000000001</v>
      </c>
      <c r="CG341" s="3">
        <v>45727</v>
      </c>
      <c r="CH341" s="1">
        <v>6.56</v>
      </c>
      <c r="CI341" s="3">
        <v>45727</v>
      </c>
      <c r="CJ341" s="1">
        <v>6.54</v>
      </c>
      <c r="CK341" s="3">
        <v>45727</v>
      </c>
      <c r="CL341" s="1">
        <v>6.3</v>
      </c>
      <c r="CM341" s="3">
        <v>45727</v>
      </c>
      <c r="CN341" s="1">
        <v>6.1349999999999998</v>
      </c>
      <c r="CO341" s="3">
        <v>45720</v>
      </c>
      <c r="CP341" s="1">
        <v>5.72</v>
      </c>
      <c r="CQ341" s="3">
        <v>45720</v>
      </c>
      <c r="CR341" s="1">
        <v>5.69</v>
      </c>
      <c r="CS341" s="3">
        <v>45720</v>
      </c>
      <c r="CT341" s="1">
        <v>5.7249999999999996</v>
      </c>
    </row>
    <row r="342" spans="31:98" x14ac:dyDescent="0.2">
      <c r="AE342" s="3">
        <v>45726</v>
      </c>
      <c r="AF342" s="1">
        <v>5.75</v>
      </c>
      <c r="AG342" s="3">
        <v>45706</v>
      </c>
      <c r="AH342" s="1">
        <v>5.87</v>
      </c>
      <c r="AI342" s="3">
        <v>45726</v>
      </c>
      <c r="AJ342" s="2">
        <v>5.8310000000000004</v>
      </c>
      <c r="AK342" s="3">
        <v>45726</v>
      </c>
      <c r="AL342" s="2">
        <v>5.7949999999999999</v>
      </c>
      <c r="AM342" s="3">
        <v>45726</v>
      </c>
      <c r="AN342" s="2">
        <v>5.7050000000000001</v>
      </c>
      <c r="AO342" s="3">
        <v>45726</v>
      </c>
      <c r="AP342" s="2">
        <v>5.29</v>
      </c>
      <c r="AQ342" s="3">
        <v>45726</v>
      </c>
      <c r="AR342" s="2">
        <v>4.8949999999999996</v>
      </c>
      <c r="AS342" s="3">
        <v>45726</v>
      </c>
      <c r="AT342" s="2">
        <v>4.5999999999999996</v>
      </c>
      <c r="AU342" s="3">
        <v>45726</v>
      </c>
      <c r="AV342" s="2">
        <v>4.4050000000000002</v>
      </c>
      <c r="AW342" s="3">
        <v>45726</v>
      </c>
      <c r="AX342" s="2">
        <v>4.32</v>
      </c>
      <c r="AY342" s="3">
        <v>45726</v>
      </c>
      <c r="AZ342" s="2">
        <v>4.2750000000000004</v>
      </c>
      <c r="BB342" s="3">
        <v>45705</v>
      </c>
      <c r="BC342" s="1">
        <v>3.75</v>
      </c>
      <c r="BD342" s="3">
        <v>45706</v>
      </c>
      <c r="BE342" s="1">
        <v>3.74</v>
      </c>
      <c r="BF342" s="3">
        <v>45726</v>
      </c>
      <c r="BG342" s="1">
        <v>3.66</v>
      </c>
      <c r="BH342" s="3">
        <v>45726</v>
      </c>
      <c r="BI342" s="1">
        <v>3.6379999999999999</v>
      </c>
      <c r="BJ342" s="3">
        <v>45726</v>
      </c>
      <c r="BK342" s="1">
        <v>3.5529999999999999</v>
      </c>
      <c r="BL342" s="3">
        <v>45726</v>
      </c>
      <c r="BM342" s="1">
        <v>3.423</v>
      </c>
      <c r="BN342" s="3">
        <v>45726</v>
      </c>
      <c r="BO342" s="1">
        <v>3.35</v>
      </c>
      <c r="BP342" s="3">
        <v>45726</v>
      </c>
      <c r="BQ342" s="1">
        <v>3.323</v>
      </c>
      <c r="BR342" s="3">
        <v>45726</v>
      </c>
      <c r="BS342" s="1">
        <v>3.355</v>
      </c>
      <c r="BT342" s="3">
        <v>45726</v>
      </c>
      <c r="BU342" s="1">
        <v>3.39</v>
      </c>
      <c r="BV342" s="3">
        <v>45726</v>
      </c>
      <c r="BW342" s="1">
        <v>3.4529999999999998</v>
      </c>
      <c r="BY342" s="3">
        <v>45712</v>
      </c>
      <c r="BZ342" s="1">
        <v>6.5</v>
      </c>
      <c r="CA342" s="3">
        <v>45701</v>
      </c>
      <c r="CB342" s="1">
        <v>6.51</v>
      </c>
      <c r="CC342" s="3">
        <v>45726</v>
      </c>
      <c r="CD342" s="1">
        <v>6.49</v>
      </c>
      <c r="CE342" s="3">
        <v>45726</v>
      </c>
      <c r="CF342" s="1">
        <v>6.4950000000000001</v>
      </c>
      <c r="CG342" s="3">
        <v>45726</v>
      </c>
      <c r="CH342" s="1">
        <v>6.5</v>
      </c>
      <c r="CI342" s="3">
        <v>45726</v>
      </c>
      <c r="CJ342" s="1">
        <v>6.42</v>
      </c>
      <c r="CK342" s="3">
        <v>45726</v>
      </c>
      <c r="CL342" s="1">
        <v>6.15</v>
      </c>
      <c r="CM342" s="3">
        <v>45726</v>
      </c>
      <c r="CN342" s="1">
        <v>5.9249999999999998</v>
      </c>
      <c r="CO342" s="3">
        <v>45719</v>
      </c>
      <c r="CP342" s="1">
        <v>5.77</v>
      </c>
      <c r="CQ342" s="3">
        <v>45719</v>
      </c>
      <c r="CR342" s="1">
        <v>5.77</v>
      </c>
      <c r="CS342" s="3">
        <v>45719</v>
      </c>
      <c r="CT342" s="1">
        <v>5.8049999999999997</v>
      </c>
    </row>
    <row r="343" spans="31:98" x14ac:dyDescent="0.2">
      <c r="AE343" s="3">
        <v>45723</v>
      </c>
      <c r="AF343" s="1">
        <v>5.75</v>
      </c>
      <c r="AG343" s="3">
        <v>45705</v>
      </c>
      <c r="AH343" s="1">
        <v>5.87</v>
      </c>
      <c r="AI343" s="3">
        <v>45723</v>
      </c>
      <c r="AJ343" s="2">
        <v>5.8354999999999997</v>
      </c>
      <c r="AK343" s="3">
        <v>45723</v>
      </c>
      <c r="AL343" s="2">
        <v>5.7949999999999999</v>
      </c>
      <c r="AM343" s="3">
        <v>45723</v>
      </c>
      <c r="AN343" s="2">
        <v>5.7050000000000001</v>
      </c>
      <c r="AO343" s="3">
        <v>45723</v>
      </c>
      <c r="AP343" s="2">
        <v>5.31</v>
      </c>
      <c r="AQ343" s="3">
        <v>45723</v>
      </c>
      <c r="AR343" s="2">
        <v>4.93</v>
      </c>
      <c r="AS343" s="3">
        <v>45723</v>
      </c>
      <c r="AT343" s="2">
        <v>4.6449999999999996</v>
      </c>
      <c r="AU343" s="3">
        <v>45723</v>
      </c>
      <c r="AV343" s="2">
        <v>4.46</v>
      </c>
      <c r="AW343" s="3">
        <v>45723</v>
      </c>
      <c r="AX343" s="2">
        <v>4.375</v>
      </c>
      <c r="AY343" s="3">
        <v>45723</v>
      </c>
      <c r="AZ343" s="2">
        <v>4.335</v>
      </c>
      <c r="BB343" s="3">
        <v>45702</v>
      </c>
      <c r="BC343" s="1">
        <v>3.75</v>
      </c>
      <c r="BD343" s="3">
        <v>45705</v>
      </c>
      <c r="BE343" s="1">
        <v>3.74</v>
      </c>
      <c r="BF343" s="3">
        <v>45723</v>
      </c>
      <c r="BG343" s="1">
        <v>3.66</v>
      </c>
      <c r="BH343" s="3">
        <v>45723</v>
      </c>
      <c r="BI343" s="1">
        <v>3.6379999999999999</v>
      </c>
      <c r="BJ343" s="3">
        <v>45723</v>
      </c>
      <c r="BK343" s="1">
        <v>3.5579999999999998</v>
      </c>
      <c r="BL343" s="3">
        <v>45723</v>
      </c>
      <c r="BM343" s="1">
        <v>3.4529999999999998</v>
      </c>
      <c r="BN343" s="3">
        <v>45723</v>
      </c>
      <c r="BO343" s="1">
        <v>3.39</v>
      </c>
      <c r="BP343" s="3">
        <v>45723</v>
      </c>
      <c r="BQ343" s="1">
        <v>3.3679999999999999</v>
      </c>
      <c r="BR343" s="3">
        <v>45723</v>
      </c>
      <c r="BS343" s="1">
        <v>3.4129999999999998</v>
      </c>
      <c r="BT343" s="3">
        <v>45723</v>
      </c>
      <c r="BU343" s="1">
        <v>3.47</v>
      </c>
      <c r="BV343" s="3">
        <v>45723</v>
      </c>
      <c r="BW343" s="1">
        <v>3.54</v>
      </c>
      <c r="BY343" s="3">
        <v>45709</v>
      </c>
      <c r="BZ343" s="1">
        <v>6.5</v>
      </c>
      <c r="CA343" s="3">
        <v>45700</v>
      </c>
      <c r="CB343" s="1">
        <v>6.51</v>
      </c>
      <c r="CC343" s="3">
        <v>45723</v>
      </c>
      <c r="CD343" s="1">
        <v>6.4909999999999997</v>
      </c>
      <c r="CE343" s="3">
        <v>45723</v>
      </c>
      <c r="CF343" s="1">
        <v>6.4909999999999997</v>
      </c>
      <c r="CG343" s="3">
        <v>45723</v>
      </c>
      <c r="CH343" s="1">
        <v>6.49</v>
      </c>
      <c r="CI343" s="3">
        <v>45723</v>
      </c>
      <c r="CJ343" s="1">
        <v>6.41</v>
      </c>
      <c r="CK343" s="3">
        <v>45723</v>
      </c>
      <c r="CL343" s="1">
        <v>6.15</v>
      </c>
      <c r="CM343" s="3">
        <v>45723</v>
      </c>
      <c r="CN343" s="1">
        <v>5.93</v>
      </c>
      <c r="CO343" s="3">
        <v>45716</v>
      </c>
      <c r="CP343" s="1">
        <v>5.73</v>
      </c>
      <c r="CQ343" s="3">
        <v>45716</v>
      </c>
      <c r="CR343" s="1">
        <v>5.71</v>
      </c>
      <c r="CS343" s="3">
        <v>45716</v>
      </c>
      <c r="CT343" s="1">
        <v>5.7450000000000001</v>
      </c>
    </row>
    <row r="344" spans="31:98" x14ac:dyDescent="0.2">
      <c r="AE344" s="3">
        <v>45722</v>
      </c>
      <c r="AF344" s="1">
        <v>5.75</v>
      </c>
      <c r="AG344" s="3">
        <v>45702</v>
      </c>
      <c r="AH344" s="1">
        <v>5.87</v>
      </c>
      <c r="AI344" s="3">
        <v>45722</v>
      </c>
      <c r="AJ344" s="2">
        <v>5.8365</v>
      </c>
      <c r="AK344" s="3">
        <v>45722</v>
      </c>
      <c r="AL344" s="2">
        <v>5.8</v>
      </c>
      <c r="AM344" s="3">
        <v>45722</v>
      </c>
      <c r="AN344" s="2">
        <v>5.7050000000000001</v>
      </c>
      <c r="AO344" s="3">
        <v>45722</v>
      </c>
      <c r="AP344" s="2">
        <v>5.33</v>
      </c>
      <c r="AQ344" s="3">
        <v>45722</v>
      </c>
      <c r="AR344" s="2">
        <v>4.9550000000000001</v>
      </c>
      <c r="AS344" s="3">
        <v>45722</v>
      </c>
      <c r="AT344" s="2">
        <v>4.67</v>
      </c>
      <c r="AU344" s="3">
        <v>45722</v>
      </c>
      <c r="AV344" s="2">
        <v>4.4850000000000003</v>
      </c>
      <c r="AW344" s="3">
        <v>45722</v>
      </c>
      <c r="AX344" s="2">
        <v>4.4050000000000002</v>
      </c>
      <c r="AY344" s="3">
        <v>45722</v>
      </c>
      <c r="AZ344" s="2">
        <v>4.37</v>
      </c>
      <c r="BB344" s="3">
        <v>45701</v>
      </c>
      <c r="BC344" s="1">
        <v>3.75</v>
      </c>
      <c r="BD344" s="3">
        <v>45702</v>
      </c>
      <c r="BE344" s="1">
        <v>3.74</v>
      </c>
      <c r="BF344" s="3">
        <v>45722</v>
      </c>
      <c r="BG344" s="1">
        <v>3.66</v>
      </c>
      <c r="BH344" s="3">
        <v>45722</v>
      </c>
      <c r="BI344" s="1">
        <v>3.645</v>
      </c>
      <c r="BJ344" s="3">
        <v>45722</v>
      </c>
      <c r="BK344" s="1">
        <v>3.5630000000000002</v>
      </c>
      <c r="BL344" s="3">
        <v>45722</v>
      </c>
      <c r="BM344" s="1">
        <v>3.468</v>
      </c>
      <c r="BN344" s="3">
        <v>45722</v>
      </c>
      <c r="BO344" s="1">
        <v>3.375</v>
      </c>
      <c r="BP344" s="3">
        <v>45722</v>
      </c>
      <c r="BQ344" s="1">
        <v>3.37</v>
      </c>
      <c r="BR344" s="3">
        <v>45722</v>
      </c>
      <c r="BS344" s="1">
        <v>3.41</v>
      </c>
      <c r="BT344" s="3">
        <v>45722</v>
      </c>
      <c r="BU344" s="1">
        <v>3.47</v>
      </c>
      <c r="BV344" s="3">
        <v>45722</v>
      </c>
      <c r="BW344" s="1">
        <v>3.548</v>
      </c>
      <c r="BY344" s="3">
        <v>45708</v>
      </c>
      <c r="BZ344" s="1">
        <v>6.5</v>
      </c>
      <c r="CA344" s="3">
        <v>45699</v>
      </c>
      <c r="CB344" s="1">
        <v>6.51</v>
      </c>
      <c r="CC344" s="3">
        <v>45722</v>
      </c>
      <c r="CD344" s="1">
        <v>6.49</v>
      </c>
      <c r="CE344" s="3">
        <v>45722</v>
      </c>
      <c r="CF344" s="1">
        <v>6.49</v>
      </c>
      <c r="CG344" s="3">
        <v>45722</v>
      </c>
      <c r="CH344" s="1">
        <v>6.49</v>
      </c>
      <c r="CI344" s="3">
        <v>45722</v>
      </c>
      <c r="CJ344" s="1">
        <v>6.42</v>
      </c>
      <c r="CK344" s="3">
        <v>45722</v>
      </c>
      <c r="CL344" s="1">
        <v>6.16</v>
      </c>
      <c r="CM344" s="3">
        <v>45722</v>
      </c>
      <c r="CN344" s="1">
        <v>5.95</v>
      </c>
      <c r="CO344" s="3">
        <v>45715</v>
      </c>
      <c r="CP344" s="1">
        <v>5.7450000000000001</v>
      </c>
      <c r="CQ344" s="3">
        <v>45715</v>
      </c>
      <c r="CR344" s="1">
        <v>5.71</v>
      </c>
      <c r="CS344" s="3">
        <v>45715</v>
      </c>
      <c r="CT344" s="1">
        <v>5.7450000000000001</v>
      </c>
    </row>
    <row r="345" spans="31:98" x14ac:dyDescent="0.2">
      <c r="AE345" s="3">
        <v>45721</v>
      </c>
      <c r="AF345" s="1">
        <v>5.75</v>
      </c>
      <c r="AG345" s="3">
        <v>45701</v>
      </c>
      <c r="AH345" s="1">
        <v>5.87</v>
      </c>
      <c r="AI345" s="3">
        <v>45721</v>
      </c>
      <c r="AJ345" s="2">
        <v>5.8390000000000004</v>
      </c>
      <c r="AK345" s="3">
        <v>45721</v>
      </c>
      <c r="AL345" s="2">
        <v>5.8</v>
      </c>
      <c r="AM345" s="3">
        <v>45721</v>
      </c>
      <c r="AN345" s="2">
        <v>5.7050000000000001</v>
      </c>
      <c r="AO345" s="3">
        <v>45721</v>
      </c>
      <c r="AP345" s="2">
        <v>5.32</v>
      </c>
      <c r="AQ345" s="3">
        <v>45721</v>
      </c>
      <c r="AR345" s="2">
        <v>4.93</v>
      </c>
      <c r="AS345" s="3">
        <v>45721</v>
      </c>
      <c r="AT345" s="2">
        <v>4.6449999999999996</v>
      </c>
      <c r="AU345" s="3">
        <v>45721</v>
      </c>
      <c r="AV345" s="2">
        <v>4.46</v>
      </c>
      <c r="AW345" s="3">
        <v>45721</v>
      </c>
      <c r="AX345" s="2">
        <v>4.3650000000000002</v>
      </c>
      <c r="AY345" s="3">
        <v>45721</v>
      </c>
      <c r="AZ345" s="2">
        <v>4.32</v>
      </c>
      <c r="BB345" s="3">
        <v>45700</v>
      </c>
      <c r="BC345" s="1">
        <v>3.75</v>
      </c>
      <c r="BD345" s="3">
        <v>45701</v>
      </c>
      <c r="BE345" s="1">
        <v>3.74</v>
      </c>
      <c r="BF345" s="3">
        <v>45721</v>
      </c>
      <c r="BG345" s="1">
        <v>3.66</v>
      </c>
      <c r="BH345" s="3">
        <v>45721</v>
      </c>
      <c r="BI345" s="1">
        <v>3.645</v>
      </c>
      <c r="BJ345" s="3">
        <v>45721</v>
      </c>
      <c r="BK345" s="1">
        <v>3.56</v>
      </c>
      <c r="BL345" s="3">
        <v>45721</v>
      </c>
      <c r="BM345" s="1">
        <v>3.43</v>
      </c>
      <c r="BN345" s="3">
        <v>45721</v>
      </c>
      <c r="BO345" s="1">
        <v>3.32</v>
      </c>
      <c r="BP345" s="3">
        <v>45721</v>
      </c>
      <c r="BQ345" s="1">
        <v>3.28</v>
      </c>
      <c r="BR345" s="3">
        <v>45721</v>
      </c>
      <c r="BS345" s="1">
        <v>3.31</v>
      </c>
      <c r="BT345" s="3">
        <v>45721</v>
      </c>
      <c r="BU345" s="1">
        <v>3.35</v>
      </c>
      <c r="BV345" s="3">
        <v>45721</v>
      </c>
      <c r="BW345" s="1">
        <v>3.41</v>
      </c>
      <c r="BY345" s="3">
        <v>45707</v>
      </c>
      <c r="BZ345" s="1">
        <v>6.5</v>
      </c>
      <c r="CA345" s="3">
        <v>45698</v>
      </c>
      <c r="CB345" s="1">
        <v>6.51</v>
      </c>
      <c r="CC345" s="3">
        <v>45721</v>
      </c>
      <c r="CD345" s="1">
        <v>6.492</v>
      </c>
      <c r="CE345" s="3">
        <v>45721</v>
      </c>
      <c r="CF345" s="1">
        <v>6.4909999999999997</v>
      </c>
      <c r="CG345" s="3">
        <v>45721</v>
      </c>
      <c r="CH345" s="1">
        <v>6.49</v>
      </c>
      <c r="CI345" s="3">
        <v>45721</v>
      </c>
      <c r="CJ345" s="1">
        <v>6.43</v>
      </c>
      <c r="CK345" s="3">
        <v>45721</v>
      </c>
      <c r="CL345" s="1">
        <v>6.11</v>
      </c>
      <c r="CM345" s="3">
        <v>45721</v>
      </c>
      <c r="CN345" s="1">
        <v>5.85</v>
      </c>
      <c r="CO345" s="3">
        <v>45714</v>
      </c>
      <c r="CP345" s="1">
        <v>5.7850000000000001</v>
      </c>
      <c r="CQ345" s="3">
        <v>45714</v>
      </c>
      <c r="CR345" s="1">
        <v>5.77</v>
      </c>
      <c r="CS345" s="3">
        <v>45714</v>
      </c>
      <c r="CT345" s="1">
        <v>5.8049999999999997</v>
      </c>
    </row>
    <row r="346" spans="31:98" x14ac:dyDescent="0.2">
      <c r="AE346" s="3">
        <v>45720</v>
      </c>
      <c r="AF346" s="1">
        <v>5.75</v>
      </c>
      <c r="AG346" s="3">
        <v>45700</v>
      </c>
      <c r="AH346" s="1">
        <v>5.87</v>
      </c>
      <c r="AI346" s="3">
        <v>45720</v>
      </c>
      <c r="AJ346" s="2">
        <v>5.8334999999999999</v>
      </c>
      <c r="AK346" s="3">
        <v>45720</v>
      </c>
      <c r="AL346" s="2">
        <v>5.7949999999999999</v>
      </c>
      <c r="AM346" s="3">
        <v>45720</v>
      </c>
      <c r="AN346" s="2">
        <v>5.7175000000000002</v>
      </c>
      <c r="AO346" s="3">
        <v>45720</v>
      </c>
      <c r="AP346" s="2">
        <v>5.2774999999999999</v>
      </c>
      <c r="AQ346" s="3">
        <v>45720</v>
      </c>
      <c r="AR346" s="2">
        <v>4.8775000000000004</v>
      </c>
      <c r="AS346" s="3">
        <v>45720</v>
      </c>
      <c r="AT346" s="2">
        <v>4.5724999999999998</v>
      </c>
      <c r="AU346" s="3">
        <v>45720</v>
      </c>
      <c r="AV346" s="2">
        <v>4.3674999999999997</v>
      </c>
      <c r="AW346" s="3">
        <v>45720</v>
      </c>
      <c r="AX346" s="2">
        <v>4.2625000000000002</v>
      </c>
      <c r="AY346" s="3">
        <v>45720</v>
      </c>
      <c r="AZ346" s="2">
        <v>4.2074999999999996</v>
      </c>
      <c r="BB346" s="3">
        <v>45699</v>
      </c>
      <c r="BC346" s="1">
        <v>3.75</v>
      </c>
      <c r="BD346" s="3">
        <v>45700</v>
      </c>
      <c r="BE346" s="1">
        <v>3.74</v>
      </c>
      <c r="BF346" s="3">
        <v>45720</v>
      </c>
      <c r="BG346" s="1">
        <v>3.66</v>
      </c>
      <c r="BH346" s="3">
        <v>45720</v>
      </c>
      <c r="BI346" s="1">
        <v>3.6349999999999998</v>
      </c>
      <c r="BJ346" s="3">
        <v>45720</v>
      </c>
      <c r="BK346" s="1">
        <v>3.54</v>
      </c>
      <c r="BL346" s="3">
        <v>45720</v>
      </c>
      <c r="BM346" s="1">
        <v>3.375</v>
      </c>
      <c r="BN346" s="3">
        <v>45720</v>
      </c>
      <c r="BO346" s="1">
        <v>3.2450000000000001</v>
      </c>
      <c r="BP346" s="3">
        <v>45720</v>
      </c>
      <c r="BQ346" s="1">
        <v>3.17</v>
      </c>
      <c r="BR346" s="3">
        <v>45720</v>
      </c>
      <c r="BS346" s="1">
        <v>3.17</v>
      </c>
      <c r="BT346" s="3">
        <v>45720</v>
      </c>
      <c r="BU346" s="1">
        <v>3.1949999999999998</v>
      </c>
      <c r="BV346" s="3">
        <v>45720</v>
      </c>
      <c r="BW346" s="1">
        <v>3.24</v>
      </c>
      <c r="BY346" s="3">
        <v>45706</v>
      </c>
      <c r="BZ346" s="1">
        <v>6.5</v>
      </c>
      <c r="CA346" s="3">
        <v>45695</v>
      </c>
      <c r="CB346" s="1">
        <v>6.5</v>
      </c>
      <c r="CC346" s="3">
        <v>45720</v>
      </c>
      <c r="CD346" s="1">
        <v>6.49</v>
      </c>
      <c r="CE346" s="3">
        <v>45720</v>
      </c>
      <c r="CF346" s="1">
        <v>6.4850000000000003</v>
      </c>
      <c r="CG346" s="3">
        <v>45720</v>
      </c>
      <c r="CH346" s="1">
        <v>6.48</v>
      </c>
      <c r="CI346" s="3">
        <v>45720</v>
      </c>
      <c r="CJ346" s="1">
        <v>6.41</v>
      </c>
      <c r="CK346" s="3">
        <v>45720</v>
      </c>
      <c r="CL346" s="1">
        <v>6.08</v>
      </c>
      <c r="CM346" s="3">
        <v>45720</v>
      </c>
      <c r="CN346" s="1">
        <v>5.82</v>
      </c>
      <c r="CO346" s="3">
        <v>45713</v>
      </c>
      <c r="CP346" s="1">
        <v>5.9</v>
      </c>
      <c r="CQ346" s="3">
        <v>45713</v>
      </c>
      <c r="CR346" s="1">
        <v>5.89</v>
      </c>
      <c r="CS346" s="3">
        <v>45713</v>
      </c>
      <c r="CT346" s="1">
        <v>5.9249999999999998</v>
      </c>
    </row>
    <row r="347" spans="31:98" x14ac:dyDescent="0.2">
      <c r="AE347" s="3">
        <v>45719</v>
      </c>
      <c r="AF347" s="1">
        <v>5.75</v>
      </c>
      <c r="AG347" s="3">
        <v>45699</v>
      </c>
      <c r="AH347" s="1">
        <v>5.87</v>
      </c>
      <c r="AI347" s="3">
        <v>45719</v>
      </c>
      <c r="AJ347" s="2">
        <v>5.8460000000000001</v>
      </c>
      <c r="AK347" s="3">
        <v>45719</v>
      </c>
      <c r="AL347" s="2">
        <v>5.81</v>
      </c>
      <c r="AM347" s="3">
        <v>45719</v>
      </c>
      <c r="AN347" s="2">
        <v>5.74</v>
      </c>
      <c r="AO347" s="3">
        <v>45719</v>
      </c>
      <c r="AP347" s="2">
        <v>5.34</v>
      </c>
      <c r="AQ347" s="3">
        <v>45719</v>
      </c>
      <c r="AR347" s="2">
        <v>4.92</v>
      </c>
      <c r="AS347" s="3">
        <v>45719</v>
      </c>
      <c r="AT347" s="2">
        <v>4.62</v>
      </c>
      <c r="AU347" s="3">
        <v>45719</v>
      </c>
      <c r="AV347" s="2">
        <v>4.42</v>
      </c>
      <c r="AW347" s="3">
        <v>45719</v>
      </c>
      <c r="AX347" s="2">
        <v>4.3150000000000004</v>
      </c>
      <c r="AY347" s="3">
        <v>45719</v>
      </c>
      <c r="AZ347" s="2">
        <v>4.26</v>
      </c>
      <c r="BB347" s="3">
        <v>45698</v>
      </c>
      <c r="BC347" s="1">
        <v>3.75</v>
      </c>
      <c r="BD347" s="3">
        <v>45699</v>
      </c>
      <c r="BE347" s="1">
        <v>3.74</v>
      </c>
      <c r="BF347" s="3">
        <v>45719</v>
      </c>
      <c r="BG347" s="1">
        <v>3.665</v>
      </c>
      <c r="BH347" s="3">
        <v>45719</v>
      </c>
      <c r="BI347" s="1">
        <v>3.66</v>
      </c>
      <c r="BJ347" s="3">
        <v>45719</v>
      </c>
      <c r="BK347" s="1">
        <v>3.5750000000000002</v>
      </c>
      <c r="BL347" s="3">
        <v>45719</v>
      </c>
      <c r="BM347" s="1">
        <v>3.423</v>
      </c>
      <c r="BN347" s="3">
        <v>45719</v>
      </c>
      <c r="BO347" s="1">
        <v>3.3079999999999998</v>
      </c>
      <c r="BP347" s="3">
        <v>45719</v>
      </c>
      <c r="BQ347" s="1">
        <v>3.2349999999999999</v>
      </c>
      <c r="BR347" s="3">
        <v>45719</v>
      </c>
      <c r="BS347" s="1">
        <v>3.2330000000000001</v>
      </c>
      <c r="BT347" s="3">
        <v>45719</v>
      </c>
      <c r="BU347" s="1">
        <v>3.258</v>
      </c>
      <c r="BV347" s="3">
        <v>45719</v>
      </c>
      <c r="BW347" s="1">
        <v>3.3</v>
      </c>
      <c r="BY347" s="3">
        <v>45705</v>
      </c>
      <c r="BZ347" s="1">
        <v>6.5</v>
      </c>
      <c r="CA347" s="3">
        <v>45694</v>
      </c>
      <c r="CB347" s="1">
        <v>6.5</v>
      </c>
      <c r="CC347" s="3">
        <v>45719</v>
      </c>
      <c r="CD347" s="1">
        <v>6.49</v>
      </c>
      <c r="CE347" s="3">
        <v>45719</v>
      </c>
      <c r="CF347" s="1">
        <v>6.4850000000000003</v>
      </c>
      <c r="CG347" s="3">
        <v>45719</v>
      </c>
      <c r="CH347" s="1">
        <v>6.48</v>
      </c>
      <c r="CI347" s="3">
        <v>45719</v>
      </c>
      <c r="CJ347" s="1">
        <v>6.39</v>
      </c>
      <c r="CK347" s="3">
        <v>45719</v>
      </c>
      <c r="CL347" s="1">
        <v>6.0949999999999998</v>
      </c>
      <c r="CM347" s="3">
        <v>45719</v>
      </c>
      <c r="CN347" s="1">
        <v>5.8550000000000004</v>
      </c>
      <c r="CO347" s="3">
        <v>45712</v>
      </c>
      <c r="CP347" s="1">
        <v>5.9550000000000001</v>
      </c>
      <c r="CQ347" s="3">
        <v>45712</v>
      </c>
      <c r="CR347" s="1">
        <v>5.9550000000000001</v>
      </c>
      <c r="CS347" s="3">
        <v>45712</v>
      </c>
      <c r="CT347" s="1">
        <v>5.99</v>
      </c>
    </row>
    <row r="348" spans="31:98" x14ac:dyDescent="0.2">
      <c r="AE348" s="3">
        <v>45716</v>
      </c>
      <c r="AF348" s="1">
        <v>5.75</v>
      </c>
      <c r="AG348" s="3">
        <v>45698</v>
      </c>
      <c r="AH348" s="1">
        <v>5.86</v>
      </c>
      <c r="AI348" s="3">
        <v>45716</v>
      </c>
      <c r="AJ348" s="2">
        <v>5.8445</v>
      </c>
      <c r="AK348" s="3">
        <v>45716</v>
      </c>
      <c r="AL348" s="2">
        <v>5.7934999999999999</v>
      </c>
      <c r="AM348" s="3">
        <v>45716</v>
      </c>
      <c r="AN348" s="2">
        <v>5.73</v>
      </c>
      <c r="AO348" s="3">
        <v>45716</v>
      </c>
      <c r="AP348" s="2">
        <v>5.3013000000000003</v>
      </c>
      <c r="AQ348" s="3">
        <v>45716</v>
      </c>
      <c r="AR348" s="2">
        <v>4.8563000000000001</v>
      </c>
      <c r="AS348" s="3">
        <v>45716</v>
      </c>
      <c r="AT348" s="2">
        <v>4.5575000000000001</v>
      </c>
      <c r="AU348" s="3">
        <v>45716</v>
      </c>
      <c r="AV348" s="2">
        <v>4.3525</v>
      </c>
      <c r="AW348" s="3">
        <v>45716</v>
      </c>
      <c r="AX348" s="2">
        <v>4.2474999999999996</v>
      </c>
      <c r="AY348" s="3">
        <v>45716</v>
      </c>
      <c r="AZ348" s="2">
        <v>4.1974999999999998</v>
      </c>
      <c r="BB348" s="3">
        <v>45695</v>
      </c>
      <c r="BC348" s="1">
        <v>3.75</v>
      </c>
      <c r="BD348" s="3">
        <v>45698</v>
      </c>
      <c r="BE348" s="1">
        <v>3.74</v>
      </c>
      <c r="BF348" s="3">
        <v>45716</v>
      </c>
      <c r="BG348" s="1">
        <v>3.665</v>
      </c>
      <c r="BH348" s="3">
        <v>45716</v>
      </c>
      <c r="BI348" s="1">
        <v>3.65</v>
      </c>
      <c r="BJ348" s="3">
        <v>45716</v>
      </c>
      <c r="BK348" s="1">
        <v>3.5779999999999998</v>
      </c>
      <c r="BL348" s="3">
        <v>45716</v>
      </c>
      <c r="BM348" s="1">
        <v>3.4279999999999999</v>
      </c>
      <c r="BN348" s="3">
        <v>45716</v>
      </c>
      <c r="BO348" s="1">
        <v>3.3180000000000001</v>
      </c>
      <c r="BP348" s="3">
        <v>45716</v>
      </c>
      <c r="BQ348" s="1">
        <v>3.2450000000000001</v>
      </c>
      <c r="BR348" s="3">
        <v>45716</v>
      </c>
      <c r="BS348" s="1">
        <v>3.24</v>
      </c>
      <c r="BT348" s="3">
        <v>45716</v>
      </c>
      <c r="BU348" s="1">
        <v>3.2650000000000001</v>
      </c>
      <c r="BV348" s="3">
        <v>45716</v>
      </c>
      <c r="BW348" s="1">
        <v>3.2949999999999999</v>
      </c>
      <c r="BY348" s="3">
        <v>45702</v>
      </c>
      <c r="BZ348" s="1">
        <v>6.5</v>
      </c>
      <c r="CA348" s="3">
        <v>45693</v>
      </c>
      <c r="CB348" s="1">
        <v>6.5</v>
      </c>
      <c r="CC348" s="3">
        <v>45716</v>
      </c>
      <c r="CD348" s="1">
        <v>6.48</v>
      </c>
      <c r="CE348" s="3">
        <v>45716</v>
      </c>
      <c r="CF348" s="1">
        <v>6.4649999999999999</v>
      </c>
      <c r="CG348" s="3">
        <v>45716</v>
      </c>
      <c r="CH348" s="1">
        <v>6.45</v>
      </c>
      <c r="CI348" s="3">
        <v>45716</v>
      </c>
      <c r="CJ348" s="1">
        <v>6.35</v>
      </c>
      <c r="CK348" s="3">
        <v>45716</v>
      </c>
      <c r="CL348" s="1">
        <v>6.07</v>
      </c>
      <c r="CM348" s="3">
        <v>45716</v>
      </c>
      <c r="CN348" s="1">
        <v>5.82</v>
      </c>
      <c r="CO348" s="3">
        <v>45709</v>
      </c>
      <c r="CP348" s="1">
        <v>6</v>
      </c>
      <c r="CQ348" s="3">
        <v>45709</v>
      </c>
      <c r="CR348" s="1">
        <v>6.0049999999999999</v>
      </c>
      <c r="CS348" s="3">
        <v>45709</v>
      </c>
      <c r="CT348" s="1">
        <v>6.04</v>
      </c>
    </row>
    <row r="349" spans="31:98" x14ac:dyDescent="0.2">
      <c r="AE349" s="3">
        <v>45715</v>
      </c>
      <c r="AF349" s="1">
        <v>5.75</v>
      </c>
      <c r="AG349" s="3">
        <v>45695</v>
      </c>
      <c r="AH349" s="1">
        <v>5.86</v>
      </c>
      <c r="AI349" s="3">
        <v>45715</v>
      </c>
      <c r="AJ349" s="2">
        <v>5.8505000000000003</v>
      </c>
      <c r="AK349" s="3">
        <v>45715</v>
      </c>
      <c r="AL349" s="2">
        <v>5.8150000000000004</v>
      </c>
      <c r="AM349" s="3">
        <v>45715</v>
      </c>
      <c r="AN349" s="2">
        <v>5.74</v>
      </c>
      <c r="AO349" s="3">
        <v>45715</v>
      </c>
      <c r="AP349" s="2">
        <v>5.3250000000000002</v>
      </c>
      <c r="AQ349" s="3">
        <v>45715</v>
      </c>
      <c r="AR349" s="2">
        <v>4.8899999999999997</v>
      </c>
      <c r="AS349" s="3">
        <v>45715</v>
      </c>
      <c r="AT349" s="2">
        <v>4.58</v>
      </c>
      <c r="AU349" s="3">
        <v>45715</v>
      </c>
      <c r="AV349" s="2">
        <v>4.38</v>
      </c>
      <c r="AW349" s="3">
        <v>45715</v>
      </c>
      <c r="AX349" s="2">
        <v>4.28</v>
      </c>
      <c r="AY349" s="3">
        <v>45715</v>
      </c>
      <c r="AZ349" s="2">
        <v>4.2300000000000004</v>
      </c>
      <c r="BB349" s="3">
        <v>45694</v>
      </c>
      <c r="BC349" s="1">
        <v>4</v>
      </c>
      <c r="BD349" s="3">
        <v>45695</v>
      </c>
      <c r="BE349" s="1">
        <v>3.74</v>
      </c>
      <c r="BF349" s="3">
        <v>45715</v>
      </c>
      <c r="BG349" s="1">
        <v>3.665</v>
      </c>
      <c r="BH349" s="3">
        <v>45715</v>
      </c>
      <c r="BI349" s="1">
        <v>3.65</v>
      </c>
      <c r="BJ349" s="3">
        <v>45715</v>
      </c>
      <c r="BK349" s="1">
        <v>3.58</v>
      </c>
      <c r="BL349" s="3">
        <v>45715</v>
      </c>
      <c r="BM349" s="1">
        <v>3.43</v>
      </c>
      <c r="BN349" s="3">
        <v>45715</v>
      </c>
      <c r="BO349" s="1">
        <v>3.3130000000000002</v>
      </c>
      <c r="BP349" s="3">
        <v>45715</v>
      </c>
      <c r="BQ349" s="1">
        <v>3.238</v>
      </c>
      <c r="BR349" s="3">
        <v>45715</v>
      </c>
      <c r="BS349" s="1">
        <v>3.2349999999999999</v>
      </c>
      <c r="BT349" s="3">
        <v>45715</v>
      </c>
      <c r="BU349" s="1">
        <v>3.2549999999999999</v>
      </c>
      <c r="BV349" s="3">
        <v>45715</v>
      </c>
      <c r="BW349" s="1">
        <v>3.2879999999999998</v>
      </c>
      <c r="BY349" s="3">
        <v>45701</v>
      </c>
      <c r="BZ349" s="1">
        <v>6.5</v>
      </c>
      <c r="CA349" s="3">
        <v>45692</v>
      </c>
      <c r="CB349" s="1">
        <v>6.5</v>
      </c>
      <c r="CC349" s="3">
        <v>45715</v>
      </c>
      <c r="CD349" s="1">
        <v>6.4870000000000001</v>
      </c>
      <c r="CE349" s="3">
        <v>45715</v>
      </c>
      <c r="CF349" s="1">
        <v>6.4749999999999996</v>
      </c>
      <c r="CG349" s="3">
        <v>45715</v>
      </c>
      <c r="CH349" s="1">
        <v>6.47</v>
      </c>
      <c r="CI349" s="3">
        <v>45715</v>
      </c>
      <c r="CJ349" s="1">
        <v>6.37</v>
      </c>
      <c r="CK349" s="3">
        <v>45715</v>
      </c>
      <c r="CL349" s="1">
        <v>6.1</v>
      </c>
      <c r="CM349" s="3">
        <v>45715</v>
      </c>
      <c r="CN349" s="1">
        <v>5.8449999999999998</v>
      </c>
      <c r="CO349" s="3">
        <v>45708</v>
      </c>
      <c r="CP349" s="1">
        <v>6.02</v>
      </c>
      <c r="CQ349" s="3">
        <v>45708</v>
      </c>
      <c r="CR349" s="1">
        <v>6.02</v>
      </c>
      <c r="CS349" s="3">
        <v>45708</v>
      </c>
      <c r="CT349" s="1">
        <v>6.05</v>
      </c>
    </row>
    <row r="350" spans="31:98" x14ac:dyDescent="0.2">
      <c r="AE350" s="3">
        <v>45714</v>
      </c>
      <c r="AF350" s="1">
        <v>5.75</v>
      </c>
      <c r="AG350" s="3">
        <v>45694</v>
      </c>
      <c r="AH350" s="1">
        <v>5.85</v>
      </c>
      <c r="AI350" s="3">
        <v>45714</v>
      </c>
      <c r="AJ350" s="2">
        <v>5.8540000000000001</v>
      </c>
      <c r="AK350" s="3">
        <v>45714</v>
      </c>
      <c r="AL350" s="2">
        <v>5.8250000000000002</v>
      </c>
      <c r="AM350" s="3">
        <v>45714</v>
      </c>
      <c r="AN350" s="2">
        <v>5.7549999999999999</v>
      </c>
      <c r="AO350" s="3">
        <v>45714</v>
      </c>
      <c r="AP350" s="2">
        <v>5.3624999999999998</v>
      </c>
      <c r="AQ350" s="3">
        <v>45714</v>
      </c>
      <c r="AR350" s="2">
        <v>4.9400000000000004</v>
      </c>
      <c r="AS350" s="3">
        <v>45714</v>
      </c>
      <c r="AT350" s="2">
        <v>4.6550000000000002</v>
      </c>
      <c r="AU350" s="3">
        <v>45714</v>
      </c>
      <c r="AV350" s="2">
        <v>4.46</v>
      </c>
      <c r="AW350" s="3">
        <v>45714</v>
      </c>
      <c r="AX350" s="2">
        <v>4.3600000000000003</v>
      </c>
      <c r="AY350" s="3">
        <v>45714</v>
      </c>
      <c r="AZ350" s="2">
        <v>4.3099999999999996</v>
      </c>
      <c r="BB350" s="3">
        <v>45693</v>
      </c>
      <c r="BC350" s="1">
        <v>4</v>
      </c>
      <c r="BD350" s="3">
        <v>45694</v>
      </c>
      <c r="BE350" s="1">
        <v>3.82</v>
      </c>
      <c r="BF350" s="3">
        <v>45714</v>
      </c>
      <c r="BG350" s="1">
        <v>3.6850000000000001</v>
      </c>
      <c r="BH350" s="3">
        <v>45714</v>
      </c>
      <c r="BI350" s="1">
        <v>3.67</v>
      </c>
      <c r="BJ350" s="3">
        <v>45714</v>
      </c>
      <c r="BK350" s="1">
        <v>3.593</v>
      </c>
      <c r="BL350" s="3">
        <v>45714</v>
      </c>
      <c r="BM350" s="1">
        <v>3.4550000000000001</v>
      </c>
      <c r="BN350" s="3">
        <v>45714</v>
      </c>
      <c r="BO350" s="1">
        <v>3.355</v>
      </c>
      <c r="BP350" s="3">
        <v>45714</v>
      </c>
      <c r="BQ350" s="1">
        <v>3.2930000000000001</v>
      </c>
      <c r="BR350" s="3">
        <v>45714</v>
      </c>
      <c r="BS350" s="1">
        <v>3.298</v>
      </c>
      <c r="BT350" s="3">
        <v>45714</v>
      </c>
      <c r="BU350" s="1">
        <v>3.33</v>
      </c>
      <c r="BV350" s="3">
        <v>45714</v>
      </c>
      <c r="BW350" s="1">
        <v>3.37</v>
      </c>
      <c r="BY350" s="3">
        <v>45700</v>
      </c>
      <c r="BZ350" s="1">
        <v>6.5</v>
      </c>
      <c r="CA350" s="3">
        <v>45691</v>
      </c>
      <c r="CB350" s="1">
        <v>6.5</v>
      </c>
      <c r="CC350" s="3">
        <v>45714</v>
      </c>
      <c r="CD350" s="1">
        <v>6.48</v>
      </c>
      <c r="CE350" s="3">
        <v>45714</v>
      </c>
      <c r="CF350" s="1">
        <v>6.46</v>
      </c>
      <c r="CG350" s="3">
        <v>45714</v>
      </c>
      <c r="CH350" s="1">
        <v>6.45</v>
      </c>
      <c r="CI350" s="3">
        <v>45714</v>
      </c>
      <c r="CJ350" s="1">
        <v>6.34</v>
      </c>
      <c r="CK350" s="3">
        <v>45714</v>
      </c>
      <c r="CL350" s="1">
        <v>6.08</v>
      </c>
      <c r="CM350" s="3">
        <v>45714</v>
      </c>
      <c r="CN350" s="1">
        <v>5.8650000000000002</v>
      </c>
      <c r="CO350" s="3">
        <v>45707</v>
      </c>
      <c r="CP350" s="1">
        <v>6.05</v>
      </c>
      <c r="CQ350" s="3">
        <v>45707</v>
      </c>
      <c r="CR350" s="1">
        <v>6.05</v>
      </c>
      <c r="CS350" s="3">
        <v>45707</v>
      </c>
      <c r="CT350" s="1">
        <v>6.08</v>
      </c>
    </row>
    <row r="351" spans="31:98" x14ac:dyDescent="0.2">
      <c r="AE351" s="3">
        <v>45713</v>
      </c>
      <c r="AF351" s="1">
        <v>5.75</v>
      </c>
      <c r="AG351" s="3">
        <v>45693</v>
      </c>
      <c r="AH351" s="1">
        <v>5.84</v>
      </c>
      <c r="AI351" s="3">
        <v>45713</v>
      </c>
      <c r="AJ351" s="2">
        <v>5.8574999999999999</v>
      </c>
      <c r="AK351" s="3">
        <v>45713</v>
      </c>
      <c r="AL351" s="2">
        <v>5.8250000000000002</v>
      </c>
      <c r="AM351" s="3">
        <v>45713</v>
      </c>
      <c r="AN351" s="2">
        <v>5.7750000000000004</v>
      </c>
      <c r="AO351" s="3">
        <v>45713</v>
      </c>
      <c r="AP351" s="2">
        <v>5.4050000000000002</v>
      </c>
      <c r="AQ351" s="3">
        <v>45713</v>
      </c>
      <c r="AR351" s="2">
        <v>4.9850000000000003</v>
      </c>
      <c r="AS351" s="3">
        <v>45713</v>
      </c>
      <c r="AT351" s="2">
        <v>4.6924999999999999</v>
      </c>
      <c r="AU351" s="3">
        <v>45713</v>
      </c>
      <c r="AV351" s="2">
        <v>4.5075000000000003</v>
      </c>
      <c r="AW351" s="3">
        <v>45713</v>
      </c>
      <c r="AX351" s="2">
        <v>4.4050000000000002</v>
      </c>
      <c r="AY351" s="3">
        <v>45713</v>
      </c>
      <c r="AZ351" s="2">
        <v>4.3499999999999996</v>
      </c>
      <c r="BB351" s="3">
        <v>45692</v>
      </c>
      <c r="BC351" s="1">
        <v>4</v>
      </c>
      <c r="BD351" s="3">
        <v>45693</v>
      </c>
      <c r="BE351" s="1">
        <v>3.83</v>
      </c>
      <c r="BF351" s="3">
        <v>45713</v>
      </c>
      <c r="BG351" s="1">
        <v>3.7050000000000001</v>
      </c>
      <c r="BH351" s="3">
        <v>45713</v>
      </c>
      <c r="BI351" s="1">
        <v>3.6749999999999998</v>
      </c>
      <c r="BJ351" s="3">
        <v>45713</v>
      </c>
      <c r="BK351" s="1">
        <v>3.6</v>
      </c>
      <c r="BL351" s="3">
        <v>45713</v>
      </c>
      <c r="BM351" s="1">
        <v>3.46</v>
      </c>
      <c r="BN351" s="3">
        <v>45713</v>
      </c>
      <c r="BO351" s="1">
        <v>3.35</v>
      </c>
      <c r="BP351" s="3">
        <v>45713</v>
      </c>
      <c r="BQ351" s="1">
        <v>3.29</v>
      </c>
      <c r="BR351" s="3">
        <v>45713</v>
      </c>
      <c r="BS351" s="1">
        <v>3.2930000000000001</v>
      </c>
      <c r="BT351" s="3">
        <v>45713</v>
      </c>
      <c r="BU351" s="1">
        <v>3.3250000000000002</v>
      </c>
      <c r="BV351" s="3">
        <v>45713</v>
      </c>
      <c r="BW351" s="1">
        <v>3.3730000000000002</v>
      </c>
      <c r="BY351" s="3">
        <v>45699</v>
      </c>
      <c r="BZ351" s="1">
        <v>6.5</v>
      </c>
      <c r="CA351" s="3">
        <v>45688</v>
      </c>
      <c r="CB351" s="1">
        <v>6.5</v>
      </c>
      <c r="CC351" s="3">
        <v>45713</v>
      </c>
      <c r="CD351" s="1">
        <v>6.4909999999999997</v>
      </c>
      <c r="CE351" s="3">
        <v>45713</v>
      </c>
      <c r="CF351" s="1">
        <v>6.4710000000000001</v>
      </c>
      <c r="CG351" s="3">
        <v>45713</v>
      </c>
      <c r="CH351" s="1">
        <v>6.45</v>
      </c>
      <c r="CI351" s="3">
        <v>45713</v>
      </c>
      <c r="CJ351" s="1">
        <v>6.35</v>
      </c>
      <c r="CK351" s="3">
        <v>45713</v>
      </c>
      <c r="CL351" s="1">
        <v>6.11</v>
      </c>
      <c r="CM351" s="3">
        <v>45713</v>
      </c>
      <c r="CN351" s="1">
        <v>5.9349999999999996</v>
      </c>
      <c r="CO351" s="3">
        <v>45706</v>
      </c>
      <c r="CP351" s="1">
        <v>6.02</v>
      </c>
      <c r="CQ351" s="3">
        <v>45706</v>
      </c>
      <c r="CR351" s="1">
        <v>6</v>
      </c>
      <c r="CS351" s="3">
        <v>45706</v>
      </c>
      <c r="CT351" s="1">
        <v>6.02</v>
      </c>
    </row>
    <row r="352" spans="31:98" x14ac:dyDescent="0.2">
      <c r="AE352" s="3">
        <v>45712</v>
      </c>
      <c r="AF352" s="1">
        <v>5.75</v>
      </c>
      <c r="AG352" s="3">
        <v>45692</v>
      </c>
      <c r="AH352" s="1">
        <v>5.86</v>
      </c>
      <c r="AI352" s="3">
        <v>45712</v>
      </c>
      <c r="AJ352" s="2">
        <v>5.8620000000000001</v>
      </c>
      <c r="AK352" s="3">
        <v>45712</v>
      </c>
      <c r="AL352" s="2">
        <v>5.8250000000000002</v>
      </c>
      <c r="AM352" s="3">
        <v>45712</v>
      </c>
      <c r="AN352" s="2">
        <v>5.78</v>
      </c>
      <c r="AO352" s="3">
        <v>45712</v>
      </c>
      <c r="AP352" s="2">
        <v>5.4349999999999996</v>
      </c>
      <c r="AQ352" s="3">
        <v>45712</v>
      </c>
      <c r="AR352" s="2">
        <v>5.0225</v>
      </c>
      <c r="AS352" s="3">
        <v>45712</v>
      </c>
      <c r="AT352" s="2">
        <v>4.7474999999999996</v>
      </c>
      <c r="AU352" s="3">
        <v>45712</v>
      </c>
      <c r="AV352" s="2">
        <v>4.57</v>
      </c>
      <c r="AW352" s="3">
        <v>45712</v>
      </c>
      <c r="AX352" s="2">
        <v>4.4725000000000001</v>
      </c>
      <c r="AY352" s="3">
        <v>45712</v>
      </c>
      <c r="AZ352" s="2">
        <v>4.4175000000000004</v>
      </c>
      <c r="BB352" s="3">
        <v>45691</v>
      </c>
      <c r="BC352" s="1">
        <v>4</v>
      </c>
      <c r="BD352" s="3">
        <v>45692</v>
      </c>
      <c r="BE352" s="1">
        <v>3.83</v>
      </c>
      <c r="BF352" s="3">
        <v>45712</v>
      </c>
      <c r="BG352" s="1">
        <v>3.7149999999999999</v>
      </c>
      <c r="BH352" s="3">
        <v>45712</v>
      </c>
      <c r="BI352" s="1">
        <v>3.6829999999999998</v>
      </c>
      <c r="BJ352" s="3">
        <v>45712</v>
      </c>
      <c r="BK352" s="1">
        <v>3.6150000000000002</v>
      </c>
      <c r="BL352" s="3">
        <v>45712</v>
      </c>
      <c r="BM352" s="1">
        <v>3.4830000000000001</v>
      </c>
      <c r="BN352" s="3">
        <v>45712</v>
      </c>
      <c r="BO352" s="1">
        <v>3.39</v>
      </c>
      <c r="BP352" s="3">
        <v>45712</v>
      </c>
      <c r="BQ352" s="1">
        <v>3.3330000000000002</v>
      </c>
      <c r="BR352" s="3">
        <v>45712</v>
      </c>
      <c r="BS352" s="1">
        <v>3.3279999999999998</v>
      </c>
      <c r="BT352" s="3">
        <v>45712</v>
      </c>
      <c r="BU352" s="1">
        <v>3.36</v>
      </c>
      <c r="BV352" s="3">
        <v>45712</v>
      </c>
      <c r="BW352" s="1">
        <v>3.3929999999999998</v>
      </c>
      <c r="BY352" s="3">
        <v>45698</v>
      </c>
      <c r="BZ352" s="1">
        <v>6.5</v>
      </c>
      <c r="CA352" s="3">
        <v>45687</v>
      </c>
      <c r="CB352" s="1">
        <v>6.5</v>
      </c>
      <c r="CC352" s="3">
        <v>45712</v>
      </c>
      <c r="CD352" s="1">
        <v>6.492</v>
      </c>
      <c r="CE352" s="3">
        <v>45712</v>
      </c>
      <c r="CF352" s="1">
        <v>6.4829999999999997</v>
      </c>
      <c r="CG352" s="3">
        <v>45712</v>
      </c>
      <c r="CH352" s="1">
        <v>6.46</v>
      </c>
      <c r="CI352" s="3">
        <v>45712</v>
      </c>
      <c r="CJ352" s="1">
        <v>6.37</v>
      </c>
      <c r="CK352" s="3">
        <v>45712</v>
      </c>
      <c r="CL352" s="1">
        <v>6.13</v>
      </c>
      <c r="CM352" s="3">
        <v>45712</v>
      </c>
      <c r="CN352" s="1">
        <v>5.99</v>
      </c>
      <c r="CO352" s="3">
        <v>45705</v>
      </c>
      <c r="CP352" s="1">
        <v>6.0175000000000001</v>
      </c>
      <c r="CQ352" s="3">
        <v>45705</v>
      </c>
      <c r="CR352" s="1">
        <v>5.99</v>
      </c>
      <c r="CS352" s="3">
        <v>45705</v>
      </c>
      <c r="CT352" s="1">
        <v>6.0075000000000003</v>
      </c>
    </row>
    <row r="353" spans="31:98" x14ac:dyDescent="0.2">
      <c r="AE353" s="3">
        <v>45709</v>
      </c>
      <c r="AF353" s="1">
        <v>5.75</v>
      </c>
      <c r="AG353" s="3">
        <v>45691</v>
      </c>
      <c r="AH353" s="1">
        <v>5.85</v>
      </c>
      <c r="AI353" s="3">
        <v>45709</v>
      </c>
      <c r="AJ353" s="2">
        <v>5.8525</v>
      </c>
      <c r="AK353" s="3">
        <v>45709</v>
      </c>
      <c r="AL353" s="2">
        <v>5.819</v>
      </c>
      <c r="AM353" s="3">
        <v>45709</v>
      </c>
      <c r="AN353" s="2">
        <v>5.77</v>
      </c>
      <c r="AO353" s="3">
        <v>45709</v>
      </c>
      <c r="AP353" s="2">
        <v>5.43</v>
      </c>
      <c r="AQ353" s="3">
        <v>45709</v>
      </c>
      <c r="AR353" s="2">
        <v>5.0175000000000001</v>
      </c>
      <c r="AS353" s="3">
        <v>45709</v>
      </c>
      <c r="AT353" s="2">
        <v>4.7474999999999996</v>
      </c>
      <c r="AU353" s="3">
        <v>45709</v>
      </c>
      <c r="AV353" s="2">
        <v>4.5724999999999998</v>
      </c>
      <c r="AW353" s="3">
        <v>45709</v>
      </c>
      <c r="AX353" s="2">
        <v>4.4775</v>
      </c>
      <c r="AY353" s="3">
        <v>45709</v>
      </c>
      <c r="AZ353" s="2">
        <v>4.4225000000000003</v>
      </c>
      <c r="BB353" s="3">
        <v>45688</v>
      </c>
      <c r="BC353" s="1">
        <v>4</v>
      </c>
      <c r="BD353" s="3">
        <v>45691</v>
      </c>
      <c r="BE353" s="1">
        <v>3.83</v>
      </c>
      <c r="BF353" s="3">
        <v>45709</v>
      </c>
      <c r="BG353" s="1">
        <v>3.7149999999999999</v>
      </c>
      <c r="BH353" s="3">
        <v>45709</v>
      </c>
      <c r="BI353" s="1">
        <v>3.6850000000000001</v>
      </c>
      <c r="BJ353" s="3">
        <v>45709</v>
      </c>
      <c r="BK353" s="1">
        <v>3.61</v>
      </c>
      <c r="BL353" s="3">
        <v>45709</v>
      </c>
      <c r="BM353" s="1">
        <v>3.4750000000000001</v>
      </c>
      <c r="BN353" s="3">
        <v>45709</v>
      </c>
      <c r="BO353" s="1">
        <v>3.383</v>
      </c>
      <c r="BP353" s="3">
        <v>45709</v>
      </c>
      <c r="BQ353" s="1">
        <v>3.323</v>
      </c>
      <c r="BR353" s="3">
        <v>45709</v>
      </c>
      <c r="BS353" s="1">
        <v>3.3180000000000001</v>
      </c>
      <c r="BT353" s="3">
        <v>45709</v>
      </c>
      <c r="BU353" s="1">
        <v>3.3479999999999999</v>
      </c>
      <c r="BV353" s="3">
        <v>45709</v>
      </c>
      <c r="BW353" s="1">
        <v>3.3849999999999998</v>
      </c>
      <c r="BY353" s="3">
        <v>45695</v>
      </c>
      <c r="BZ353" s="1">
        <v>6.5</v>
      </c>
      <c r="CA353" s="3">
        <v>45686</v>
      </c>
      <c r="CB353" s="1">
        <v>6.5</v>
      </c>
      <c r="CC353" s="3">
        <v>45709</v>
      </c>
      <c r="CD353" s="1">
        <v>6.508</v>
      </c>
      <c r="CE353" s="3">
        <v>45709</v>
      </c>
      <c r="CF353" s="1">
        <v>6.484</v>
      </c>
      <c r="CG353" s="3">
        <v>45709</v>
      </c>
      <c r="CH353" s="1">
        <v>6.47</v>
      </c>
      <c r="CI353" s="3">
        <v>45709</v>
      </c>
      <c r="CJ353" s="1">
        <v>6.39</v>
      </c>
      <c r="CK353" s="3">
        <v>45709</v>
      </c>
      <c r="CL353" s="1">
        <v>6.16</v>
      </c>
      <c r="CM353" s="3">
        <v>45709</v>
      </c>
      <c r="CN353" s="1">
        <v>6.0350000000000001</v>
      </c>
      <c r="CO353" s="3">
        <v>45702</v>
      </c>
      <c r="CP353" s="1">
        <v>6.0449999999999999</v>
      </c>
      <c r="CQ353" s="3">
        <v>45702</v>
      </c>
      <c r="CR353" s="1">
        <v>6.02</v>
      </c>
      <c r="CS353" s="3">
        <v>45702</v>
      </c>
      <c r="CT353" s="1">
        <v>6.04</v>
      </c>
    </row>
    <row r="354" spans="31:98" x14ac:dyDescent="0.2">
      <c r="AE354" s="3">
        <v>45708</v>
      </c>
      <c r="AF354" s="1">
        <v>5.75</v>
      </c>
      <c r="AG354" s="3">
        <v>45688</v>
      </c>
      <c r="AH354" s="1">
        <v>5.86</v>
      </c>
      <c r="AI354" s="3">
        <v>45708</v>
      </c>
      <c r="AJ354" s="2">
        <v>5.8559999999999999</v>
      </c>
      <c r="AK354" s="3">
        <v>45708</v>
      </c>
      <c r="AL354" s="2">
        <v>5.8224999999999998</v>
      </c>
      <c r="AM354" s="3">
        <v>45708</v>
      </c>
      <c r="AN354" s="2">
        <v>5.7850000000000001</v>
      </c>
      <c r="AO354" s="3">
        <v>45708</v>
      </c>
      <c r="AP354" s="2">
        <v>5.45</v>
      </c>
      <c r="AQ354" s="3">
        <v>45708</v>
      </c>
      <c r="AR354" s="2">
        <v>5.05</v>
      </c>
      <c r="AS354" s="3">
        <v>45708</v>
      </c>
      <c r="AT354" s="2">
        <v>4.79</v>
      </c>
      <c r="AU354" s="3">
        <v>45708</v>
      </c>
      <c r="AV354" s="2">
        <v>4.6150000000000002</v>
      </c>
      <c r="AW354" s="3">
        <v>45708</v>
      </c>
      <c r="AX354" s="2">
        <v>4.5250000000000004</v>
      </c>
      <c r="AY354" s="3">
        <v>45708</v>
      </c>
      <c r="AZ354" s="2">
        <v>4.4749999999999996</v>
      </c>
      <c r="BB354" s="3">
        <v>45687</v>
      </c>
      <c r="BC354" s="1">
        <v>4</v>
      </c>
      <c r="BD354" s="3">
        <v>45688</v>
      </c>
      <c r="BE354" s="1">
        <v>3.83</v>
      </c>
      <c r="BF354" s="3">
        <v>45708</v>
      </c>
      <c r="BG354" s="1">
        <v>3.7149999999999999</v>
      </c>
      <c r="BH354" s="3">
        <v>45708</v>
      </c>
      <c r="BI354" s="1">
        <v>3.6850000000000001</v>
      </c>
      <c r="BJ354" s="3">
        <v>45708</v>
      </c>
      <c r="BK354" s="1">
        <v>3.62</v>
      </c>
      <c r="BL354" s="3">
        <v>45708</v>
      </c>
      <c r="BM354" s="1">
        <v>3.4830000000000001</v>
      </c>
      <c r="BN354" s="3">
        <v>45708</v>
      </c>
      <c r="BO354" s="1">
        <v>3.415</v>
      </c>
      <c r="BP354" s="3">
        <v>45708</v>
      </c>
      <c r="BQ354" s="1">
        <v>3.3530000000000002</v>
      </c>
      <c r="BR354" s="3">
        <v>45708</v>
      </c>
      <c r="BS354" s="1">
        <v>3.3479999999999999</v>
      </c>
      <c r="BT354" s="3">
        <v>45708</v>
      </c>
      <c r="BU354" s="1">
        <v>3.375</v>
      </c>
      <c r="BV354" s="3">
        <v>45708</v>
      </c>
      <c r="BW354" s="1">
        <v>3.415</v>
      </c>
      <c r="BY354" s="3">
        <v>45694</v>
      </c>
      <c r="BZ354" s="1">
        <v>6.5</v>
      </c>
      <c r="CA354" s="3">
        <v>45685</v>
      </c>
      <c r="CB354" s="1">
        <v>6.5</v>
      </c>
      <c r="CC354" s="3">
        <v>45708</v>
      </c>
      <c r="CD354" s="1">
        <v>6.5170000000000003</v>
      </c>
      <c r="CE354" s="3">
        <v>45708</v>
      </c>
      <c r="CF354" s="1">
        <v>6.5030000000000001</v>
      </c>
      <c r="CG354" s="3">
        <v>45708</v>
      </c>
      <c r="CH354" s="1">
        <v>6.48</v>
      </c>
      <c r="CI354" s="3">
        <v>45708</v>
      </c>
      <c r="CJ354" s="1">
        <v>6.39</v>
      </c>
      <c r="CK354" s="3">
        <v>45708</v>
      </c>
      <c r="CL354" s="1">
        <v>6.18</v>
      </c>
      <c r="CM354" s="3">
        <v>45708</v>
      </c>
      <c r="CN354" s="1">
        <v>6.0549999999999997</v>
      </c>
      <c r="CO354" s="3">
        <v>45701</v>
      </c>
      <c r="CP354" s="1">
        <v>6.06</v>
      </c>
      <c r="CQ354" s="3">
        <v>45701</v>
      </c>
      <c r="CR354" s="1">
        <v>6.0449999999999999</v>
      </c>
      <c r="CS354" s="3">
        <v>45701</v>
      </c>
      <c r="CT354" s="1">
        <v>6.07</v>
      </c>
    </row>
    <row r="355" spans="31:98" x14ac:dyDescent="0.2">
      <c r="AE355" s="3">
        <v>45707</v>
      </c>
      <c r="AF355" s="1">
        <v>5.75</v>
      </c>
      <c r="AG355" s="3">
        <v>45687</v>
      </c>
      <c r="AH355" s="1">
        <v>5.86</v>
      </c>
      <c r="AI355" s="3">
        <v>45707</v>
      </c>
      <c r="AJ355" s="2">
        <v>5.8555000000000001</v>
      </c>
      <c r="AK355" s="3">
        <v>45707</v>
      </c>
      <c r="AL355" s="2">
        <v>5.8224999999999998</v>
      </c>
      <c r="AM355" s="3">
        <v>45707</v>
      </c>
      <c r="AN355" s="2">
        <v>5.79</v>
      </c>
      <c r="AO355" s="3">
        <v>45707</v>
      </c>
      <c r="AP355" s="2">
        <v>5.4550000000000001</v>
      </c>
      <c r="AQ355" s="3">
        <v>45707</v>
      </c>
      <c r="AR355" s="2">
        <v>5.04</v>
      </c>
      <c r="AS355" s="3">
        <v>45707</v>
      </c>
      <c r="AT355" s="2">
        <v>4.7675000000000001</v>
      </c>
      <c r="AU355" s="3">
        <v>45707</v>
      </c>
      <c r="AV355" s="2">
        <v>4.5875000000000004</v>
      </c>
      <c r="AW355" s="3">
        <v>45707</v>
      </c>
      <c r="AX355" s="2">
        <v>4.4974999999999996</v>
      </c>
      <c r="AY355" s="3">
        <v>45707</v>
      </c>
      <c r="AZ355" s="2">
        <v>4.4474999999999998</v>
      </c>
      <c r="BB355" s="3">
        <v>45686</v>
      </c>
      <c r="BC355" s="1">
        <v>4</v>
      </c>
      <c r="BD355" s="3">
        <v>45687</v>
      </c>
      <c r="BE355" s="1">
        <v>3.83</v>
      </c>
      <c r="BF355" s="3">
        <v>45707</v>
      </c>
      <c r="BG355" s="1">
        <v>3.7149999999999999</v>
      </c>
      <c r="BH355" s="3">
        <v>45707</v>
      </c>
      <c r="BI355" s="1">
        <v>3.673</v>
      </c>
      <c r="BJ355" s="3">
        <v>45707</v>
      </c>
      <c r="BK355" s="1">
        <v>3.605</v>
      </c>
      <c r="BL355" s="3">
        <v>45707</v>
      </c>
      <c r="BM355" s="1">
        <v>3.4729999999999999</v>
      </c>
      <c r="BN355" s="3">
        <v>45707</v>
      </c>
      <c r="BO355" s="1">
        <v>3.4</v>
      </c>
      <c r="BP355" s="3">
        <v>45707</v>
      </c>
      <c r="BQ355" s="1">
        <v>3.34</v>
      </c>
      <c r="BR355" s="3">
        <v>45707</v>
      </c>
      <c r="BS355" s="1">
        <v>3.335</v>
      </c>
      <c r="BT355" s="3">
        <v>45707</v>
      </c>
      <c r="BU355" s="1">
        <v>3.3650000000000002</v>
      </c>
      <c r="BV355" s="3">
        <v>45707</v>
      </c>
      <c r="BW355" s="1">
        <v>3.4049999999999998</v>
      </c>
      <c r="BY355" s="3">
        <v>45693</v>
      </c>
      <c r="BZ355" s="1">
        <v>6.5</v>
      </c>
      <c r="CA355" s="3">
        <v>45684</v>
      </c>
      <c r="CB355" s="1">
        <v>6.5</v>
      </c>
      <c r="CC355" s="3">
        <v>45707</v>
      </c>
      <c r="CD355" s="1">
        <v>6.5279999999999996</v>
      </c>
      <c r="CE355" s="3">
        <v>45707</v>
      </c>
      <c r="CF355" s="1">
        <v>6.51</v>
      </c>
      <c r="CG355" s="3">
        <v>45707</v>
      </c>
      <c r="CH355" s="1">
        <v>6.49</v>
      </c>
      <c r="CI355" s="3">
        <v>45707</v>
      </c>
      <c r="CJ355" s="1">
        <v>6.4</v>
      </c>
      <c r="CK355" s="3">
        <v>45707</v>
      </c>
      <c r="CL355" s="1">
        <v>6.2</v>
      </c>
      <c r="CM355" s="3">
        <v>45707</v>
      </c>
      <c r="CN355" s="1">
        <v>6.085</v>
      </c>
      <c r="CO355" s="3">
        <v>45700</v>
      </c>
      <c r="CP355" s="1">
        <v>6.2149999999999999</v>
      </c>
      <c r="CQ355" s="3">
        <v>45700</v>
      </c>
      <c r="CR355" s="1">
        <v>6.2</v>
      </c>
      <c r="CS355" s="3">
        <v>45700</v>
      </c>
      <c r="CT355" s="1">
        <v>6.2249999999999996</v>
      </c>
    </row>
    <row r="356" spans="31:98" x14ac:dyDescent="0.2">
      <c r="AE356" s="3">
        <v>45706</v>
      </c>
      <c r="AF356" s="1">
        <v>5.75</v>
      </c>
      <c r="AG356" s="3">
        <v>45686</v>
      </c>
      <c r="AH356" s="1">
        <v>5.86</v>
      </c>
      <c r="AI356" s="3">
        <v>45706</v>
      </c>
      <c r="AJ356" s="2">
        <v>5.8594999999999997</v>
      </c>
      <c r="AK356" s="3">
        <v>45706</v>
      </c>
      <c r="AL356" s="2">
        <v>5.8224999999999998</v>
      </c>
      <c r="AM356" s="3">
        <v>45706</v>
      </c>
      <c r="AN356" s="2">
        <v>5.7850000000000001</v>
      </c>
      <c r="AO356" s="3">
        <v>45706</v>
      </c>
      <c r="AP356" s="2">
        <v>5.45</v>
      </c>
      <c r="AQ356" s="3">
        <v>45706</v>
      </c>
      <c r="AR356" s="2">
        <v>5.0350000000000001</v>
      </c>
      <c r="AS356" s="3">
        <v>45706</v>
      </c>
      <c r="AT356" s="2">
        <v>4.7699999999999996</v>
      </c>
      <c r="AU356" s="3">
        <v>45706</v>
      </c>
      <c r="AV356" s="2">
        <v>4.59</v>
      </c>
      <c r="AW356" s="3">
        <v>45706</v>
      </c>
      <c r="AX356" s="2">
        <v>4.49</v>
      </c>
      <c r="AY356" s="3">
        <v>45706</v>
      </c>
      <c r="AZ356" s="2">
        <v>4.4400000000000004</v>
      </c>
      <c r="BB356" s="3">
        <v>45685</v>
      </c>
      <c r="BC356" s="1">
        <v>4</v>
      </c>
      <c r="BD356" s="3">
        <v>45686</v>
      </c>
      <c r="BE356" s="1">
        <v>3.84</v>
      </c>
      <c r="BF356" s="3">
        <v>45706</v>
      </c>
      <c r="BG356" s="1">
        <v>3.7</v>
      </c>
      <c r="BH356" s="3">
        <v>45706</v>
      </c>
      <c r="BI356" s="1">
        <v>3.665</v>
      </c>
      <c r="BJ356" s="3">
        <v>45706</v>
      </c>
      <c r="BK356" s="1">
        <v>3.59</v>
      </c>
      <c r="BL356" s="3">
        <v>45706</v>
      </c>
      <c r="BM356" s="1">
        <v>3.4529999999999998</v>
      </c>
      <c r="BN356" s="3">
        <v>45706</v>
      </c>
      <c r="BO356" s="1">
        <v>3.3730000000000002</v>
      </c>
      <c r="BP356" s="3">
        <v>45706</v>
      </c>
      <c r="BQ356" s="1">
        <v>3.3050000000000002</v>
      </c>
      <c r="BR356" s="3">
        <v>45706</v>
      </c>
      <c r="BS356" s="1">
        <v>3.3</v>
      </c>
      <c r="BT356" s="3">
        <v>45706</v>
      </c>
      <c r="BU356" s="1">
        <v>3.33</v>
      </c>
      <c r="BV356" s="3">
        <v>45706</v>
      </c>
      <c r="BW356" s="1">
        <v>3.363</v>
      </c>
      <c r="BY356" s="3">
        <v>45692</v>
      </c>
      <c r="BZ356" s="1">
        <v>6.5</v>
      </c>
      <c r="CA356" s="3">
        <v>45681</v>
      </c>
      <c r="CB356" s="1">
        <v>6.5</v>
      </c>
      <c r="CC356" s="3">
        <v>45706</v>
      </c>
      <c r="CD356" s="1">
        <v>6.52</v>
      </c>
      <c r="CE356" s="3">
        <v>45706</v>
      </c>
      <c r="CF356" s="1">
        <v>6.5</v>
      </c>
      <c r="CG356" s="3">
        <v>45706</v>
      </c>
      <c r="CH356" s="1">
        <v>6.48</v>
      </c>
      <c r="CI356" s="3">
        <v>45706</v>
      </c>
      <c r="CJ356" s="1">
        <v>6.37</v>
      </c>
      <c r="CK356" s="3">
        <v>45706</v>
      </c>
      <c r="CL356" s="1">
        <v>6.2</v>
      </c>
      <c r="CM356" s="3">
        <v>45706</v>
      </c>
      <c r="CN356" s="1">
        <v>6.0650000000000004</v>
      </c>
      <c r="CO356" s="3">
        <v>45699</v>
      </c>
      <c r="CP356" s="1">
        <v>6.125</v>
      </c>
      <c r="CQ356" s="3">
        <v>45699</v>
      </c>
      <c r="CR356" s="1">
        <v>6.0949999999999998</v>
      </c>
      <c r="CS356" s="3">
        <v>45699</v>
      </c>
      <c r="CT356" s="1">
        <v>6.1150000000000002</v>
      </c>
    </row>
    <row r="357" spans="31:98" x14ac:dyDescent="0.2">
      <c r="AE357" s="3">
        <v>45705</v>
      </c>
      <c r="AF357" s="1">
        <v>5.75</v>
      </c>
      <c r="AG357" s="3">
        <v>45685</v>
      </c>
      <c r="AH357" s="1">
        <v>5.86</v>
      </c>
      <c r="AI357" s="3">
        <v>45705</v>
      </c>
      <c r="AJ357" s="2">
        <v>5.8585000000000003</v>
      </c>
      <c r="AK357" s="3">
        <v>45705</v>
      </c>
      <c r="AL357" s="2">
        <v>5.8224999999999998</v>
      </c>
      <c r="AM357" s="3">
        <v>45705</v>
      </c>
      <c r="AN357" s="2">
        <v>5.7850000000000001</v>
      </c>
      <c r="AO357" s="3">
        <v>45705</v>
      </c>
      <c r="AP357" s="2">
        <v>5.4550000000000001</v>
      </c>
      <c r="AQ357" s="3">
        <v>45705</v>
      </c>
      <c r="AR357" s="2">
        <v>5.04</v>
      </c>
      <c r="AS357" s="3">
        <v>45705</v>
      </c>
      <c r="AT357" s="2">
        <v>4.7450000000000001</v>
      </c>
      <c r="AU357" s="3">
        <v>45705</v>
      </c>
      <c r="AV357" s="2">
        <v>4.5449999999999999</v>
      </c>
      <c r="AW357" s="3">
        <v>45705</v>
      </c>
      <c r="AX357" s="2">
        <v>4.45</v>
      </c>
      <c r="AY357" s="3">
        <v>45705</v>
      </c>
      <c r="AZ357" s="2">
        <v>4.4050000000000002</v>
      </c>
      <c r="BB357" s="3">
        <v>45684</v>
      </c>
      <c r="BC357" s="1">
        <v>4</v>
      </c>
      <c r="BD357" s="3">
        <v>45685</v>
      </c>
      <c r="BE357" s="1">
        <v>3.84</v>
      </c>
      <c r="BF357" s="3">
        <v>45705</v>
      </c>
      <c r="BG357" s="1">
        <v>3.7</v>
      </c>
      <c r="BH357" s="3">
        <v>45705</v>
      </c>
      <c r="BI357" s="1">
        <v>3.66</v>
      </c>
      <c r="BJ357" s="3">
        <v>45705</v>
      </c>
      <c r="BK357" s="1">
        <v>3.593</v>
      </c>
      <c r="BL357" s="3">
        <v>45705</v>
      </c>
      <c r="BM357" s="1">
        <v>3.47</v>
      </c>
      <c r="BN357" s="3">
        <v>45705</v>
      </c>
      <c r="BO357" s="1">
        <v>3.3849999999999998</v>
      </c>
      <c r="BP357" s="3">
        <v>45705</v>
      </c>
      <c r="BQ357" s="1">
        <v>3.3180000000000001</v>
      </c>
      <c r="BR357" s="3">
        <v>45705</v>
      </c>
      <c r="BS357" s="1">
        <v>3.3130000000000002</v>
      </c>
      <c r="BT357" s="3">
        <v>45705</v>
      </c>
      <c r="BU357" s="1">
        <v>3.34</v>
      </c>
      <c r="BV357" s="3">
        <v>45705</v>
      </c>
      <c r="BW357" s="1">
        <v>3.37</v>
      </c>
      <c r="BY357" s="3">
        <v>45691</v>
      </c>
      <c r="BZ357" s="1">
        <v>6.5</v>
      </c>
      <c r="CA357" s="3">
        <v>45680</v>
      </c>
      <c r="CB357" s="1">
        <v>6.5</v>
      </c>
      <c r="CC357" s="3">
        <v>45705</v>
      </c>
      <c r="CD357" s="1">
        <v>6.5190000000000001</v>
      </c>
      <c r="CE357" s="3">
        <v>45705</v>
      </c>
      <c r="CF357" s="1">
        <v>6.5060000000000002</v>
      </c>
      <c r="CG357" s="3">
        <v>45705</v>
      </c>
      <c r="CH357" s="1">
        <v>6.48</v>
      </c>
      <c r="CI357" s="3">
        <v>45705</v>
      </c>
      <c r="CJ357" s="1">
        <v>6.36</v>
      </c>
      <c r="CK357" s="3">
        <v>45705</v>
      </c>
      <c r="CL357" s="1">
        <v>6.19</v>
      </c>
      <c r="CM357" s="3">
        <v>45705</v>
      </c>
      <c r="CN357" s="1">
        <v>6.0650000000000004</v>
      </c>
      <c r="CO357" s="3">
        <v>45698</v>
      </c>
      <c r="CP357" s="1">
        <v>5.83</v>
      </c>
      <c r="CQ357" s="3">
        <v>45698</v>
      </c>
      <c r="CR357" s="1">
        <v>5.8</v>
      </c>
      <c r="CS357" s="3">
        <v>45698</v>
      </c>
      <c r="CT357" s="1">
        <v>5.82</v>
      </c>
    </row>
    <row r="358" spans="31:98" x14ac:dyDescent="0.2">
      <c r="AE358" s="3">
        <v>45702</v>
      </c>
      <c r="AF358" s="1">
        <v>5.75</v>
      </c>
      <c r="AG358" s="3">
        <v>45684</v>
      </c>
      <c r="AH358" s="1">
        <v>5.86</v>
      </c>
      <c r="AI358" s="3">
        <v>45702</v>
      </c>
      <c r="AJ358" s="2">
        <v>5.8567999999999998</v>
      </c>
      <c r="AK358" s="3">
        <v>45702</v>
      </c>
      <c r="AL358" s="2">
        <v>5.8224999999999998</v>
      </c>
      <c r="AM358" s="3">
        <v>45702</v>
      </c>
      <c r="AN358" s="2">
        <v>5.79</v>
      </c>
      <c r="AO358" s="3">
        <v>45702</v>
      </c>
      <c r="AP358" s="2">
        <v>5.4349999999999996</v>
      </c>
      <c r="AQ358" s="3">
        <v>45702</v>
      </c>
      <c r="AR358" s="2">
        <v>5.01</v>
      </c>
      <c r="AS358" s="3">
        <v>45702</v>
      </c>
      <c r="AT358" s="2">
        <v>4.7</v>
      </c>
      <c r="AU358" s="3">
        <v>45702</v>
      </c>
      <c r="AV358" s="2">
        <v>4.49</v>
      </c>
      <c r="AW358" s="3">
        <v>45702</v>
      </c>
      <c r="AX358" s="2">
        <v>4.3899999999999997</v>
      </c>
      <c r="AY358" s="3">
        <v>45702</v>
      </c>
      <c r="AZ358" s="2">
        <v>4.335</v>
      </c>
      <c r="BB358" s="3">
        <v>45681</v>
      </c>
      <c r="BC358" s="1">
        <v>4</v>
      </c>
      <c r="BD358" s="3">
        <v>45684</v>
      </c>
      <c r="BE358" s="1">
        <v>3.84</v>
      </c>
      <c r="BF358" s="3">
        <v>45702</v>
      </c>
      <c r="BG358" s="1">
        <v>3.7</v>
      </c>
      <c r="BH358" s="3">
        <v>45702</v>
      </c>
      <c r="BI358" s="1">
        <v>3.645</v>
      </c>
      <c r="BJ358" s="3">
        <v>45702</v>
      </c>
      <c r="BK358" s="1">
        <v>3.59</v>
      </c>
      <c r="BL358" s="3">
        <v>45702</v>
      </c>
      <c r="BM358" s="1">
        <v>3.46</v>
      </c>
      <c r="BN358" s="3">
        <v>45702</v>
      </c>
      <c r="BO358" s="1">
        <v>3.3650000000000002</v>
      </c>
      <c r="BP358" s="3">
        <v>45702</v>
      </c>
      <c r="BQ358" s="1">
        <v>3.298</v>
      </c>
      <c r="BR358" s="3">
        <v>45702</v>
      </c>
      <c r="BS358" s="1">
        <v>3.29</v>
      </c>
      <c r="BT358" s="3">
        <v>45702</v>
      </c>
      <c r="BU358" s="1">
        <v>3.3149999999999999</v>
      </c>
      <c r="BV358" s="3">
        <v>45702</v>
      </c>
      <c r="BW358" s="1">
        <v>3.3479999999999999</v>
      </c>
      <c r="BY358" s="3">
        <v>45688</v>
      </c>
      <c r="BZ358" s="1">
        <v>6.5</v>
      </c>
      <c r="CA358" s="3">
        <v>45679</v>
      </c>
      <c r="CB358" s="1">
        <v>6.5</v>
      </c>
      <c r="CC358" s="3">
        <v>45702</v>
      </c>
      <c r="CD358" s="1">
        <v>6.516</v>
      </c>
      <c r="CE358" s="3">
        <v>45702</v>
      </c>
      <c r="CF358" s="1">
        <v>6.5039999999999996</v>
      </c>
      <c r="CG358" s="3">
        <v>45702</v>
      </c>
      <c r="CH358" s="1">
        <v>6.49</v>
      </c>
      <c r="CI358" s="3">
        <v>45702</v>
      </c>
      <c r="CJ358" s="1">
        <v>6.38</v>
      </c>
      <c r="CK358" s="3">
        <v>45702</v>
      </c>
      <c r="CL358" s="1">
        <v>6.21</v>
      </c>
      <c r="CM358" s="3">
        <v>45702</v>
      </c>
      <c r="CN358" s="1">
        <v>6.09</v>
      </c>
      <c r="CO358" s="3">
        <v>45695</v>
      </c>
      <c r="CP358" s="1">
        <v>5.8550000000000004</v>
      </c>
      <c r="CQ358" s="3">
        <v>45695</v>
      </c>
      <c r="CR358" s="1">
        <v>5.8250000000000002</v>
      </c>
      <c r="CS358" s="3">
        <v>45695</v>
      </c>
      <c r="CT358" s="1">
        <v>5.8449999999999998</v>
      </c>
    </row>
    <row r="359" spans="31:98" x14ac:dyDescent="0.2">
      <c r="AE359" s="3">
        <v>45701</v>
      </c>
      <c r="AF359" s="1">
        <v>5.75</v>
      </c>
      <c r="AG359" s="3">
        <v>45681</v>
      </c>
      <c r="AH359" s="1">
        <v>5.88</v>
      </c>
      <c r="AI359" s="3">
        <v>45701</v>
      </c>
      <c r="AJ359" s="2">
        <v>5.8535000000000004</v>
      </c>
      <c r="AK359" s="3">
        <v>45701</v>
      </c>
      <c r="AL359" s="2">
        <v>5.81</v>
      </c>
      <c r="AM359" s="3">
        <v>45701</v>
      </c>
      <c r="AN359" s="2">
        <v>5.77</v>
      </c>
      <c r="AO359" s="3">
        <v>45701</v>
      </c>
      <c r="AP359" s="2">
        <v>5.42</v>
      </c>
      <c r="AQ359" s="3">
        <v>45701</v>
      </c>
      <c r="AR359" s="2">
        <v>5.0049999999999999</v>
      </c>
      <c r="AS359" s="3">
        <v>45701</v>
      </c>
      <c r="AT359" s="2">
        <v>4.7125000000000004</v>
      </c>
      <c r="AU359" s="3">
        <v>45701</v>
      </c>
      <c r="AV359" s="2">
        <v>4.5225</v>
      </c>
      <c r="AW359" s="3">
        <v>45701</v>
      </c>
      <c r="AX359" s="2">
        <v>4.4225000000000003</v>
      </c>
      <c r="AY359" s="3">
        <v>45701</v>
      </c>
      <c r="AZ359" s="2">
        <v>4.3674999999999997</v>
      </c>
      <c r="BB359" s="3">
        <v>45680</v>
      </c>
      <c r="BC359" s="1">
        <v>4</v>
      </c>
      <c r="BD359" s="3">
        <v>45681</v>
      </c>
      <c r="BE359" s="1">
        <v>3.85</v>
      </c>
      <c r="BF359" s="3">
        <v>45701</v>
      </c>
      <c r="BG359" s="1">
        <v>3.7</v>
      </c>
      <c r="BH359" s="3">
        <v>45701</v>
      </c>
      <c r="BI359" s="1">
        <v>3.649</v>
      </c>
      <c r="BJ359" s="3">
        <v>45701</v>
      </c>
      <c r="BK359" s="1">
        <v>3.5880000000000001</v>
      </c>
      <c r="BL359" s="3">
        <v>45701</v>
      </c>
      <c r="BM359" s="1">
        <v>3.4649999999999999</v>
      </c>
      <c r="BN359" s="3">
        <v>45701</v>
      </c>
      <c r="BO359" s="1">
        <v>3.375</v>
      </c>
      <c r="BP359" s="3">
        <v>45701</v>
      </c>
      <c r="BQ359" s="1">
        <v>3.31</v>
      </c>
      <c r="BR359" s="3">
        <v>45701</v>
      </c>
      <c r="BS359" s="1">
        <v>3.3050000000000002</v>
      </c>
      <c r="BT359" s="3">
        <v>45701</v>
      </c>
      <c r="BU359" s="1">
        <v>3.335</v>
      </c>
      <c r="BV359" s="3">
        <v>45701</v>
      </c>
      <c r="BW359" s="1">
        <v>3.363</v>
      </c>
      <c r="BY359" s="3">
        <v>45686</v>
      </c>
      <c r="BZ359" s="1">
        <v>6.5</v>
      </c>
      <c r="CA359" s="3">
        <v>45678</v>
      </c>
      <c r="CB359" s="1">
        <v>6.5</v>
      </c>
      <c r="CC359" s="3">
        <v>45701</v>
      </c>
      <c r="CD359" s="1">
        <v>6.5129999999999999</v>
      </c>
      <c r="CE359" s="3">
        <v>45701</v>
      </c>
      <c r="CF359" s="1">
        <v>6.4969999999999999</v>
      </c>
      <c r="CG359" s="3">
        <v>45701</v>
      </c>
      <c r="CH359" s="1">
        <v>6.48</v>
      </c>
      <c r="CI359" s="3">
        <v>45701</v>
      </c>
      <c r="CJ359" s="1">
        <v>6.38</v>
      </c>
      <c r="CK359" s="3">
        <v>45701</v>
      </c>
      <c r="CL359" s="1">
        <v>6.24</v>
      </c>
      <c r="CM359" s="3">
        <v>45701</v>
      </c>
      <c r="CN359" s="1">
        <v>6.0949999999999998</v>
      </c>
      <c r="CO359" s="3">
        <v>45694</v>
      </c>
      <c r="CP359" s="1">
        <v>5.8150000000000004</v>
      </c>
      <c r="CQ359" s="3">
        <v>45694</v>
      </c>
      <c r="CR359" s="1">
        <v>5.7750000000000004</v>
      </c>
      <c r="CS359" s="3">
        <v>45694</v>
      </c>
      <c r="CT359" s="1">
        <v>5.8</v>
      </c>
    </row>
    <row r="360" spans="31:98" x14ac:dyDescent="0.2">
      <c r="AE360" s="3">
        <v>45700</v>
      </c>
      <c r="AF360" s="1">
        <v>5.75</v>
      </c>
      <c r="AG360" s="3">
        <v>45680</v>
      </c>
      <c r="AH360" s="1">
        <v>5.86</v>
      </c>
      <c r="AI360" s="3">
        <v>45700</v>
      </c>
      <c r="AJ360" s="2">
        <v>5.8585000000000003</v>
      </c>
      <c r="AK360" s="3">
        <v>45700</v>
      </c>
      <c r="AL360" s="2">
        <v>5.82</v>
      </c>
      <c r="AM360" s="3">
        <v>45700</v>
      </c>
      <c r="AN360" s="2">
        <v>5.79</v>
      </c>
      <c r="AO360" s="3">
        <v>45700</v>
      </c>
      <c r="AP360" s="2">
        <v>5.4649999999999999</v>
      </c>
      <c r="AQ360" s="3">
        <v>45700</v>
      </c>
      <c r="AR360" s="2">
        <v>5.08</v>
      </c>
      <c r="AS360" s="3">
        <v>45700</v>
      </c>
      <c r="AT360" s="2">
        <v>4.8250000000000002</v>
      </c>
      <c r="AU360" s="3">
        <v>45700</v>
      </c>
      <c r="AV360" s="2">
        <v>4.66</v>
      </c>
      <c r="AW360" s="3">
        <v>45700</v>
      </c>
      <c r="AX360" s="2">
        <v>4.5549999999999997</v>
      </c>
      <c r="AY360" s="3">
        <v>45700</v>
      </c>
      <c r="AZ360" s="2">
        <v>4.51</v>
      </c>
      <c r="BB360" s="3">
        <v>45679</v>
      </c>
      <c r="BC360" s="1">
        <v>4</v>
      </c>
      <c r="BD360" s="3">
        <v>45680</v>
      </c>
      <c r="BE360" s="1">
        <v>3.86</v>
      </c>
      <c r="BF360" s="3">
        <v>45700</v>
      </c>
      <c r="BG360" s="1">
        <v>3.7</v>
      </c>
      <c r="BH360" s="3">
        <v>45700</v>
      </c>
      <c r="BI360" s="1">
        <v>3.6659999999999999</v>
      </c>
      <c r="BJ360" s="3">
        <v>45700</v>
      </c>
      <c r="BK360" s="1">
        <v>3.61</v>
      </c>
      <c r="BL360" s="3">
        <v>45700</v>
      </c>
      <c r="BM360" s="1">
        <v>3.51</v>
      </c>
      <c r="BN360" s="3">
        <v>45700</v>
      </c>
      <c r="BO360" s="1">
        <v>3.44</v>
      </c>
      <c r="BP360" s="3">
        <v>45700</v>
      </c>
      <c r="BQ360" s="1">
        <v>3.3849999999999998</v>
      </c>
      <c r="BR360" s="3">
        <v>45700</v>
      </c>
      <c r="BS360" s="1">
        <v>3.38</v>
      </c>
      <c r="BT360" s="3">
        <v>45700</v>
      </c>
      <c r="BU360" s="1">
        <v>3.4049999999999998</v>
      </c>
      <c r="BV360" s="3">
        <v>45700</v>
      </c>
      <c r="BW360" s="1">
        <v>3.44</v>
      </c>
      <c r="BY360" s="3">
        <v>45685</v>
      </c>
      <c r="BZ360" s="1">
        <v>6.5</v>
      </c>
      <c r="CA360" s="3">
        <v>45677</v>
      </c>
      <c r="CB360" s="1">
        <v>6.5</v>
      </c>
      <c r="CC360" s="3">
        <v>45700</v>
      </c>
      <c r="CD360" s="1">
        <v>6.524</v>
      </c>
      <c r="CE360" s="3">
        <v>45700</v>
      </c>
      <c r="CF360" s="1">
        <v>6.5389999999999997</v>
      </c>
      <c r="CG360" s="3">
        <v>45700</v>
      </c>
      <c r="CH360" s="1">
        <v>6.55</v>
      </c>
      <c r="CI360" s="3">
        <v>45700</v>
      </c>
      <c r="CJ360" s="1">
        <v>6.47</v>
      </c>
      <c r="CK360" s="3">
        <v>45700</v>
      </c>
      <c r="CL360" s="1">
        <v>6.35</v>
      </c>
      <c r="CM360" s="3">
        <v>45700</v>
      </c>
      <c r="CN360" s="1">
        <v>6.25</v>
      </c>
      <c r="CO360" s="3">
        <v>45693</v>
      </c>
      <c r="CP360" s="1">
        <v>5.8</v>
      </c>
      <c r="CQ360" s="3">
        <v>45693</v>
      </c>
      <c r="CR360" s="1">
        <v>5.75</v>
      </c>
      <c r="CS360" s="3">
        <v>45693</v>
      </c>
      <c r="CT360" s="1">
        <v>5.77</v>
      </c>
    </row>
    <row r="361" spans="31:98" x14ac:dyDescent="0.2">
      <c r="AE361" s="3">
        <v>45699</v>
      </c>
      <c r="AF361" s="1">
        <v>5.75</v>
      </c>
      <c r="AG361" s="3">
        <v>45679</v>
      </c>
      <c r="AH361" s="1">
        <v>5.86</v>
      </c>
      <c r="AI361" s="3">
        <v>45699</v>
      </c>
      <c r="AJ361" s="2">
        <v>5.8535000000000004</v>
      </c>
      <c r="AK361" s="3">
        <v>45699</v>
      </c>
      <c r="AL361" s="2">
        <v>5.81</v>
      </c>
      <c r="AM361" s="3">
        <v>45699</v>
      </c>
      <c r="AN361" s="2">
        <v>5.77</v>
      </c>
      <c r="AO361" s="3">
        <v>45699</v>
      </c>
      <c r="AP361" s="2">
        <v>5.43</v>
      </c>
      <c r="AQ361" s="3">
        <v>45699</v>
      </c>
      <c r="AR361" s="2">
        <v>5.0049999999999999</v>
      </c>
      <c r="AS361" s="3">
        <v>45699</v>
      </c>
      <c r="AT361" s="2">
        <v>4.72</v>
      </c>
      <c r="AU361" s="3">
        <v>45699</v>
      </c>
      <c r="AV361" s="2">
        <v>4.51</v>
      </c>
      <c r="AW361" s="3">
        <v>45699</v>
      </c>
      <c r="AX361" s="2">
        <v>4.3949999999999996</v>
      </c>
      <c r="AY361" s="3">
        <v>45699</v>
      </c>
      <c r="AZ361" s="2">
        <v>4.3499999999999996</v>
      </c>
      <c r="BB361" s="3">
        <v>45678</v>
      </c>
      <c r="BC361" s="1">
        <v>4</v>
      </c>
      <c r="BD361" s="3">
        <v>45679</v>
      </c>
      <c r="BE361" s="1">
        <v>3.87</v>
      </c>
      <c r="BF361" s="3">
        <v>45699</v>
      </c>
      <c r="BG361" s="1">
        <v>3.7</v>
      </c>
      <c r="BH361" s="3">
        <v>45699</v>
      </c>
      <c r="BI361" s="1">
        <v>3.6539999999999999</v>
      </c>
      <c r="BJ361" s="3">
        <v>45699</v>
      </c>
      <c r="BK361" s="1">
        <v>3.585</v>
      </c>
      <c r="BL361" s="3">
        <v>45699</v>
      </c>
      <c r="BM361" s="1">
        <v>3.4630000000000001</v>
      </c>
      <c r="BN361" s="3">
        <v>45699</v>
      </c>
      <c r="BO361" s="1">
        <v>3.395</v>
      </c>
      <c r="BP361" s="3">
        <v>45699</v>
      </c>
      <c r="BQ361" s="1">
        <v>3.3580000000000001</v>
      </c>
      <c r="BR361" s="3">
        <v>45699</v>
      </c>
      <c r="BS361" s="1">
        <v>3.35</v>
      </c>
      <c r="BT361" s="3">
        <v>45699</v>
      </c>
      <c r="BU361" s="1">
        <v>3.375</v>
      </c>
      <c r="BV361" s="3">
        <v>45699</v>
      </c>
      <c r="BW361" s="1">
        <v>3.4079999999999999</v>
      </c>
      <c r="BY361" s="3">
        <v>45684</v>
      </c>
      <c r="BZ361" s="1">
        <v>6.5</v>
      </c>
      <c r="CA361" s="3">
        <v>45674</v>
      </c>
      <c r="CB361" s="1">
        <v>6.5</v>
      </c>
      <c r="CC361" s="3">
        <v>45699</v>
      </c>
      <c r="CD361" s="1">
        <v>6.5170000000000003</v>
      </c>
      <c r="CE361" s="3">
        <v>45699</v>
      </c>
      <c r="CF361" s="1">
        <v>6.5350000000000001</v>
      </c>
      <c r="CG361" s="3">
        <v>45699</v>
      </c>
      <c r="CH361" s="1">
        <v>6.52</v>
      </c>
      <c r="CI361" s="3">
        <v>45699</v>
      </c>
      <c r="CJ361" s="1">
        <v>6.42</v>
      </c>
      <c r="CK361" s="3">
        <v>45699</v>
      </c>
      <c r="CL361" s="1">
        <v>6.27</v>
      </c>
      <c r="CM361" s="3">
        <v>45699</v>
      </c>
      <c r="CN361" s="1">
        <v>6.16</v>
      </c>
      <c r="CO361" s="3">
        <v>45692</v>
      </c>
      <c r="CP361" s="1">
        <v>5.92</v>
      </c>
      <c r="CQ361" s="3">
        <v>45692</v>
      </c>
      <c r="CR361" s="1">
        <v>5.89</v>
      </c>
      <c r="CS361" s="3">
        <v>45692</v>
      </c>
      <c r="CT361" s="1">
        <v>5.91</v>
      </c>
    </row>
    <row r="362" spans="31:98" x14ac:dyDescent="0.2">
      <c r="AE362" s="3">
        <v>45698</v>
      </c>
      <c r="AF362" s="1">
        <v>5.75</v>
      </c>
      <c r="AG362" s="3">
        <v>45678</v>
      </c>
      <c r="AH362" s="1">
        <v>5.86</v>
      </c>
      <c r="AI362" s="3">
        <v>45698</v>
      </c>
      <c r="AJ362" s="2">
        <v>5.8493000000000004</v>
      </c>
      <c r="AK362" s="3">
        <v>45698</v>
      </c>
      <c r="AL362" s="2">
        <v>5.81</v>
      </c>
      <c r="AM362" s="3">
        <v>45698</v>
      </c>
      <c r="AN362" s="2">
        <v>5.7625000000000002</v>
      </c>
      <c r="AO362" s="3">
        <v>45698</v>
      </c>
      <c r="AP362" s="2">
        <v>5.3949999999999996</v>
      </c>
      <c r="AQ362" s="3">
        <v>45698</v>
      </c>
      <c r="AR362" s="2">
        <v>4.9550000000000001</v>
      </c>
      <c r="AS362" s="3">
        <v>45698</v>
      </c>
      <c r="AT362" s="2">
        <v>4.665</v>
      </c>
      <c r="AU362" s="3">
        <v>45698</v>
      </c>
      <c r="AV362" s="2">
        <v>4.4349999999999996</v>
      </c>
      <c r="AW362" s="3">
        <v>45698</v>
      </c>
      <c r="AX362" s="2">
        <v>4.3174999999999999</v>
      </c>
      <c r="AY362" s="3">
        <v>45698</v>
      </c>
      <c r="AZ362" s="2">
        <v>4.2675000000000001</v>
      </c>
      <c r="BB362" s="3">
        <v>45677</v>
      </c>
      <c r="BC362" s="1">
        <v>4</v>
      </c>
      <c r="BD362" s="3">
        <v>45678</v>
      </c>
      <c r="BE362" s="1">
        <v>3.87</v>
      </c>
      <c r="BF362" s="3">
        <v>45698</v>
      </c>
      <c r="BG362" s="1">
        <v>3.7</v>
      </c>
      <c r="BH362" s="3">
        <v>45698</v>
      </c>
      <c r="BI362" s="1">
        <v>3.629</v>
      </c>
      <c r="BJ362" s="3">
        <v>45698</v>
      </c>
      <c r="BK362" s="1">
        <v>3.6</v>
      </c>
      <c r="BL362" s="3">
        <v>45698</v>
      </c>
      <c r="BM362" s="1">
        <v>3.423</v>
      </c>
      <c r="BN362" s="3">
        <v>45698</v>
      </c>
      <c r="BO362" s="1">
        <v>3.3479999999999999</v>
      </c>
      <c r="BP362" s="3">
        <v>45698</v>
      </c>
      <c r="BQ362" s="1">
        <v>3.3149999999999999</v>
      </c>
      <c r="BR362" s="3">
        <v>45698</v>
      </c>
      <c r="BS362" s="1">
        <v>3.3050000000000002</v>
      </c>
      <c r="BT362" s="3">
        <v>45698</v>
      </c>
      <c r="BU362" s="1">
        <v>3.33</v>
      </c>
      <c r="BV362" s="3">
        <v>45698</v>
      </c>
      <c r="BW362" s="1">
        <v>3.355</v>
      </c>
      <c r="BY362" s="3">
        <v>45681</v>
      </c>
      <c r="BZ362" s="1">
        <v>6.5</v>
      </c>
      <c r="CA362" s="3">
        <v>45673</v>
      </c>
      <c r="CB362" s="1">
        <v>6.5</v>
      </c>
      <c r="CC362" s="3">
        <v>45698</v>
      </c>
      <c r="CD362" s="1">
        <v>6.49</v>
      </c>
      <c r="CE362" s="3">
        <v>45698</v>
      </c>
      <c r="CF362" s="1">
        <v>6.47</v>
      </c>
      <c r="CG362" s="3">
        <v>45698</v>
      </c>
      <c r="CH362" s="1">
        <v>6.43</v>
      </c>
      <c r="CI362" s="3">
        <v>45698</v>
      </c>
      <c r="CJ362" s="1">
        <v>6.23</v>
      </c>
      <c r="CK362" s="3">
        <v>45698</v>
      </c>
      <c r="CL362" s="1">
        <v>6.04</v>
      </c>
      <c r="CM362" s="3">
        <v>45698</v>
      </c>
      <c r="CN362" s="1">
        <v>5.8849999999999998</v>
      </c>
      <c r="CO362" s="3">
        <v>45691</v>
      </c>
      <c r="CP362" s="1">
        <v>5.93</v>
      </c>
      <c r="CQ362" s="3">
        <v>45691</v>
      </c>
      <c r="CR362" s="1">
        <v>5.9</v>
      </c>
      <c r="CS362" s="3">
        <v>45691</v>
      </c>
      <c r="CT362" s="1">
        <v>5.92</v>
      </c>
    </row>
    <row r="363" spans="31:98" x14ac:dyDescent="0.2">
      <c r="AE363" s="3">
        <v>45695</v>
      </c>
      <c r="AF363" s="1">
        <v>5.75</v>
      </c>
      <c r="AG363" s="3">
        <v>45677</v>
      </c>
      <c r="AH363" s="1">
        <v>5.85</v>
      </c>
      <c r="AI363" s="3">
        <v>45695</v>
      </c>
      <c r="AJ363" s="2">
        <v>5.8493000000000004</v>
      </c>
      <c r="AK363" s="3">
        <v>45695</v>
      </c>
      <c r="AL363" s="2">
        <v>5.8174999999999999</v>
      </c>
      <c r="AM363" s="3">
        <v>45695</v>
      </c>
      <c r="AN363" s="2">
        <v>5.77</v>
      </c>
      <c r="AO363" s="3">
        <v>45695</v>
      </c>
      <c r="AP363" s="2">
        <v>5.4</v>
      </c>
      <c r="AQ363" s="3">
        <v>45695</v>
      </c>
      <c r="AR363" s="2">
        <v>4.9550000000000001</v>
      </c>
      <c r="AS363" s="3">
        <v>45695</v>
      </c>
      <c r="AT363" s="2">
        <v>4.6550000000000002</v>
      </c>
      <c r="AU363" s="3">
        <v>45695</v>
      </c>
      <c r="AV363" s="2">
        <v>4.43</v>
      </c>
      <c r="AW363" s="3">
        <v>45695</v>
      </c>
      <c r="AX363" s="2">
        <v>4.3099999999999996</v>
      </c>
      <c r="AY363" s="3">
        <v>45695</v>
      </c>
      <c r="AZ363" s="2">
        <v>4.26</v>
      </c>
      <c r="BB363" s="3">
        <v>45674</v>
      </c>
      <c r="BC363" s="1">
        <v>4</v>
      </c>
      <c r="BD363" s="3">
        <v>45677</v>
      </c>
      <c r="BE363" s="1">
        <v>3.88</v>
      </c>
      <c r="BF363" s="3">
        <v>45695</v>
      </c>
      <c r="BG363" s="1">
        <v>3.7</v>
      </c>
      <c r="BH363" s="3">
        <v>45695</v>
      </c>
      <c r="BI363" s="1">
        <v>3.6360000000000001</v>
      </c>
      <c r="BJ363" s="3">
        <v>45695</v>
      </c>
      <c r="BK363" s="1">
        <v>3.6030000000000002</v>
      </c>
      <c r="BL363" s="3">
        <v>45695</v>
      </c>
      <c r="BM363" s="1">
        <v>3.4630000000000001</v>
      </c>
      <c r="BN363" s="3">
        <v>45695</v>
      </c>
      <c r="BO363" s="1">
        <v>3.38</v>
      </c>
      <c r="BP363" s="3">
        <v>45695</v>
      </c>
      <c r="BQ363" s="1">
        <v>3.343</v>
      </c>
      <c r="BR363" s="3">
        <v>45695</v>
      </c>
      <c r="BS363" s="1">
        <v>3.335</v>
      </c>
      <c r="BT363" s="3">
        <v>45695</v>
      </c>
      <c r="BU363" s="1">
        <v>3.3530000000000002</v>
      </c>
      <c r="BV363" s="3">
        <v>45695</v>
      </c>
      <c r="BW363" s="1">
        <v>3.3730000000000002</v>
      </c>
      <c r="BY363" s="3">
        <v>45680</v>
      </c>
      <c r="BZ363" s="1">
        <v>6.5</v>
      </c>
      <c r="CA363" s="3">
        <v>45672</v>
      </c>
      <c r="CB363" s="1">
        <v>6.5</v>
      </c>
      <c r="CC363" s="3">
        <v>45695</v>
      </c>
      <c r="CD363" s="1">
        <v>6.49</v>
      </c>
      <c r="CE363" s="3">
        <v>45695</v>
      </c>
      <c r="CF363" s="1">
        <v>6.47</v>
      </c>
      <c r="CG363" s="3">
        <v>45695</v>
      </c>
      <c r="CH363" s="1">
        <v>6.43</v>
      </c>
      <c r="CI363" s="3">
        <v>45695</v>
      </c>
      <c r="CJ363" s="1">
        <v>6.23</v>
      </c>
      <c r="CK363" s="3">
        <v>45695</v>
      </c>
      <c r="CL363" s="1">
        <v>6.05</v>
      </c>
      <c r="CM363" s="3">
        <v>45695</v>
      </c>
      <c r="CN363" s="1">
        <v>5.91</v>
      </c>
      <c r="CO363" s="3">
        <v>45688</v>
      </c>
      <c r="CP363" s="1">
        <v>5.9550000000000001</v>
      </c>
      <c r="CQ363" s="3">
        <v>45688</v>
      </c>
      <c r="CR363" s="1">
        <v>5.93</v>
      </c>
      <c r="CS363" s="3">
        <v>45688</v>
      </c>
      <c r="CT363" s="1">
        <v>5.95</v>
      </c>
    </row>
    <row r="364" spans="31:98" x14ac:dyDescent="0.2">
      <c r="AE364" s="3">
        <v>45694</v>
      </c>
      <c r="AF364" s="1">
        <v>5.75</v>
      </c>
      <c r="AG364" s="3">
        <v>45674</v>
      </c>
      <c r="AH364" s="1">
        <v>5.85</v>
      </c>
      <c r="AI364" s="3">
        <v>45694</v>
      </c>
      <c r="AJ364" s="2">
        <v>5.8460000000000001</v>
      </c>
      <c r="AK364" s="3">
        <v>45694</v>
      </c>
      <c r="AL364" s="2">
        <v>5.8150000000000004</v>
      </c>
      <c r="AM364" s="3">
        <v>45694</v>
      </c>
      <c r="AN364" s="2">
        <v>5.77</v>
      </c>
      <c r="AO364" s="3">
        <v>45694</v>
      </c>
      <c r="AP364" s="2">
        <v>5.43</v>
      </c>
      <c r="AQ364" s="3">
        <v>45694</v>
      </c>
      <c r="AR364" s="2">
        <v>5.0049999999999999</v>
      </c>
      <c r="AS364" s="3">
        <v>45694</v>
      </c>
      <c r="AT364" s="2">
        <v>4.6900000000000004</v>
      </c>
      <c r="AU364" s="3">
        <v>45694</v>
      </c>
      <c r="AV364" s="2">
        <v>4.4625000000000004</v>
      </c>
      <c r="AW364" s="3">
        <v>45694</v>
      </c>
      <c r="AX364" s="2">
        <v>4.3375000000000004</v>
      </c>
      <c r="AY364" s="3">
        <v>45694</v>
      </c>
      <c r="AZ364" s="2">
        <v>4.2824999999999998</v>
      </c>
      <c r="BB364" s="3">
        <v>45673</v>
      </c>
      <c r="BC364" s="1">
        <v>4</v>
      </c>
      <c r="BD364" s="3">
        <v>45674</v>
      </c>
      <c r="BE364" s="1">
        <v>3.88</v>
      </c>
      <c r="BF364" s="3">
        <v>45694</v>
      </c>
      <c r="BG364" s="1">
        <v>3.7</v>
      </c>
      <c r="BH364" s="3">
        <v>45694</v>
      </c>
      <c r="BI364" s="1">
        <v>3.6219999999999999</v>
      </c>
      <c r="BJ364" s="3">
        <v>45694</v>
      </c>
      <c r="BK364" s="1">
        <v>3.59</v>
      </c>
      <c r="BL364" s="3">
        <v>45694</v>
      </c>
      <c r="BM364" s="1">
        <v>3.4380000000000002</v>
      </c>
      <c r="BN364" s="3">
        <v>45694</v>
      </c>
      <c r="BO364" s="1">
        <v>3.3530000000000002</v>
      </c>
      <c r="BP364" s="3">
        <v>45694</v>
      </c>
      <c r="BQ364" s="1">
        <v>3.29</v>
      </c>
      <c r="BR364" s="3">
        <v>45694</v>
      </c>
      <c r="BS364" s="1">
        <v>3.2749999999999999</v>
      </c>
      <c r="BT364" s="3">
        <v>45694</v>
      </c>
      <c r="BU364" s="1">
        <v>3.2879999999999998</v>
      </c>
      <c r="BV364" s="3">
        <v>45694</v>
      </c>
      <c r="BW364" s="1">
        <v>3.3050000000000002</v>
      </c>
      <c r="BY364" s="3">
        <v>45679</v>
      </c>
      <c r="BZ364" s="1">
        <v>6.5</v>
      </c>
      <c r="CA364" s="3">
        <v>45671</v>
      </c>
      <c r="CB364" s="1">
        <v>6.5</v>
      </c>
      <c r="CC364" s="3">
        <v>45694</v>
      </c>
      <c r="CD364" s="1">
        <v>6.4690000000000003</v>
      </c>
      <c r="CE364" s="3">
        <v>45694</v>
      </c>
      <c r="CF364" s="1">
        <v>6.4290000000000003</v>
      </c>
      <c r="CG364" s="3">
        <v>45694</v>
      </c>
      <c r="CH364" s="1">
        <v>6.38</v>
      </c>
      <c r="CI364" s="3">
        <v>45694</v>
      </c>
      <c r="CJ364" s="1">
        <v>6.2</v>
      </c>
      <c r="CK364" s="3">
        <v>45694</v>
      </c>
      <c r="CL364" s="1">
        <v>6.02</v>
      </c>
      <c r="CM364" s="3">
        <v>45694</v>
      </c>
      <c r="CN364" s="1">
        <v>5.8650000000000002</v>
      </c>
      <c r="CO364" s="3">
        <v>45687</v>
      </c>
      <c r="CP364" s="1">
        <v>5.92</v>
      </c>
      <c r="CQ364" s="3">
        <v>45687</v>
      </c>
      <c r="CR364" s="1">
        <v>5.8949999999999996</v>
      </c>
      <c r="CS364" s="3">
        <v>45687</v>
      </c>
      <c r="CT364" s="1">
        <v>5.91</v>
      </c>
    </row>
    <row r="365" spans="31:98" x14ac:dyDescent="0.2">
      <c r="AE365" s="3">
        <v>45693</v>
      </c>
      <c r="AF365" s="1">
        <v>5.75</v>
      </c>
      <c r="AG365" s="3">
        <v>45673</v>
      </c>
      <c r="AH365" s="1">
        <v>5.85</v>
      </c>
      <c r="AI365" s="3">
        <v>45693</v>
      </c>
      <c r="AJ365" s="2">
        <v>5.8445</v>
      </c>
      <c r="AK365" s="3">
        <v>45693</v>
      </c>
      <c r="AL365" s="2">
        <v>5.8150000000000004</v>
      </c>
      <c r="AM365" s="3">
        <v>45693</v>
      </c>
      <c r="AN365" s="2">
        <v>5.7850000000000001</v>
      </c>
      <c r="AO365" s="3">
        <v>45693</v>
      </c>
      <c r="AP365" s="2">
        <v>5.4550000000000001</v>
      </c>
      <c r="AQ365" s="3">
        <v>45693</v>
      </c>
      <c r="AR365" s="2">
        <v>5.0650000000000004</v>
      </c>
      <c r="AS365" s="3">
        <v>45693</v>
      </c>
      <c r="AT365" s="2">
        <v>4.7625000000000002</v>
      </c>
      <c r="AU365" s="3">
        <v>45693</v>
      </c>
      <c r="AV365" s="2">
        <v>4.5350000000000001</v>
      </c>
      <c r="AW365" s="3">
        <v>45693</v>
      </c>
      <c r="AX365" s="2">
        <v>4.4050000000000002</v>
      </c>
      <c r="AY365" s="3">
        <v>45693</v>
      </c>
      <c r="AZ365" s="2">
        <v>4.3499999999999996</v>
      </c>
      <c r="BB365" s="3">
        <v>45672</v>
      </c>
      <c r="BC365" s="1">
        <v>4</v>
      </c>
      <c r="BD365" s="3">
        <v>45673</v>
      </c>
      <c r="BE365" s="1">
        <v>3.88</v>
      </c>
      <c r="BF365" s="3">
        <v>45693</v>
      </c>
      <c r="BG365" s="1">
        <v>3.7</v>
      </c>
      <c r="BH365" s="3">
        <v>45693</v>
      </c>
      <c r="BI365" s="1">
        <v>3.6190000000000002</v>
      </c>
      <c r="BJ365" s="3">
        <v>45693</v>
      </c>
      <c r="BK365" s="1">
        <v>3.58</v>
      </c>
      <c r="BL365" s="3">
        <v>45693</v>
      </c>
      <c r="BM365" s="1">
        <v>3.4350000000000001</v>
      </c>
      <c r="BN365" s="3">
        <v>45693</v>
      </c>
      <c r="BO365" s="1">
        <v>3.355</v>
      </c>
      <c r="BP365" s="3">
        <v>45693</v>
      </c>
      <c r="BQ365" s="1">
        <v>3.2879999999999998</v>
      </c>
      <c r="BR365" s="3">
        <v>45693</v>
      </c>
      <c r="BS365" s="1">
        <v>3.27</v>
      </c>
      <c r="BT365" s="3">
        <v>45693</v>
      </c>
      <c r="BU365" s="1">
        <v>3.28</v>
      </c>
      <c r="BV365" s="3">
        <v>45693</v>
      </c>
      <c r="BW365" s="1">
        <v>3.2949999999999999</v>
      </c>
      <c r="BY365" s="3">
        <v>45678</v>
      </c>
      <c r="BZ365" s="1">
        <v>6.5</v>
      </c>
      <c r="CA365" s="3">
        <v>45670</v>
      </c>
      <c r="CB365" s="1">
        <v>6.5</v>
      </c>
      <c r="CC365" s="3">
        <v>45693</v>
      </c>
      <c r="CD365" s="1">
        <v>6.4790000000000001</v>
      </c>
      <c r="CE365" s="3">
        <v>45693</v>
      </c>
      <c r="CF365" s="1">
        <v>6.4489999999999998</v>
      </c>
      <c r="CG365" s="3">
        <v>45693</v>
      </c>
      <c r="CH365" s="1">
        <v>6.4</v>
      </c>
      <c r="CI365" s="3">
        <v>45693</v>
      </c>
      <c r="CJ365" s="1">
        <v>6.21</v>
      </c>
      <c r="CK365" s="3">
        <v>45693</v>
      </c>
      <c r="CL365" s="1">
        <v>6.03</v>
      </c>
      <c r="CM365" s="3">
        <v>45693</v>
      </c>
      <c r="CN365" s="1">
        <v>5.85</v>
      </c>
      <c r="CO365" s="3">
        <v>45686</v>
      </c>
      <c r="CP365" s="1">
        <v>5.9349999999999996</v>
      </c>
      <c r="CQ365" s="3">
        <v>45686</v>
      </c>
      <c r="CR365" s="1">
        <v>5.91</v>
      </c>
      <c r="CS365" s="3">
        <v>45686</v>
      </c>
      <c r="CT365" s="1">
        <v>5.92</v>
      </c>
    </row>
    <row r="366" spans="31:98" x14ac:dyDescent="0.2">
      <c r="AE366" s="3">
        <v>45692</v>
      </c>
      <c r="AF366" s="1">
        <v>5.75</v>
      </c>
      <c r="AG366" s="3">
        <v>45672</v>
      </c>
      <c r="AH366" s="1">
        <v>5.84</v>
      </c>
      <c r="AI366" s="3">
        <v>45692</v>
      </c>
      <c r="AJ366" s="2">
        <v>5.8483000000000001</v>
      </c>
      <c r="AK366" s="3">
        <v>45692</v>
      </c>
      <c r="AL366" s="2">
        <v>5.8150000000000004</v>
      </c>
      <c r="AM366" s="3">
        <v>45692</v>
      </c>
      <c r="AN366" s="2">
        <v>5.78</v>
      </c>
      <c r="AO366" s="3">
        <v>45692</v>
      </c>
      <c r="AP366" s="2">
        <v>5.4249999999999998</v>
      </c>
      <c r="AQ366" s="3">
        <v>45692</v>
      </c>
      <c r="AR366" s="2">
        <v>5.07</v>
      </c>
      <c r="AS366" s="3">
        <v>45692</v>
      </c>
      <c r="AT366" s="2">
        <v>4.75</v>
      </c>
      <c r="AU366" s="3">
        <v>45692</v>
      </c>
      <c r="AV366" s="2">
        <v>4.53</v>
      </c>
      <c r="AW366" s="3">
        <v>45692</v>
      </c>
      <c r="AX366" s="2">
        <v>4.4050000000000002</v>
      </c>
      <c r="AY366" s="3">
        <v>45692</v>
      </c>
      <c r="AZ366" s="2">
        <v>4.3499999999999996</v>
      </c>
      <c r="BB366" s="3">
        <v>45671</v>
      </c>
      <c r="BC366" s="1">
        <v>4</v>
      </c>
      <c r="BD366" s="3">
        <v>45672</v>
      </c>
      <c r="BE366" s="1">
        <v>3.89</v>
      </c>
      <c r="BF366" s="3">
        <v>45692</v>
      </c>
      <c r="BG366" s="1">
        <v>3.7</v>
      </c>
      <c r="BH366" s="3">
        <v>45692</v>
      </c>
      <c r="BI366" s="1">
        <v>3.6429999999999998</v>
      </c>
      <c r="BJ366" s="3">
        <v>45692</v>
      </c>
      <c r="BK366" s="1">
        <v>3.5750000000000002</v>
      </c>
      <c r="BL366" s="3">
        <v>45692</v>
      </c>
      <c r="BM366" s="1">
        <v>3.4350000000000001</v>
      </c>
      <c r="BN366" s="3">
        <v>45692</v>
      </c>
      <c r="BO366" s="1">
        <v>3.3580000000000001</v>
      </c>
      <c r="BP366" s="3">
        <v>45692</v>
      </c>
      <c r="BQ366" s="1">
        <v>3.2949999999999999</v>
      </c>
      <c r="BR366" s="3">
        <v>45692</v>
      </c>
      <c r="BS366" s="1">
        <v>3.28</v>
      </c>
      <c r="BT366" s="3">
        <v>45692</v>
      </c>
      <c r="BU366" s="1">
        <v>3.29</v>
      </c>
      <c r="BV366" s="3">
        <v>45692</v>
      </c>
      <c r="BW366" s="1">
        <v>3.31</v>
      </c>
      <c r="BY366" s="3">
        <v>45677</v>
      </c>
      <c r="BZ366" s="1">
        <v>6.5</v>
      </c>
      <c r="CA366" s="3">
        <v>45667</v>
      </c>
      <c r="CB366" s="1">
        <v>6.5</v>
      </c>
      <c r="CC366" s="3">
        <v>45692</v>
      </c>
      <c r="CD366" s="1">
        <v>6.4870000000000001</v>
      </c>
      <c r="CE366" s="3">
        <v>45692</v>
      </c>
      <c r="CF366" s="1">
        <v>6.4640000000000004</v>
      </c>
      <c r="CG366" s="3">
        <v>45692</v>
      </c>
      <c r="CH366" s="1">
        <v>6.42</v>
      </c>
      <c r="CI366" s="3">
        <v>45692</v>
      </c>
      <c r="CJ366" s="1">
        <v>6.28</v>
      </c>
      <c r="CK366" s="3">
        <v>45692</v>
      </c>
      <c r="CL366" s="1">
        <v>6.1</v>
      </c>
      <c r="CM366" s="3">
        <v>45692</v>
      </c>
      <c r="CN366" s="1">
        <v>5.95</v>
      </c>
      <c r="CO366" s="3">
        <v>45685</v>
      </c>
      <c r="CP366" s="1">
        <v>5.95</v>
      </c>
      <c r="CQ366" s="3">
        <v>45685</v>
      </c>
      <c r="CR366" s="1">
        <v>5.94</v>
      </c>
      <c r="CS366" s="3">
        <v>45685</v>
      </c>
      <c r="CT366" s="1">
        <v>5.95</v>
      </c>
    </row>
    <row r="367" spans="31:98" x14ac:dyDescent="0.2">
      <c r="AE367" s="3">
        <v>45691</v>
      </c>
      <c r="AF367" s="1">
        <v>5.75</v>
      </c>
      <c r="AG367" s="3">
        <v>45671</v>
      </c>
      <c r="AH367" s="1">
        <v>5.84</v>
      </c>
      <c r="AI367" s="3">
        <v>45691</v>
      </c>
      <c r="AJ367" s="2">
        <v>5.8498000000000001</v>
      </c>
      <c r="AK367" s="3">
        <v>45691</v>
      </c>
      <c r="AL367" s="2">
        <v>5.8150000000000004</v>
      </c>
      <c r="AM367" s="3">
        <v>45691</v>
      </c>
      <c r="AN367" s="2">
        <v>5.7750000000000004</v>
      </c>
      <c r="AO367" s="3">
        <v>45691</v>
      </c>
      <c r="AP367" s="2">
        <v>5.41</v>
      </c>
      <c r="AQ367" s="3">
        <v>45691</v>
      </c>
      <c r="AR367" s="2">
        <v>5.05</v>
      </c>
      <c r="AS367" s="3">
        <v>45691</v>
      </c>
      <c r="AT367" s="2">
        <v>4.7450000000000001</v>
      </c>
      <c r="AU367" s="3">
        <v>45691</v>
      </c>
      <c r="AV367" s="2">
        <v>4.53</v>
      </c>
      <c r="AW367" s="3">
        <v>45691</v>
      </c>
      <c r="AX367" s="2">
        <v>4.4000000000000004</v>
      </c>
      <c r="AY367" s="3">
        <v>45691</v>
      </c>
      <c r="AZ367" s="2">
        <v>4.3499999999999996</v>
      </c>
      <c r="BB367" s="3">
        <v>45670</v>
      </c>
      <c r="BC367" s="1">
        <v>4</v>
      </c>
      <c r="BD367" s="3">
        <v>45671</v>
      </c>
      <c r="BE367" s="1">
        <v>3.89</v>
      </c>
      <c r="BF367" s="3">
        <v>45691</v>
      </c>
      <c r="BG367" s="1">
        <v>3.7</v>
      </c>
      <c r="BH367" s="3">
        <v>45691</v>
      </c>
      <c r="BI367" s="1">
        <v>3.6150000000000002</v>
      </c>
      <c r="BJ367" s="3">
        <v>45691</v>
      </c>
      <c r="BK367" s="1">
        <v>3.55</v>
      </c>
      <c r="BL367" s="3">
        <v>45691</v>
      </c>
      <c r="BM367" s="1">
        <v>3.3929999999999998</v>
      </c>
      <c r="BN367" s="3">
        <v>45691</v>
      </c>
      <c r="BO367" s="1">
        <v>3.3330000000000002</v>
      </c>
      <c r="BP367" s="3">
        <v>45691</v>
      </c>
      <c r="BQ367" s="1">
        <v>3.2650000000000001</v>
      </c>
      <c r="BR367" s="3">
        <v>45691</v>
      </c>
      <c r="BS367" s="1">
        <v>3.258</v>
      </c>
      <c r="BT367" s="3">
        <v>45691</v>
      </c>
      <c r="BU367" s="1">
        <v>3.27</v>
      </c>
      <c r="BV367" s="3">
        <v>45691</v>
      </c>
      <c r="BW367" s="1">
        <v>3.2930000000000001</v>
      </c>
      <c r="BY367" s="3">
        <v>45674</v>
      </c>
      <c r="BZ367" s="1">
        <v>6.5</v>
      </c>
      <c r="CA367" s="3">
        <v>45666</v>
      </c>
      <c r="CB367" s="1">
        <v>6.5</v>
      </c>
      <c r="CC367" s="3">
        <v>45691</v>
      </c>
      <c r="CD367" s="1">
        <v>6.48</v>
      </c>
      <c r="CE367" s="3">
        <v>45691</v>
      </c>
      <c r="CF367" s="1">
        <v>6.46</v>
      </c>
      <c r="CG367" s="3">
        <v>45691</v>
      </c>
      <c r="CH367" s="1">
        <v>6.44</v>
      </c>
      <c r="CI367" s="3">
        <v>45691</v>
      </c>
      <c r="CJ367" s="1">
        <v>6.3</v>
      </c>
      <c r="CK367" s="3">
        <v>45691</v>
      </c>
      <c r="CL367" s="1">
        <v>6.11</v>
      </c>
      <c r="CM367" s="3">
        <v>45691</v>
      </c>
      <c r="CN367" s="1">
        <v>5.96</v>
      </c>
      <c r="CO367" s="3">
        <v>45684</v>
      </c>
      <c r="CP367" s="1">
        <v>5.9550000000000001</v>
      </c>
      <c r="CQ367" s="3">
        <v>45684</v>
      </c>
      <c r="CR367" s="1">
        <v>5.96</v>
      </c>
      <c r="CS367" s="3">
        <v>45684</v>
      </c>
      <c r="CT367" s="1">
        <v>5.9749999999999996</v>
      </c>
    </row>
    <row r="368" spans="31:98" x14ac:dyDescent="0.2">
      <c r="AE368" s="3">
        <v>45688</v>
      </c>
      <c r="AF368" s="1">
        <v>5.75</v>
      </c>
      <c r="AG368" s="3">
        <v>45670</v>
      </c>
      <c r="AH368" s="1">
        <v>5.84</v>
      </c>
      <c r="AI368" s="3">
        <v>45688</v>
      </c>
      <c r="AJ368" s="2">
        <v>5.8537999999999997</v>
      </c>
      <c r="AK368" s="3">
        <v>45688</v>
      </c>
      <c r="AL368" s="2">
        <v>5.8150000000000004</v>
      </c>
      <c r="AM368" s="3">
        <v>45688</v>
      </c>
      <c r="AN368" s="2">
        <v>5.78</v>
      </c>
      <c r="AO368" s="3">
        <v>45688</v>
      </c>
      <c r="AP368" s="2">
        <v>5.39</v>
      </c>
      <c r="AQ368" s="3">
        <v>45688</v>
      </c>
      <c r="AR368" s="2">
        <v>5.0199999999999996</v>
      </c>
      <c r="AS368" s="3">
        <v>45688</v>
      </c>
      <c r="AT368" s="2">
        <v>4.7225000000000001</v>
      </c>
      <c r="AU368" s="3">
        <v>45688</v>
      </c>
      <c r="AV368" s="2">
        <v>4.5025000000000004</v>
      </c>
      <c r="AW368" s="3">
        <v>45688</v>
      </c>
      <c r="AX368" s="2">
        <v>4.3724999999999996</v>
      </c>
      <c r="AY368" s="3">
        <v>45688</v>
      </c>
      <c r="AZ368" s="2">
        <v>4.3224999999999998</v>
      </c>
      <c r="BB368" s="3">
        <v>45667</v>
      </c>
      <c r="BC368" s="1">
        <v>4</v>
      </c>
      <c r="BD368" s="3">
        <v>45670</v>
      </c>
      <c r="BE368" s="1">
        <v>3.9</v>
      </c>
      <c r="BF368" s="3">
        <v>45688</v>
      </c>
      <c r="BG368" s="1">
        <v>3.71</v>
      </c>
      <c r="BH368" s="3">
        <v>45688</v>
      </c>
      <c r="BI368" s="1">
        <v>3.6230000000000002</v>
      </c>
      <c r="BJ368" s="3">
        <v>45688</v>
      </c>
      <c r="BK368" s="1">
        <v>3.57</v>
      </c>
      <c r="BL368" s="3">
        <v>45688</v>
      </c>
      <c r="BM368" s="1">
        <v>3.4279999999999999</v>
      </c>
      <c r="BN368" s="3">
        <v>45688</v>
      </c>
      <c r="BO368" s="1">
        <v>3.3650000000000002</v>
      </c>
      <c r="BP368" s="3">
        <v>45688</v>
      </c>
      <c r="BQ368" s="1">
        <v>3.3180000000000001</v>
      </c>
      <c r="BR368" s="3">
        <v>45688</v>
      </c>
      <c r="BS368" s="1">
        <v>3.32</v>
      </c>
      <c r="BT368" s="3">
        <v>45688</v>
      </c>
      <c r="BU368" s="1">
        <v>3.3380000000000001</v>
      </c>
      <c r="BV368" s="3">
        <v>45688</v>
      </c>
      <c r="BW368" s="1">
        <v>3.3650000000000002</v>
      </c>
      <c r="BY368" s="3">
        <v>45673</v>
      </c>
      <c r="BZ368" s="1">
        <v>6.5</v>
      </c>
      <c r="CA368" s="3">
        <v>45665</v>
      </c>
      <c r="CB368" s="1">
        <v>6.5</v>
      </c>
      <c r="CC368" s="3">
        <v>45688</v>
      </c>
      <c r="CD368" s="1">
        <v>6.4859999999999998</v>
      </c>
      <c r="CE368" s="3">
        <v>45688</v>
      </c>
      <c r="CF368" s="1">
        <v>6.4690000000000003</v>
      </c>
      <c r="CG368" s="3">
        <v>45688</v>
      </c>
      <c r="CH368" s="1">
        <v>6.46</v>
      </c>
      <c r="CI368" s="3">
        <v>45688</v>
      </c>
      <c r="CJ368" s="1">
        <v>6.33</v>
      </c>
      <c r="CK368" s="3">
        <v>45688</v>
      </c>
      <c r="CL368" s="1">
        <v>6.12</v>
      </c>
      <c r="CM368" s="3">
        <v>45688</v>
      </c>
      <c r="CN368" s="1">
        <v>5.9950000000000001</v>
      </c>
      <c r="CO368" s="3">
        <v>45681</v>
      </c>
      <c r="CP368" s="1">
        <v>6.02</v>
      </c>
      <c r="CQ368" s="3">
        <v>45681</v>
      </c>
      <c r="CR368" s="1">
        <v>6.0250000000000004</v>
      </c>
      <c r="CS368" s="3">
        <v>45681</v>
      </c>
      <c r="CT368" s="1">
        <v>6.04</v>
      </c>
    </row>
    <row r="369" spans="31:98" x14ac:dyDescent="0.2">
      <c r="AE369" s="3">
        <v>45687</v>
      </c>
      <c r="AF369" s="1">
        <v>5.75</v>
      </c>
      <c r="AG369" s="3">
        <v>45667</v>
      </c>
      <c r="AH369" s="1">
        <v>5.83</v>
      </c>
      <c r="AI369" s="3">
        <v>45687</v>
      </c>
      <c r="AJ369" s="2">
        <v>5.8537999999999997</v>
      </c>
      <c r="AK369" s="3">
        <v>45687</v>
      </c>
      <c r="AL369" s="2">
        <v>5.8150000000000004</v>
      </c>
      <c r="AM369" s="3">
        <v>45687</v>
      </c>
      <c r="AN369" s="2">
        <v>5.78</v>
      </c>
      <c r="AO369" s="3">
        <v>45687</v>
      </c>
      <c r="AP369" s="2">
        <v>5.39</v>
      </c>
      <c r="AQ369" s="3">
        <v>45687</v>
      </c>
      <c r="AR369" s="2">
        <v>5.0250000000000004</v>
      </c>
      <c r="AS369" s="3">
        <v>45687</v>
      </c>
      <c r="AT369" s="2">
        <v>4.7300000000000004</v>
      </c>
      <c r="AU369" s="3">
        <v>45687</v>
      </c>
      <c r="AV369" s="2">
        <v>4.5149999999999997</v>
      </c>
      <c r="AW369" s="3">
        <v>45687</v>
      </c>
      <c r="AX369" s="2">
        <v>4.3849999999999998</v>
      </c>
      <c r="AY369" s="3">
        <v>45687</v>
      </c>
      <c r="AZ369" s="2">
        <v>4.335</v>
      </c>
      <c r="BB369" s="3">
        <v>45666</v>
      </c>
      <c r="BC369" s="1">
        <v>4</v>
      </c>
      <c r="BD369" s="3">
        <v>45667</v>
      </c>
      <c r="BE369" s="1">
        <v>3.91</v>
      </c>
      <c r="BF369" s="3">
        <v>45687</v>
      </c>
      <c r="BG369" s="1">
        <v>3.71</v>
      </c>
      <c r="BH369" s="3">
        <v>45687</v>
      </c>
      <c r="BI369" s="1">
        <v>3.621</v>
      </c>
      <c r="BJ369" s="3">
        <v>45687</v>
      </c>
      <c r="BK369" s="1">
        <v>3.57</v>
      </c>
      <c r="BL369" s="3">
        <v>45687</v>
      </c>
      <c r="BM369" s="1">
        <v>3.43</v>
      </c>
      <c r="BN369" s="3">
        <v>45687</v>
      </c>
      <c r="BO369" s="1">
        <v>3.36</v>
      </c>
      <c r="BP369" s="3">
        <v>45687</v>
      </c>
      <c r="BQ369" s="1">
        <v>3.31</v>
      </c>
      <c r="BR369" s="3">
        <v>45687</v>
      </c>
      <c r="BS369" s="1">
        <v>3.3180000000000001</v>
      </c>
      <c r="BT369" s="3">
        <v>45687</v>
      </c>
      <c r="BU369" s="1">
        <v>3.335</v>
      </c>
      <c r="BV369" s="3">
        <v>45687</v>
      </c>
      <c r="BW369" s="1">
        <v>3.3679999999999999</v>
      </c>
      <c r="BY369" s="3">
        <v>45672</v>
      </c>
      <c r="BZ369" s="1">
        <v>6.5</v>
      </c>
      <c r="CA369" s="3">
        <v>45664</v>
      </c>
      <c r="CB369" s="1">
        <v>6.5</v>
      </c>
      <c r="CC369" s="3">
        <v>45687</v>
      </c>
      <c r="CD369" s="1">
        <v>6.4859999999999998</v>
      </c>
      <c r="CE369" s="3">
        <v>45687</v>
      </c>
      <c r="CF369" s="1">
        <v>6.4669999999999996</v>
      </c>
      <c r="CG369" s="3">
        <v>45687</v>
      </c>
      <c r="CH369" s="1">
        <v>6.45</v>
      </c>
      <c r="CI369" s="3">
        <v>45687</v>
      </c>
      <c r="CJ369" s="1">
        <v>6.29</v>
      </c>
      <c r="CK369" s="3">
        <v>45687</v>
      </c>
      <c r="CL369" s="1">
        <v>6.08</v>
      </c>
      <c r="CM369" s="3">
        <v>45687</v>
      </c>
      <c r="CN369" s="1">
        <v>5.95</v>
      </c>
      <c r="CO369" s="3">
        <v>45680</v>
      </c>
      <c r="CP369" s="1">
        <v>6.1150000000000002</v>
      </c>
      <c r="CQ369" s="3">
        <v>45680</v>
      </c>
      <c r="CR369" s="1">
        <v>6.12</v>
      </c>
      <c r="CS369" s="3">
        <v>45680</v>
      </c>
      <c r="CT369" s="1">
        <v>6.1349999999999998</v>
      </c>
    </row>
    <row r="370" spans="31:98" x14ac:dyDescent="0.2">
      <c r="AE370" s="3">
        <v>45686</v>
      </c>
      <c r="AF370" s="1">
        <v>5.75</v>
      </c>
      <c r="AG370" s="3">
        <v>45666</v>
      </c>
      <c r="AH370" s="1">
        <v>5.8</v>
      </c>
      <c r="AI370" s="3">
        <v>45686</v>
      </c>
      <c r="AJ370" s="2">
        <v>5.8517999999999999</v>
      </c>
      <c r="AK370" s="3">
        <v>45686</v>
      </c>
      <c r="AL370" s="2">
        <v>5.8150000000000004</v>
      </c>
      <c r="AM370" s="3">
        <v>45686</v>
      </c>
      <c r="AN370" s="2">
        <v>5.7750000000000004</v>
      </c>
      <c r="AO370" s="3">
        <v>45686</v>
      </c>
      <c r="AP370" s="2">
        <v>5.42</v>
      </c>
      <c r="AQ370" s="3">
        <v>45686</v>
      </c>
      <c r="AR370" s="2">
        <v>5.0650000000000004</v>
      </c>
      <c r="AS370" s="3">
        <v>45686</v>
      </c>
      <c r="AT370" s="2">
        <v>4.7850000000000001</v>
      </c>
      <c r="AU370" s="3">
        <v>45686</v>
      </c>
      <c r="AV370" s="2">
        <v>4.57</v>
      </c>
      <c r="AW370" s="3">
        <v>45686</v>
      </c>
      <c r="AX370" s="2">
        <v>4.4400000000000004</v>
      </c>
      <c r="AY370" s="3">
        <v>45686</v>
      </c>
      <c r="AZ370" s="2">
        <v>4.3899999999999997</v>
      </c>
      <c r="BB370" s="3">
        <v>45665</v>
      </c>
      <c r="BC370" s="1">
        <v>4</v>
      </c>
      <c r="BD370" s="3">
        <v>45666</v>
      </c>
      <c r="BE370" s="1">
        <v>3.91</v>
      </c>
      <c r="BF370" s="3">
        <v>45686</v>
      </c>
      <c r="BG370" s="1">
        <v>3.71</v>
      </c>
      <c r="BH370" s="3">
        <v>45686</v>
      </c>
      <c r="BI370" s="1">
        <v>3.633</v>
      </c>
      <c r="BJ370" s="3">
        <v>45686</v>
      </c>
      <c r="BK370" s="1">
        <v>3.5880000000000001</v>
      </c>
      <c r="BL370" s="3">
        <v>45686</v>
      </c>
      <c r="BM370" s="1">
        <v>3.4550000000000001</v>
      </c>
      <c r="BN370" s="3">
        <v>45686</v>
      </c>
      <c r="BO370" s="1">
        <v>3.375</v>
      </c>
      <c r="BP370" s="3">
        <v>45686</v>
      </c>
      <c r="BQ370" s="1">
        <v>3.3250000000000002</v>
      </c>
      <c r="BR370" s="3">
        <v>45686</v>
      </c>
      <c r="BS370" s="1">
        <v>3.3330000000000002</v>
      </c>
      <c r="BT370" s="3">
        <v>45686</v>
      </c>
      <c r="BU370" s="1">
        <v>3.3530000000000002</v>
      </c>
      <c r="BV370" s="3">
        <v>45686</v>
      </c>
      <c r="BW370" s="1">
        <v>3.38</v>
      </c>
      <c r="BY370" s="3">
        <v>45671</v>
      </c>
      <c r="BZ370" s="1">
        <v>6.5</v>
      </c>
      <c r="CA370" s="3">
        <v>45663</v>
      </c>
      <c r="CB370" s="1">
        <v>6.5</v>
      </c>
      <c r="CC370" s="3">
        <v>45686</v>
      </c>
      <c r="CD370" s="1">
        <v>6.49</v>
      </c>
      <c r="CE370" s="3">
        <v>45686</v>
      </c>
      <c r="CF370" s="1">
        <v>6.48</v>
      </c>
      <c r="CG370" s="3">
        <v>45686</v>
      </c>
      <c r="CH370" s="1">
        <v>6.47</v>
      </c>
      <c r="CI370" s="3">
        <v>45686</v>
      </c>
      <c r="CJ370" s="1">
        <v>6.32</v>
      </c>
      <c r="CK370" s="3">
        <v>45686</v>
      </c>
      <c r="CL370" s="1">
        <v>6.11</v>
      </c>
      <c r="CM370" s="3">
        <v>45686</v>
      </c>
      <c r="CN370" s="1">
        <v>5.9649999999999999</v>
      </c>
      <c r="CO370" s="3">
        <v>45679</v>
      </c>
      <c r="CP370" s="1">
        <v>5.99</v>
      </c>
      <c r="CQ370" s="3">
        <v>45679</v>
      </c>
      <c r="CR370" s="1">
        <v>6.0049999999999999</v>
      </c>
      <c r="CS370" s="3">
        <v>45679</v>
      </c>
      <c r="CT370" s="1">
        <v>6.0350000000000001</v>
      </c>
    </row>
    <row r="371" spans="31:98" x14ac:dyDescent="0.2">
      <c r="AE371" s="3">
        <v>45685</v>
      </c>
      <c r="AF371" s="1">
        <v>5.75</v>
      </c>
      <c r="AG371" s="3">
        <v>45665</v>
      </c>
      <c r="AH371" s="1">
        <v>5.81</v>
      </c>
      <c r="AI371" s="3">
        <v>45685</v>
      </c>
      <c r="AJ371" s="2">
        <v>5.8479999999999999</v>
      </c>
      <c r="AK371" s="3">
        <v>45685</v>
      </c>
      <c r="AL371" s="2">
        <v>5.8075000000000001</v>
      </c>
      <c r="AM371" s="3">
        <v>45685</v>
      </c>
      <c r="AN371" s="2">
        <v>5.77</v>
      </c>
      <c r="AO371" s="3">
        <v>45685</v>
      </c>
      <c r="AP371" s="2">
        <v>5.42</v>
      </c>
      <c r="AQ371" s="3">
        <v>45685</v>
      </c>
      <c r="AR371" s="2">
        <v>5.0750000000000002</v>
      </c>
      <c r="AS371" s="3">
        <v>45685</v>
      </c>
      <c r="AT371" s="2">
        <v>4.8</v>
      </c>
      <c r="AU371" s="3">
        <v>45685</v>
      </c>
      <c r="AV371" s="2">
        <v>4.59</v>
      </c>
      <c r="AW371" s="3">
        <v>45685</v>
      </c>
      <c r="AX371" s="2">
        <v>4.46</v>
      </c>
      <c r="AY371" s="3">
        <v>45685</v>
      </c>
      <c r="AZ371" s="2">
        <v>4.41</v>
      </c>
      <c r="BB371" s="3">
        <v>45664</v>
      </c>
      <c r="BC371" s="1">
        <v>4</v>
      </c>
      <c r="BD371" s="3">
        <v>45665</v>
      </c>
      <c r="BE371" s="1">
        <v>3.92</v>
      </c>
      <c r="BF371" s="3">
        <v>45685</v>
      </c>
      <c r="BG371" s="1">
        <v>3.7450000000000001</v>
      </c>
      <c r="BH371" s="3">
        <v>45685</v>
      </c>
      <c r="BI371" s="1">
        <v>3.6549999999999998</v>
      </c>
      <c r="BJ371" s="3">
        <v>45685</v>
      </c>
      <c r="BK371" s="1">
        <v>3.6080000000000001</v>
      </c>
      <c r="BL371" s="3">
        <v>45685</v>
      </c>
      <c r="BM371" s="1">
        <v>3.4630000000000001</v>
      </c>
      <c r="BN371" s="3">
        <v>45685</v>
      </c>
      <c r="BO371" s="1">
        <v>3.379</v>
      </c>
      <c r="BP371" s="3">
        <v>45685</v>
      </c>
      <c r="BQ371" s="1">
        <v>3.3479999999999999</v>
      </c>
      <c r="BR371" s="3">
        <v>45685</v>
      </c>
      <c r="BS371" s="1">
        <v>3.355</v>
      </c>
      <c r="BT371" s="3">
        <v>45685</v>
      </c>
      <c r="BU371" s="1">
        <v>3.375</v>
      </c>
      <c r="BV371" s="3">
        <v>45685</v>
      </c>
      <c r="BW371" s="1">
        <v>3.4049999999999998</v>
      </c>
      <c r="BY371" s="3">
        <v>45670</v>
      </c>
      <c r="BZ371" s="1">
        <v>6.5</v>
      </c>
      <c r="CA371" s="3">
        <v>45660</v>
      </c>
      <c r="CB371" s="1">
        <v>6.5</v>
      </c>
      <c r="CC371" s="3">
        <v>45685</v>
      </c>
      <c r="CD371" s="1">
        <v>6.49</v>
      </c>
      <c r="CE371" s="3">
        <v>45685</v>
      </c>
      <c r="CF371" s="1">
        <v>6.47</v>
      </c>
      <c r="CG371" s="3">
        <v>45685</v>
      </c>
      <c r="CH371" s="1">
        <v>6.46</v>
      </c>
      <c r="CI371" s="3">
        <v>45685</v>
      </c>
      <c r="CJ371" s="1">
        <v>6.31</v>
      </c>
      <c r="CK371" s="3">
        <v>45685</v>
      </c>
      <c r="CL371" s="1">
        <v>6.1</v>
      </c>
      <c r="CM371" s="3">
        <v>45685</v>
      </c>
      <c r="CN371" s="1">
        <v>5.98</v>
      </c>
      <c r="CO371" s="3">
        <v>45678</v>
      </c>
      <c r="CP371" s="1">
        <v>6.03</v>
      </c>
      <c r="CQ371" s="3">
        <v>45678</v>
      </c>
      <c r="CR371" s="1">
        <v>6.0449999999999999</v>
      </c>
      <c r="CS371" s="3">
        <v>45678</v>
      </c>
      <c r="CT371" s="1">
        <v>6.0774999999999997</v>
      </c>
    </row>
    <row r="372" spans="31:98" x14ac:dyDescent="0.2">
      <c r="AE372" s="3">
        <v>45684</v>
      </c>
      <c r="AF372" s="1">
        <v>5.75</v>
      </c>
      <c r="AG372" s="3">
        <v>45664</v>
      </c>
      <c r="AH372" s="1">
        <v>5.84</v>
      </c>
      <c r="AI372" s="3">
        <v>45684</v>
      </c>
      <c r="AJ372" s="2">
        <v>5.8475000000000001</v>
      </c>
      <c r="AK372" s="3">
        <v>45684</v>
      </c>
      <c r="AL372" s="2">
        <v>5.8049999999999997</v>
      </c>
      <c r="AM372" s="3">
        <v>45684</v>
      </c>
      <c r="AN372" s="2">
        <v>5.7625000000000002</v>
      </c>
      <c r="AO372" s="3">
        <v>45684</v>
      </c>
      <c r="AP372" s="2">
        <v>5.4249999999999998</v>
      </c>
      <c r="AQ372" s="3">
        <v>45684</v>
      </c>
      <c r="AR372" s="2">
        <v>5.0774999999999997</v>
      </c>
      <c r="AS372" s="3">
        <v>45684</v>
      </c>
      <c r="AT372" s="2">
        <v>4.7975000000000003</v>
      </c>
      <c r="AU372" s="3">
        <v>45684</v>
      </c>
      <c r="AV372" s="2">
        <v>4.5824999999999996</v>
      </c>
      <c r="AW372" s="3">
        <v>45684</v>
      </c>
      <c r="AX372" s="2">
        <v>4.4625000000000004</v>
      </c>
      <c r="AY372" s="3">
        <v>45684</v>
      </c>
      <c r="AZ372" s="2">
        <v>4.4124999999999996</v>
      </c>
      <c r="BB372" s="3">
        <v>45663</v>
      </c>
      <c r="BC372" s="1">
        <v>4</v>
      </c>
      <c r="BD372" s="3">
        <v>45664</v>
      </c>
      <c r="BE372" s="1">
        <v>3.92</v>
      </c>
      <c r="BF372" s="3">
        <v>45684</v>
      </c>
      <c r="BG372" s="1">
        <v>3.75</v>
      </c>
      <c r="BH372" s="3">
        <v>45684</v>
      </c>
      <c r="BI372" s="1">
        <v>3.6579999999999999</v>
      </c>
      <c r="BJ372" s="3">
        <v>45684</v>
      </c>
      <c r="BK372" s="1">
        <v>3.6030000000000002</v>
      </c>
      <c r="BL372" s="3">
        <v>45684</v>
      </c>
      <c r="BM372" s="1">
        <v>3.448</v>
      </c>
      <c r="BN372" s="3">
        <v>45684</v>
      </c>
      <c r="BO372" s="1">
        <v>3.3679999999999999</v>
      </c>
      <c r="BP372" s="3">
        <v>45684</v>
      </c>
      <c r="BQ372" s="1">
        <v>3.33</v>
      </c>
      <c r="BR372" s="3">
        <v>45684</v>
      </c>
      <c r="BS372" s="1">
        <v>3.34</v>
      </c>
      <c r="BT372" s="3">
        <v>45684</v>
      </c>
      <c r="BU372" s="1">
        <v>3.3580000000000001</v>
      </c>
      <c r="BV372" s="3">
        <v>45684</v>
      </c>
      <c r="BW372" s="1">
        <v>3.3849999999999998</v>
      </c>
      <c r="BY372" s="3">
        <v>45667</v>
      </c>
      <c r="BZ372" s="1">
        <v>6.5</v>
      </c>
      <c r="CA372" s="3">
        <v>45659</v>
      </c>
      <c r="CB372" s="1">
        <v>6.5</v>
      </c>
      <c r="CC372" s="3">
        <v>45684</v>
      </c>
      <c r="CD372" s="1">
        <v>6.5</v>
      </c>
      <c r="CE372" s="3">
        <v>45684</v>
      </c>
      <c r="CF372" s="1">
        <v>6.49</v>
      </c>
      <c r="CG372" s="3">
        <v>45684</v>
      </c>
      <c r="CH372" s="1">
        <v>6.47</v>
      </c>
      <c r="CI372" s="3">
        <v>45684</v>
      </c>
      <c r="CJ372" s="1">
        <v>6.26</v>
      </c>
      <c r="CK372" s="3">
        <v>45684</v>
      </c>
      <c r="CL372" s="1">
        <v>6.06</v>
      </c>
      <c r="CM372" s="3">
        <v>45684</v>
      </c>
      <c r="CN372" s="1">
        <v>5.96</v>
      </c>
      <c r="CO372" s="3">
        <v>45677</v>
      </c>
      <c r="CP372" s="1">
        <v>6.0824999999999996</v>
      </c>
      <c r="CQ372" s="3">
        <v>45677</v>
      </c>
      <c r="CR372" s="1">
        <v>6.0949999999999998</v>
      </c>
      <c r="CS372" s="3">
        <v>45677</v>
      </c>
      <c r="CT372" s="1">
        <v>6.125</v>
      </c>
    </row>
    <row r="373" spans="31:98" x14ac:dyDescent="0.2">
      <c r="AE373" s="3">
        <v>45681</v>
      </c>
      <c r="AF373" s="1">
        <v>5.75</v>
      </c>
      <c r="AG373" s="3">
        <v>45660</v>
      </c>
      <c r="AH373" s="1">
        <v>5.84</v>
      </c>
      <c r="AI373" s="3">
        <v>45681</v>
      </c>
      <c r="AJ373" s="2">
        <v>5.8529999999999998</v>
      </c>
      <c r="AK373" s="3">
        <v>45681</v>
      </c>
      <c r="AL373" s="2">
        <v>5.81</v>
      </c>
      <c r="AM373" s="3">
        <v>45681</v>
      </c>
      <c r="AN373" s="2">
        <v>5.76</v>
      </c>
      <c r="AO373" s="3">
        <v>45681</v>
      </c>
      <c r="AP373" s="2">
        <v>5.41</v>
      </c>
      <c r="AQ373" s="3">
        <v>45681</v>
      </c>
      <c r="AR373" s="2">
        <v>5.09</v>
      </c>
      <c r="AS373" s="3">
        <v>45681</v>
      </c>
      <c r="AT373" s="2">
        <v>4.8075000000000001</v>
      </c>
      <c r="AU373" s="3">
        <v>45681</v>
      </c>
      <c r="AV373" s="2">
        <v>4.5875000000000004</v>
      </c>
      <c r="AW373" s="3">
        <v>45681</v>
      </c>
      <c r="AX373" s="2">
        <v>4.4625000000000004</v>
      </c>
      <c r="AY373" s="3">
        <v>45681</v>
      </c>
      <c r="AZ373" s="2">
        <v>4.4225000000000003</v>
      </c>
      <c r="BB373" s="3">
        <v>45660</v>
      </c>
      <c r="BC373" s="1">
        <v>4</v>
      </c>
      <c r="BD373" s="3">
        <v>45663</v>
      </c>
      <c r="BE373" s="1">
        <v>3.92</v>
      </c>
      <c r="BF373" s="3">
        <v>45681</v>
      </c>
      <c r="BG373" s="1">
        <v>3.7549999999999999</v>
      </c>
      <c r="BH373" s="3">
        <v>45681</v>
      </c>
      <c r="BI373" s="1">
        <v>3.718</v>
      </c>
      <c r="BJ373" s="3">
        <v>45681</v>
      </c>
      <c r="BK373" s="1">
        <v>3.61</v>
      </c>
      <c r="BL373" s="3">
        <v>45681</v>
      </c>
      <c r="BM373" s="1">
        <v>3.46</v>
      </c>
      <c r="BN373" s="3">
        <v>45681</v>
      </c>
      <c r="BO373" s="1">
        <v>3.39</v>
      </c>
      <c r="BP373" s="3">
        <v>45681</v>
      </c>
      <c r="BQ373" s="1">
        <v>3.3450000000000002</v>
      </c>
      <c r="BR373" s="3">
        <v>45681</v>
      </c>
      <c r="BS373" s="1">
        <v>3.355</v>
      </c>
      <c r="BT373" s="3">
        <v>45681</v>
      </c>
      <c r="BU373" s="1">
        <v>3.375</v>
      </c>
      <c r="BV373" s="3">
        <v>45681</v>
      </c>
      <c r="BW373" s="1">
        <v>3.41</v>
      </c>
      <c r="BY373" s="3">
        <v>45666</v>
      </c>
      <c r="BZ373" s="1">
        <v>6.5</v>
      </c>
      <c r="CA373" s="3">
        <v>45657</v>
      </c>
      <c r="CB373" s="1">
        <v>6.5</v>
      </c>
      <c r="CC373" s="3">
        <v>45681</v>
      </c>
      <c r="CD373" s="1">
        <v>6.5</v>
      </c>
      <c r="CE373" s="3">
        <v>45681</v>
      </c>
      <c r="CF373" s="1">
        <v>6.49</v>
      </c>
      <c r="CG373" s="3">
        <v>45681</v>
      </c>
      <c r="CH373" s="1">
        <v>6.48</v>
      </c>
      <c r="CI373" s="3">
        <v>45681</v>
      </c>
      <c r="CJ373" s="1">
        <v>6.3</v>
      </c>
      <c r="CK373" s="3">
        <v>45681</v>
      </c>
      <c r="CL373" s="1">
        <v>6.12</v>
      </c>
      <c r="CM373" s="3">
        <v>45681</v>
      </c>
      <c r="CN373" s="1">
        <v>6.0250000000000004</v>
      </c>
      <c r="CO373" s="3">
        <v>45674</v>
      </c>
      <c r="CP373" s="1">
        <v>6.1349999999999998</v>
      </c>
      <c r="CQ373" s="3">
        <v>45674</v>
      </c>
      <c r="CR373" s="1">
        <v>6.15</v>
      </c>
      <c r="CS373" s="3">
        <v>45674</v>
      </c>
      <c r="CT373" s="1">
        <v>6.1825000000000001</v>
      </c>
    </row>
    <row r="374" spans="31:98" x14ac:dyDescent="0.2">
      <c r="AE374" s="3">
        <v>45680</v>
      </c>
      <c r="AF374" s="1">
        <v>5.75</v>
      </c>
      <c r="AG374" s="3">
        <v>45659</v>
      </c>
      <c r="AH374" s="1">
        <v>5.82</v>
      </c>
      <c r="AI374" s="3">
        <v>45680</v>
      </c>
      <c r="AJ374" s="2">
        <v>5.8372999999999999</v>
      </c>
      <c r="AK374" s="3">
        <v>45680</v>
      </c>
      <c r="AL374" s="2">
        <v>5.8</v>
      </c>
      <c r="AM374" s="3">
        <v>45680</v>
      </c>
      <c r="AN374" s="2">
        <v>5.7350000000000003</v>
      </c>
      <c r="AO374" s="3">
        <v>45680</v>
      </c>
      <c r="AP374" s="2">
        <v>5.4</v>
      </c>
      <c r="AQ374" s="3">
        <v>45680</v>
      </c>
      <c r="AR374" s="2">
        <v>5.0599999999999996</v>
      </c>
      <c r="AS374" s="3">
        <v>45680</v>
      </c>
      <c r="AT374" s="2">
        <v>4.7699999999999996</v>
      </c>
      <c r="AU374" s="3">
        <v>45680</v>
      </c>
      <c r="AV374" s="2">
        <v>4.55</v>
      </c>
      <c r="AW374" s="3">
        <v>45680</v>
      </c>
      <c r="AX374" s="2">
        <v>4.4249999999999998</v>
      </c>
      <c r="AY374" s="3">
        <v>45680</v>
      </c>
      <c r="AZ374" s="2">
        <v>4.38</v>
      </c>
      <c r="BB374" s="3">
        <v>45659</v>
      </c>
      <c r="BC374" s="1">
        <v>4</v>
      </c>
      <c r="BD374" s="3">
        <v>45660</v>
      </c>
      <c r="BE374" s="1">
        <v>3.92</v>
      </c>
      <c r="BF374" s="3">
        <v>45680</v>
      </c>
      <c r="BG374" s="1">
        <v>3.76</v>
      </c>
      <c r="BH374" s="3">
        <v>45680</v>
      </c>
      <c r="BI374" s="1">
        <v>3.73</v>
      </c>
      <c r="BJ374" s="3">
        <v>45680</v>
      </c>
      <c r="BK374" s="1">
        <v>3.6179999999999999</v>
      </c>
      <c r="BL374" s="3">
        <v>45680</v>
      </c>
      <c r="BM374" s="1">
        <v>3.4729999999999999</v>
      </c>
      <c r="BN374" s="3">
        <v>45680</v>
      </c>
      <c r="BO374" s="1">
        <v>3.39</v>
      </c>
      <c r="BP374" s="3">
        <v>45680</v>
      </c>
      <c r="BQ374" s="1">
        <v>3.335</v>
      </c>
      <c r="BR374" s="3">
        <v>45680</v>
      </c>
      <c r="BS374" s="1">
        <v>3.343</v>
      </c>
      <c r="BT374" s="3">
        <v>45680</v>
      </c>
      <c r="BU374" s="1">
        <v>3.363</v>
      </c>
      <c r="BV374" s="3">
        <v>45680</v>
      </c>
      <c r="BW374" s="1">
        <v>3.3929999999999998</v>
      </c>
      <c r="BY374" s="3">
        <v>45665</v>
      </c>
      <c r="BZ374" s="1">
        <v>6.5</v>
      </c>
      <c r="CA374" s="3">
        <v>45656</v>
      </c>
      <c r="CB374" s="1">
        <v>6.5</v>
      </c>
      <c r="CC374" s="3">
        <v>45680</v>
      </c>
      <c r="CD374" s="1">
        <v>6.5</v>
      </c>
      <c r="CE374" s="3">
        <v>45680</v>
      </c>
      <c r="CF374" s="1">
        <v>6.5</v>
      </c>
      <c r="CG374" s="3">
        <v>45680</v>
      </c>
      <c r="CH374" s="1">
        <v>6.51</v>
      </c>
      <c r="CI374" s="3">
        <v>45680</v>
      </c>
      <c r="CJ374" s="1">
        <v>6.35</v>
      </c>
      <c r="CK374" s="3">
        <v>45680</v>
      </c>
      <c r="CL374" s="1">
        <v>6.16</v>
      </c>
      <c r="CM374" s="3">
        <v>45680</v>
      </c>
      <c r="CN374" s="1">
        <v>6.1349999999999998</v>
      </c>
      <c r="CO374" s="3">
        <v>45673</v>
      </c>
      <c r="CP374" s="1">
        <v>6.16</v>
      </c>
      <c r="CQ374" s="3">
        <v>45673</v>
      </c>
      <c r="CR374" s="1">
        <v>6.1749999999999998</v>
      </c>
      <c r="CS374" s="3">
        <v>45673</v>
      </c>
      <c r="CT374" s="1">
        <v>6.2074999999999996</v>
      </c>
    </row>
    <row r="375" spans="31:98" x14ac:dyDescent="0.2">
      <c r="AE375" s="3">
        <v>45679</v>
      </c>
      <c r="AF375" s="1">
        <v>5.75</v>
      </c>
      <c r="AG375" s="3">
        <v>45657</v>
      </c>
      <c r="AH375" s="1">
        <v>5.84</v>
      </c>
      <c r="AI375" s="3">
        <v>45679</v>
      </c>
      <c r="AJ375" s="2">
        <v>5.8289999999999997</v>
      </c>
      <c r="AK375" s="3">
        <v>45679</v>
      </c>
      <c r="AL375" s="2">
        <v>5.8</v>
      </c>
      <c r="AM375" s="3">
        <v>45679</v>
      </c>
      <c r="AN375" s="2">
        <v>5.7249999999999996</v>
      </c>
      <c r="AO375" s="3">
        <v>45679</v>
      </c>
      <c r="AP375" s="2">
        <v>5.39</v>
      </c>
      <c r="AQ375" s="3">
        <v>45679</v>
      </c>
      <c r="AR375" s="2">
        <v>5.0525000000000002</v>
      </c>
      <c r="AS375" s="3">
        <v>45679</v>
      </c>
      <c r="AT375" s="2">
        <v>4.74</v>
      </c>
      <c r="AU375" s="3">
        <v>45679</v>
      </c>
      <c r="AV375" s="2">
        <v>4.5199999999999996</v>
      </c>
      <c r="AW375" s="3">
        <v>45679</v>
      </c>
      <c r="AX375" s="2">
        <v>4.3899999999999997</v>
      </c>
      <c r="AY375" s="3">
        <v>45679</v>
      </c>
      <c r="AZ375" s="2">
        <v>4.3449999999999998</v>
      </c>
      <c r="BB375" s="3">
        <v>45657</v>
      </c>
      <c r="BC375" s="1">
        <v>4</v>
      </c>
      <c r="BD375" s="3">
        <v>45659</v>
      </c>
      <c r="BE375" s="1">
        <v>3.92</v>
      </c>
      <c r="BF375" s="3">
        <v>45679</v>
      </c>
      <c r="BG375" s="1">
        <v>3.7850000000000001</v>
      </c>
      <c r="BH375" s="3">
        <v>45679</v>
      </c>
      <c r="BI375" s="1">
        <v>3.7349999999999999</v>
      </c>
      <c r="BJ375" s="3">
        <v>45679</v>
      </c>
      <c r="BK375" s="1">
        <v>3.63</v>
      </c>
      <c r="BL375" s="3">
        <v>45679</v>
      </c>
      <c r="BM375" s="1">
        <v>3.4750000000000001</v>
      </c>
      <c r="BN375" s="3">
        <v>45679</v>
      </c>
      <c r="BO375" s="1">
        <v>3.3849999999999998</v>
      </c>
      <c r="BP375" s="3">
        <v>45679</v>
      </c>
      <c r="BQ375" s="1">
        <v>3.33</v>
      </c>
      <c r="BR375" s="3">
        <v>45679</v>
      </c>
      <c r="BS375" s="1">
        <v>3.343</v>
      </c>
      <c r="BT375" s="3">
        <v>45679</v>
      </c>
      <c r="BU375" s="1">
        <v>3.3650000000000002</v>
      </c>
      <c r="BV375" s="3">
        <v>45679</v>
      </c>
      <c r="BW375" s="1">
        <v>3.39</v>
      </c>
      <c r="BY375" s="3">
        <v>45664</v>
      </c>
      <c r="BZ375" s="1">
        <v>6.5</v>
      </c>
      <c r="CA375" s="3">
        <v>45649</v>
      </c>
      <c r="CB375" s="1">
        <v>6.5</v>
      </c>
      <c r="CC375" s="3">
        <v>45679</v>
      </c>
      <c r="CD375" s="1">
        <v>6.5049999999999999</v>
      </c>
      <c r="CE375" s="3">
        <v>45679</v>
      </c>
      <c r="CF375" s="1">
        <v>6.51</v>
      </c>
      <c r="CG375" s="3">
        <v>45679</v>
      </c>
      <c r="CH375" s="1">
        <v>6.5</v>
      </c>
      <c r="CI375" s="3">
        <v>45679</v>
      </c>
      <c r="CJ375" s="1">
        <v>6.33</v>
      </c>
      <c r="CK375" s="3">
        <v>45679</v>
      </c>
      <c r="CL375" s="1">
        <v>6.11</v>
      </c>
      <c r="CM375" s="3">
        <v>45679</v>
      </c>
      <c r="CN375" s="1">
        <v>6.0049999999999999</v>
      </c>
      <c r="CO375" s="3">
        <v>45672</v>
      </c>
      <c r="CP375" s="1">
        <v>6.1524999999999999</v>
      </c>
      <c r="CQ375" s="3">
        <v>45672</v>
      </c>
      <c r="CR375" s="1">
        <v>6.1624999999999996</v>
      </c>
      <c r="CS375" s="3">
        <v>45672</v>
      </c>
      <c r="CT375" s="1">
        <v>6.1974999999999998</v>
      </c>
    </row>
    <row r="376" spans="31:98" x14ac:dyDescent="0.2">
      <c r="AE376" s="3">
        <v>45678</v>
      </c>
      <c r="AF376" s="1">
        <v>5.75</v>
      </c>
      <c r="AG376" s="3">
        <v>45656</v>
      </c>
      <c r="AH376" s="1">
        <v>5.85</v>
      </c>
      <c r="AI376" s="3">
        <v>45678</v>
      </c>
      <c r="AJ376" s="2">
        <v>5.8304999999999998</v>
      </c>
      <c r="AK376" s="3">
        <v>45678</v>
      </c>
      <c r="AL376" s="2">
        <v>5.8</v>
      </c>
      <c r="AM376" s="3">
        <v>45678</v>
      </c>
      <c r="AN376" s="2">
        <v>5.73</v>
      </c>
      <c r="AO376" s="3">
        <v>45678</v>
      </c>
      <c r="AP376" s="2">
        <v>5.42</v>
      </c>
      <c r="AQ376" s="3">
        <v>45678</v>
      </c>
      <c r="AR376" s="2">
        <v>5.09</v>
      </c>
      <c r="AS376" s="3">
        <v>45678</v>
      </c>
      <c r="AT376" s="2">
        <v>4.78</v>
      </c>
      <c r="AU376" s="3">
        <v>45678</v>
      </c>
      <c r="AV376" s="2">
        <v>4.57</v>
      </c>
      <c r="AW376" s="3">
        <v>45678</v>
      </c>
      <c r="AX376" s="2">
        <v>4.4400000000000004</v>
      </c>
      <c r="AY376" s="3">
        <v>45678</v>
      </c>
      <c r="AZ376" s="2">
        <v>4.3949999999999996</v>
      </c>
      <c r="BB376" s="3">
        <v>45656</v>
      </c>
      <c r="BC376" s="1">
        <v>4</v>
      </c>
      <c r="BD376" s="3">
        <v>45657</v>
      </c>
      <c r="BE376" s="1">
        <v>3.92</v>
      </c>
      <c r="BF376" s="3">
        <v>45678</v>
      </c>
      <c r="BG376" s="1">
        <v>3.8050000000000002</v>
      </c>
      <c r="BH376" s="3">
        <v>45678</v>
      </c>
      <c r="BI376" s="1">
        <v>3.77</v>
      </c>
      <c r="BJ376" s="3">
        <v>45678</v>
      </c>
      <c r="BK376" s="1">
        <v>3.67</v>
      </c>
      <c r="BL376" s="3">
        <v>45678</v>
      </c>
      <c r="BM376" s="1">
        <v>3.5249999999999999</v>
      </c>
      <c r="BN376" s="3">
        <v>45678</v>
      </c>
      <c r="BO376" s="1">
        <v>3.4249999999999998</v>
      </c>
      <c r="BP376" s="3">
        <v>45678</v>
      </c>
      <c r="BQ376" s="1">
        <v>3.36</v>
      </c>
      <c r="BR376" s="3">
        <v>45678</v>
      </c>
      <c r="BS376" s="1">
        <v>3.37</v>
      </c>
      <c r="BT376" s="3">
        <v>45678</v>
      </c>
      <c r="BU376" s="1">
        <v>3.3849999999999998</v>
      </c>
      <c r="BV376" s="3">
        <v>45678</v>
      </c>
      <c r="BW376" s="1">
        <v>3.4049999999999998</v>
      </c>
      <c r="BY376" s="3">
        <v>45663</v>
      </c>
      <c r="BZ376" s="1">
        <v>6.5</v>
      </c>
      <c r="CA376" s="3">
        <v>45646</v>
      </c>
      <c r="CB376" s="1">
        <v>6.5</v>
      </c>
      <c r="CC376" s="3">
        <v>45678</v>
      </c>
      <c r="CD376" s="1">
        <v>6.508</v>
      </c>
      <c r="CE376" s="3">
        <v>45678</v>
      </c>
      <c r="CF376" s="1">
        <v>6.5049999999999999</v>
      </c>
      <c r="CG376" s="3">
        <v>45678</v>
      </c>
      <c r="CH376" s="1">
        <v>6.5</v>
      </c>
      <c r="CI376" s="3">
        <v>45678</v>
      </c>
      <c r="CJ376" s="1">
        <v>6.31</v>
      </c>
      <c r="CK376" s="3">
        <v>45678</v>
      </c>
      <c r="CL376" s="1">
        <v>6.1</v>
      </c>
      <c r="CM376" s="3">
        <v>45678</v>
      </c>
      <c r="CN376" s="1">
        <v>6.04</v>
      </c>
      <c r="CO376" s="3">
        <v>45671</v>
      </c>
      <c r="CP376" s="1">
        <v>6.3525</v>
      </c>
      <c r="CQ376" s="3">
        <v>45671</v>
      </c>
      <c r="CR376" s="1">
        <v>6.3825000000000003</v>
      </c>
      <c r="CS376" s="3">
        <v>45671</v>
      </c>
      <c r="CT376" s="1">
        <v>6.4275000000000002</v>
      </c>
    </row>
    <row r="377" spans="31:98" x14ac:dyDescent="0.2">
      <c r="AE377" s="3">
        <v>45677</v>
      </c>
      <c r="AF377" s="1">
        <v>5.75</v>
      </c>
      <c r="AG377" s="3">
        <v>45653</v>
      </c>
      <c r="AH377" s="1">
        <v>5.85</v>
      </c>
      <c r="AI377" s="3">
        <v>45677</v>
      </c>
      <c r="AJ377" s="2">
        <v>5.827</v>
      </c>
      <c r="AK377" s="3">
        <v>45677</v>
      </c>
      <c r="AL377" s="2">
        <v>5.79</v>
      </c>
      <c r="AM377" s="3">
        <v>45677</v>
      </c>
      <c r="AN377" s="2">
        <v>5.7249999999999996</v>
      </c>
      <c r="AO377" s="3">
        <v>45677</v>
      </c>
      <c r="AP377" s="2">
        <v>5.4649999999999999</v>
      </c>
      <c r="AQ377" s="3">
        <v>45677</v>
      </c>
      <c r="AR377" s="2">
        <v>5.1624999999999996</v>
      </c>
      <c r="AS377" s="3">
        <v>45677</v>
      </c>
      <c r="AT377" s="2">
        <v>4.8624999999999998</v>
      </c>
      <c r="AU377" s="3">
        <v>45677</v>
      </c>
      <c r="AV377" s="2">
        <v>4.66</v>
      </c>
      <c r="AW377" s="3">
        <v>45677</v>
      </c>
      <c r="AX377" s="2">
        <v>4.54</v>
      </c>
      <c r="AY377" s="3">
        <v>45677</v>
      </c>
      <c r="AZ377" s="2">
        <v>4.4950000000000001</v>
      </c>
      <c r="BB377" s="3">
        <v>45653</v>
      </c>
      <c r="BC377" s="1">
        <v>4</v>
      </c>
      <c r="BD377" s="3">
        <v>45656</v>
      </c>
      <c r="BE377" s="1">
        <v>3.92</v>
      </c>
      <c r="BF377" s="3">
        <v>45677</v>
      </c>
      <c r="BG377" s="1">
        <v>3.82</v>
      </c>
      <c r="BH377" s="3">
        <v>45677</v>
      </c>
      <c r="BI377" s="1">
        <v>3.778</v>
      </c>
      <c r="BJ377" s="3">
        <v>45677</v>
      </c>
      <c r="BK377" s="1">
        <v>3.67</v>
      </c>
      <c r="BL377" s="3">
        <v>45677</v>
      </c>
      <c r="BM377" s="1">
        <v>3.5249999999999999</v>
      </c>
      <c r="BN377" s="3">
        <v>45677</v>
      </c>
      <c r="BO377" s="1">
        <v>3.4449999999999998</v>
      </c>
      <c r="BP377" s="3">
        <v>45677</v>
      </c>
      <c r="BQ377" s="1">
        <v>3.3849999999999998</v>
      </c>
      <c r="BR377" s="3">
        <v>45677</v>
      </c>
      <c r="BS377" s="1">
        <v>3.3929999999999998</v>
      </c>
      <c r="BT377" s="3">
        <v>45677</v>
      </c>
      <c r="BU377" s="1">
        <v>3.4079999999999999</v>
      </c>
      <c r="BV377" s="3">
        <v>45677</v>
      </c>
      <c r="BW377" s="1">
        <v>3.43</v>
      </c>
      <c r="BY377" s="3">
        <v>45660</v>
      </c>
      <c r="BZ377" s="1">
        <v>6.5</v>
      </c>
      <c r="CA377" s="3">
        <v>45645</v>
      </c>
      <c r="CB377" s="1">
        <v>6.5</v>
      </c>
      <c r="CC377" s="3">
        <v>45677</v>
      </c>
      <c r="CD377" s="1">
        <v>6.5069999999999997</v>
      </c>
      <c r="CE377" s="3">
        <v>45677</v>
      </c>
      <c r="CF377" s="1">
        <v>6.508</v>
      </c>
      <c r="CG377" s="3">
        <v>45677</v>
      </c>
      <c r="CH377" s="1">
        <v>6.5</v>
      </c>
      <c r="CI377" s="3">
        <v>45677</v>
      </c>
      <c r="CJ377" s="1">
        <v>6.33</v>
      </c>
      <c r="CK377" s="3">
        <v>45677</v>
      </c>
      <c r="CL377" s="1">
        <v>6.14</v>
      </c>
      <c r="CM377" s="3">
        <v>45677</v>
      </c>
      <c r="CN377" s="1">
        <v>6.09</v>
      </c>
      <c r="CO377" s="3">
        <v>45670</v>
      </c>
      <c r="CP377" s="1">
        <v>6.3075000000000001</v>
      </c>
      <c r="CQ377" s="3">
        <v>45670</v>
      </c>
      <c r="CR377" s="1">
        <v>6.33</v>
      </c>
      <c r="CS377" s="3">
        <v>45670</v>
      </c>
      <c r="CT377" s="1">
        <v>6.3674999999999997</v>
      </c>
    </row>
    <row r="378" spans="31:98" x14ac:dyDescent="0.2">
      <c r="AE378" s="3">
        <v>45674</v>
      </c>
      <c r="AF378" s="1">
        <v>5.75</v>
      </c>
      <c r="AG378" s="3">
        <v>45650</v>
      </c>
      <c r="AH378" s="1">
        <v>5.85</v>
      </c>
      <c r="AI378" s="3">
        <v>45674</v>
      </c>
      <c r="AJ378" s="2">
        <v>5.8174999999999999</v>
      </c>
      <c r="AK378" s="3">
        <v>45674</v>
      </c>
      <c r="AL378" s="2">
        <v>5.78</v>
      </c>
      <c r="AM378" s="3">
        <v>45674</v>
      </c>
      <c r="AN378" s="2">
        <v>5.7050000000000001</v>
      </c>
      <c r="AO378" s="3">
        <v>45674</v>
      </c>
      <c r="AP378" s="2">
        <v>5.4349999999999996</v>
      </c>
      <c r="AQ378" s="3">
        <v>45674</v>
      </c>
      <c r="AR378" s="2">
        <v>5.12</v>
      </c>
      <c r="AS378" s="3">
        <v>45674</v>
      </c>
      <c r="AT378" s="2">
        <v>4.835</v>
      </c>
      <c r="AU378" s="3">
        <v>45674</v>
      </c>
      <c r="AV378" s="2">
        <v>4.6399999999999997</v>
      </c>
      <c r="AW378" s="3">
        <v>45674</v>
      </c>
      <c r="AX378" s="2">
        <v>4.5199999999999996</v>
      </c>
      <c r="AY378" s="3">
        <v>45674</v>
      </c>
      <c r="AZ378" s="2">
        <v>4.4749999999999996</v>
      </c>
      <c r="BB378" s="3">
        <v>45649</v>
      </c>
      <c r="BC378" s="1">
        <v>4</v>
      </c>
      <c r="BD378" s="3">
        <v>45653</v>
      </c>
      <c r="BE378" s="1">
        <v>3.92</v>
      </c>
      <c r="BF378" s="3">
        <v>45674</v>
      </c>
      <c r="BG378" s="1">
        <v>3.82</v>
      </c>
      <c r="BH378" s="3">
        <v>45674</v>
      </c>
      <c r="BI378" s="1">
        <v>3.778</v>
      </c>
      <c r="BJ378" s="3">
        <v>45674</v>
      </c>
      <c r="BK378" s="1">
        <v>3.67</v>
      </c>
      <c r="BL378" s="3">
        <v>45674</v>
      </c>
      <c r="BM378" s="1">
        <v>3.5249999999999999</v>
      </c>
      <c r="BN378" s="3">
        <v>45674</v>
      </c>
      <c r="BO378" s="1">
        <v>3.448</v>
      </c>
      <c r="BP378" s="3">
        <v>45674</v>
      </c>
      <c r="BQ378" s="1">
        <v>3.3849999999999998</v>
      </c>
      <c r="BR378" s="3">
        <v>45674</v>
      </c>
      <c r="BS378" s="1">
        <v>3.395</v>
      </c>
      <c r="BT378" s="3">
        <v>45674</v>
      </c>
      <c r="BU378" s="1">
        <v>3.4129999999999998</v>
      </c>
      <c r="BV378" s="3">
        <v>45674</v>
      </c>
      <c r="BW378" s="1">
        <v>3.4350000000000001</v>
      </c>
      <c r="BY378" s="3">
        <v>45658</v>
      </c>
      <c r="BZ378" s="1">
        <v>6.5</v>
      </c>
      <c r="CA378" s="3">
        <v>45644</v>
      </c>
      <c r="CB378" s="1">
        <v>6.5</v>
      </c>
      <c r="CC378" s="3">
        <v>45674</v>
      </c>
      <c r="CD378" s="1">
        <v>6.5069999999999997</v>
      </c>
      <c r="CE378" s="3">
        <v>45674</v>
      </c>
      <c r="CF378" s="1">
        <v>6.516</v>
      </c>
      <c r="CG378" s="3">
        <v>45674</v>
      </c>
      <c r="CH378" s="1">
        <v>6.52</v>
      </c>
      <c r="CI378" s="3">
        <v>45674</v>
      </c>
      <c r="CJ378" s="1">
        <v>6.36</v>
      </c>
      <c r="CK378" s="3">
        <v>45674</v>
      </c>
      <c r="CL378" s="1">
        <v>6.2</v>
      </c>
      <c r="CM378" s="3">
        <v>45674</v>
      </c>
      <c r="CN378" s="1">
        <v>6.14</v>
      </c>
      <c r="CO378" s="3">
        <v>45667</v>
      </c>
      <c r="CP378" s="1">
        <v>6.2750000000000004</v>
      </c>
      <c r="CQ378" s="3">
        <v>45667</v>
      </c>
      <c r="CR378" s="1">
        <v>6.2949999999999999</v>
      </c>
      <c r="CS378" s="3">
        <v>45667</v>
      </c>
      <c r="CT378" s="1">
        <v>6.33</v>
      </c>
    </row>
    <row r="379" spans="31:98" x14ac:dyDescent="0.2">
      <c r="AE379" s="3">
        <v>45673</v>
      </c>
      <c r="AF379" s="1">
        <v>5.75</v>
      </c>
      <c r="AG379" s="3">
        <v>45649</v>
      </c>
      <c r="AH379" s="1">
        <v>5.85</v>
      </c>
      <c r="AI379" s="3">
        <v>45673</v>
      </c>
      <c r="AJ379" s="2">
        <v>5.8045</v>
      </c>
      <c r="AK379" s="3">
        <v>45673</v>
      </c>
      <c r="AL379" s="2">
        <v>5.7450000000000001</v>
      </c>
      <c r="AM379" s="3">
        <v>45673</v>
      </c>
      <c r="AN379" s="2">
        <v>5.6449999999999996</v>
      </c>
      <c r="AO379" s="3">
        <v>45673</v>
      </c>
      <c r="AP379" s="2">
        <v>5.32</v>
      </c>
      <c r="AQ379" s="3">
        <v>45673</v>
      </c>
      <c r="AR379" s="2">
        <v>5.0125000000000002</v>
      </c>
      <c r="AS379" s="3">
        <v>45673</v>
      </c>
      <c r="AT379" s="2">
        <v>4.75</v>
      </c>
      <c r="AU379" s="3">
        <v>45673</v>
      </c>
      <c r="AV379" s="2">
        <v>4.5674999999999999</v>
      </c>
      <c r="AW379" s="3">
        <v>45673</v>
      </c>
      <c r="AX379" s="2">
        <v>4.4524999999999997</v>
      </c>
      <c r="AY379" s="3">
        <v>45673</v>
      </c>
      <c r="AZ379" s="2">
        <v>4.4074999999999998</v>
      </c>
      <c r="BB379" s="3">
        <v>45646</v>
      </c>
      <c r="BC379" s="1">
        <v>4</v>
      </c>
      <c r="BD379" s="3">
        <v>45649</v>
      </c>
      <c r="BE379" s="1">
        <v>3.92</v>
      </c>
      <c r="BF379" s="3">
        <v>45673</v>
      </c>
      <c r="BG379" s="1">
        <v>3.8050000000000002</v>
      </c>
      <c r="BH379" s="3">
        <v>45673</v>
      </c>
      <c r="BI379" s="1">
        <v>3.7629999999999999</v>
      </c>
      <c r="BJ379" s="3">
        <v>45673</v>
      </c>
      <c r="BK379" s="1">
        <v>3.66</v>
      </c>
      <c r="BL379" s="3">
        <v>45673</v>
      </c>
      <c r="BM379" s="1">
        <v>3.5049999999999999</v>
      </c>
      <c r="BN379" s="3">
        <v>45673</v>
      </c>
      <c r="BO379" s="1">
        <v>3.423</v>
      </c>
      <c r="BP379" s="3">
        <v>45673</v>
      </c>
      <c r="BQ379" s="1">
        <v>3.355</v>
      </c>
      <c r="BR379" s="3">
        <v>45673</v>
      </c>
      <c r="BS379" s="1">
        <v>3.363</v>
      </c>
      <c r="BT379" s="3">
        <v>45673</v>
      </c>
      <c r="BU379" s="1">
        <v>3.375</v>
      </c>
      <c r="BV379" s="3">
        <v>45673</v>
      </c>
      <c r="BW379" s="1">
        <v>3.39</v>
      </c>
      <c r="BY379" s="3">
        <v>45657</v>
      </c>
      <c r="BZ379" s="1">
        <v>6.5</v>
      </c>
      <c r="CA379" s="3">
        <v>45643</v>
      </c>
      <c r="CB379" s="1">
        <v>6.5</v>
      </c>
      <c r="CC379" s="3">
        <v>45673</v>
      </c>
      <c r="CD379" s="1">
        <v>6.5</v>
      </c>
      <c r="CE379" s="3">
        <v>45673</v>
      </c>
      <c r="CF379" s="1">
        <v>6.51</v>
      </c>
      <c r="CG379" s="3">
        <v>45673</v>
      </c>
      <c r="CH379" s="1">
        <v>6.51</v>
      </c>
      <c r="CI379" s="3">
        <v>45673</v>
      </c>
      <c r="CJ379" s="1">
        <v>6.37</v>
      </c>
      <c r="CK379" s="3">
        <v>45673</v>
      </c>
      <c r="CL379" s="1">
        <v>6.23</v>
      </c>
      <c r="CM379" s="3">
        <v>45673</v>
      </c>
      <c r="CN379" s="1">
        <v>6.165</v>
      </c>
      <c r="CO379" s="3">
        <v>45666</v>
      </c>
      <c r="CP379" s="1">
        <v>6.2275</v>
      </c>
      <c r="CQ379" s="3">
        <v>45666</v>
      </c>
      <c r="CR379" s="1">
        <v>6.2474999999999996</v>
      </c>
      <c r="CS379" s="3">
        <v>45666</v>
      </c>
      <c r="CT379" s="1">
        <v>6.2774999999999999</v>
      </c>
    </row>
    <row r="380" spans="31:98" x14ac:dyDescent="0.2">
      <c r="AE380" s="3">
        <v>45672</v>
      </c>
      <c r="AF380" s="1">
        <v>5.75</v>
      </c>
      <c r="AG380" s="3">
        <v>45646</v>
      </c>
      <c r="AH380" s="1">
        <v>5.85</v>
      </c>
      <c r="AI380" s="3">
        <v>45672</v>
      </c>
      <c r="AJ380" s="2">
        <v>5.8150000000000004</v>
      </c>
      <c r="AK380" s="3">
        <v>45672</v>
      </c>
      <c r="AL380" s="2">
        <v>5.7450000000000001</v>
      </c>
      <c r="AM380" s="3">
        <v>45672</v>
      </c>
      <c r="AN380" s="2">
        <v>5.6449999999999996</v>
      </c>
      <c r="AO380" s="3">
        <v>45672</v>
      </c>
      <c r="AP380" s="2">
        <v>5.33</v>
      </c>
      <c r="AQ380" s="3">
        <v>45672</v>
      </c>
      <c r="AR380" s="2">
        <v>5.03</v>
      </c>
      <c r="AS380" s="3">
        <v>45672</v>
      </c>
      <c r="AT380" s="2">
        <v>4.78</v>
      </c>
      <c r="AU380" s="3">
        <v>45672</v>
      </c>
      <c r="AV380" s="2">
        <v>4.6050000000000004</v>
      </c>
      <c r="AW380" s="3">
        <v>45672</v>
      </c>
      <c r="AX380" s="2">
        <v>4.49</v>
      </c>
      <c r="AY380" s="3">
        <v>45672</v>
      </c>
      <c r="AZ380" s="2">
        <v>4.46</v>
      </c>
      <c r="BB380" s="3">
        <v>45645</v>
      </c>
      <c r="BC380" s="1">
        <v>4</v>
      </c>
      <c r="BD380" s="3">
        <v>45646</v>
      </c>
      <c r="BE380" s="1">
        <v>3.93</v>
      </c>
      <c r="BF380" s="3">
        <v>45672</v>
      </c>
      <c r="BG380" s="1">
        <v>3.8050000000000002</v>
      </c>
      <c r="BH380" s="3">
        <v>45672</v>
      </c>
      <c r="BI380" s="1">
        <v>3.75</v>
      </c>
      <c r="BJ380" s="3">
        <v>45672</v>
      </c>
      <c r="BK380" s="1">
        <v>3.645</v>
      </c>
      <c r="BL380" s="3">
        <v>45672</v>
      </c>
      <c r="BM380" s="1">
        <v>3.4849999999999999</v>
      </c>
      <c r="BN380" s="3">
        <v>45672</v>
      </c>
      <c r="BO380" s="1">
        <v>3.4</v>
      </c>
      <c r="BP380" s="3">
        <v>45672</v>
      </c>
      <c r="BQ380" s="1">
        <v>3.33</v>
      </c>
      <c r="BR380" s="3">
        <v>45672</v>
      </c>
      <c r="BS380" s="1">
        <v>3.34</v>
      </c>
      <c r="BT380" s="3">
        <v>45672</v>
      </c>
      <c r="BU380" s="1">
        <v>3.36</v>
      </c>
      <c r="BV380" s="3">
        <v>45672</v>
      </c>
      <c r="BW380" s="1">
        <v>3.39</v>
      </c>
      <c r="BY380" s="3">
        <v>45656</v>
      </c>
      <c r="BZ380" s="1">
        <v>6.5</v>
      </c>
      <c r="CA380" s="3">
        <v>45642</v>
      </c>
      <c r="CB380" s="1">
        <v>6.5</v>
      </c>
      <c r="CC380" s="3">
        <v>45672</v>
      </c>
      <c r="CD380" s="1">
        <v>6.5010000000000003</v>
      </c>
      <c r="CE380" s="3">
        <v>45672</v>
      </c>
      <c r="CF380" s="1">
        <v>6.5110000000000001</v>
      </c>
      <c r="CG380" s="3">
        <v>45672</v>
      </c>
      <c r="CH380" s="1">
        <v>6.51</v>
      </c>
      <c r="CI380" s="3">
        <v>45672</v>
      </c>
      <c r="CJ380" s="1">
        <v>6.37</v>
      </c>
      <c r="CK380" s="3">
        <v>45672</v>
      </c>
      <c r="CL380" s="1">
        <v>6.23</v>
      </c>
      <c r="CM380" s="3">
        <v>45672</v>
      </c>
      <c r="CN380" s="1">
        <v>6.1624999999999996</v>
      </c>
      <c r="CO380" s="3">
        <v>45665</v>
      </c>
      <c r="CP380" s="1">
        <v>6.3574999999999999</v>
      </c>
      <c r="CQ380" s="3">
        <v>45665</v>
      </c>
      <c r="CR380" s="1">
        <v>6.3775000000000004</v>
      </c>
      <c r="CS380" s="3">
        <v>45665</v>
      </c>
      <c r="CT380" s="1">
        <v>6.4074999999999998</v>
      </c>
    </row>
    <row r="381" spans="31:98" x14ac:dyDescent="0.2">
      <c r="AE381" s="3">
        <v>45671</v>
      </c>
      <c r="AF381" s="1">
        <v>5.75</v>
      </c>
      <c r="AG381" s="3">
        <v>45645</v>
      </c>
      <c r="AH381" s="1">
        <v>5.85</v>
      </c>
      <c r="AI381" s="3">
        <v>45671</v>
      </c>
      <c r="AJ381" s="2">
        <v>5.8170000000000002</v>
      </c>
      <c r="AK381" s="3">
        <v>45671</v>
      </c>
      <c r="AL381" s="2">
        <v>5.75</v>
      </c>
      <c r="AM381" s="3">
        <v>45671</v>
      </c>
      <c r="AN381" s="2">
        <v>5.6449999999999996</v>
      </c>
      <c r="AO381" s="3">
        <v>45671</v>
      </c>
      <c r="AP381" s="2">
        <v>5.375</v>
      </c>
      <c r="AQ381" s="3">
        <v>45671</v>
      </c>
      <c r="AR381" s="2">
        <v>5.1449999999999996</v>
      </c>
      <c r="AS381" s="3">
        <v>45671</v>
      </c>
      <c r="AT381" s="2">
        <v>4.9450000000000003</v>
      </c>
      <c r="AU381" s="3">
        <v>45671</v>
      </c>
      <c r="AV381" s="2">
        <v>4.7850000000000001</v>
      </c>
      <c r="AW381" s="3">
        <v>45671</v>
      </c>
      <c r="AX381" s="2">
        <v>4.6749999999999998</v>
      </c>
      <c r="AY381" s="3">
        <v>45671</v>
      </c>
      <c r="AZ381" s="2">
        <v>4.6500000000000004</v>
      </c>
      <c r="BB381" s="3">
        <v>45644</v>
      </c>
      <c r="BC381" s="1">
        <v>4</v>
      </c>
      <c r="BD381" s="3">
        <v>45645</v>
      </c>
      <c r="BE381" s="1">
        <v>3.91</v>
      </c>
      <c r="BF381" s="3">
        <v>45671</v>
      </c>
      <c r="BG381" s="1">
        <v>3.81</v>
      </c>
      <c r="BH381" s="3">
        <v>45671</v>
      </c>
      <c r="BI381" s="1">
        <v>3.7650000000000001</v>
      </c>
      <c r="BJ381" s="3">
        <v>45671</v>
      </c>
      <c r="BK381" s="1">
        <v>3.67</v>
      </c>
      <c r="BL381" s="3">
        <v>45671</v>
      </c>
      <c r="BM381" s="1">
        <v>3.54</v>
      </c>
      <c r="BN381" s="3">
        <v>45671</v>
      </c>
      <c r="BO381" s="1">
        <v>3.49</v>
      </c>
      <c r="BP381" s="3">
        <v>45671</v>
      </c>
      <c r="BQ381" s="1">
        <v>3.4449999999999998</v>
      </c>
      <c r="BR381" s="3">
        <v>45671</v>
      </c>
      <c r="BS381" s="1">
        <v>3.46</v>
      </c>
      <c r="BT381" s="3">
        <v>45671</v>
      </c>
      <c r="BU381" s="1">
        <v>3.48</v>
      </c>
      <c r="BV381" s="3">
        <v>45671</v>
      </c>
      <c r="BW381" s="1">
        <v>3.51</v>
      </c>
      <c r="BY381" s="3">
        <v>45653</v>
      </c>
      <c r="BZ381" s="1">
        <v>6.5</v>
      </c>
      <c r="CA381" s="3">
        <v>45639</v>
      </c>
      <c r="CB381" s="1">
        <v>6.5</v>
      </c>
      <c r="CC381" s="3">
        <v>45671</v>
      </c>
      <c r="CD381" s="1">
        <v>6.51</v>
      </c>
      <c r="CE381" s="3">
        <v>45671</v>
      </c>
      <c r="CF381" s="1">
        <v>6.52</v>
      </c>
      <c r="CG381" s="3">
        <v>45671</v>
      </c>
      <c r="CH381" s="1">
        <v>6.53</v>
      </c>
      <c r="CI381" s="3">
        <v>45671</v>
      </c>
      <c r="CJ381" s="1">
        <v>6.44</v>
      </c>
      <c r="CK381" s="3">
        <v>45671</v>
      </c>
      <c r="CL381" s="1">
        <v>6.36</v>
      </c>
      <c r="CM381" s="3">
        <v>45671</v>
      </c>
      <c r="CN381" s="1">
        <v>6.335</v>
      </c>
      <c r="CO381" s="3">
        <v>45664</v>
      </c>
      <c r="CP381" s="1">
        <v>6.2549999999999999</v>
      </c>
      <c r="CQ381" s="3">
        <v>45664</v>
      </c>
      <c r="CR381" s="1">
        <v>6.28</v>
      </c>
      <c r="CS381" s="3">
        <v>45664</v>
      </c>
      <c r="CT381" s="1">
        <v>6.31</v>
      </c>
    </row>
    <row r="382" spans="31:98" x14ac:dyDescent="0.2">
      <c r="AE382" s="3">
        <v>45670</v>
      </c>
      <c r="AF382" s="1">
        <v>5.75</v>
      </c>
      <c r="AG382" s="3">
        <v>45644</v>
      </c>
      <c r="AH382" s="1">
        <v>5.85</v>
      </c>
      <c r="AI382" s="3">
        <v>45670</v>
      </c>
      <c r="AJ382" s="2">
        <v>5.8105000000000002</v>
      </c>
      <c r="AK382" s="3">
        <v>45670</v>
      </c>
      <c r="AL382" s="2">
        <v>5.7149999999999999</v>
      </c>
      <c r="AM382" s="3">
        <v>45670</v>
      </c>
      <c r="AN382" s="2">
        <v>5.6150000000000002</v>
      </c>
      <c r="AO382" s="3">
        <v>45670</v>
      </c>
      <c r="AP382" s="2">
        <v>5.3650000000000002</v>
      </c>
      <c r="AQ382" s="3">
        <v>45670</v>
      </c>
      <c r="AR382" s="2">
        <v>5.12</v>
      </c>
      <c r="AS382" s="3">
        <v>45670</v>
      </c>
      <c r="AT382" s="2">
        <v>4.92</v>
      </c>
      <c r="AU382" s="3">
        <v>45670</v>
      </c>
      <c r="AV382" s="2">
        <v>4.74</v>
      </c>
      <c r="AW382" s="3">
        <v>45670</v>
      </c>
      <c r="AX382" s="2">
        <v>4.625</v>
      </c>
      <c r="AY382" s="3">
        <v>45670</v>
      </c>
      <c r="AZ382" s="2">
        <v>4.59</v>
      </c>
      <c r="BB382" s="3">
        <v>45643</v>
      </c>
      <c r="BC382" s="1">
        <v>4</v>
      </c>
      <c r="BD382" s="3">
        <v>45644</v>
      </c>
      <c r="BE382" s="1">
        <v>3.91</v>
      </c>
      <c r="BF382" s="3">
        <v>45670</v>
      </c>
      <c r="BG382" s="1">
        <v>3.8250000000000002</v>
      </c>
      <c r="BH382" s="3">
        <v>45670</v>
      </c>
      <c r="BI382" s="1">
        <v>3.7749999999999999</v>
      </c>
      <c r="BJ382" s="3">
        <v>45670</v>
      </c>
      <c r="BK382" s="1">
        <v>3.6850000000000001</v>
      </c>
      <c r="BL382" s="3">
        <v>45670</v>
      </c>
      <c r="BM382" s="1">
        <v>3.5449999999999999</v>
      </c>
      <c r="BN382" s="3">
        <v>45670</v>
      </c>
      <c r="BO382" s="1">
        <v>3.4750000000000001</v>
      </c>
      <c r="BP382" s="3">
        <v>45670</v>
      </c>
      <c r="BQ382" s="1">
        <v>3.43</v>
      </c>
      <c r="BR382" s="3">
        <v>45670</v>
      </c>
      <c r="BS382" s="1">
        <v>3.44</v>
      </c>
      <c r="BT382" s="3">
        <v>45670</v>
      </c>
      <c r="BU382" s="1">
        <v>3.46</v>
      </c>
      <c r="BV382" s="3">
        <v>45670</v>
      </c>
      <c r="BW382" s="1">
        <v>3.4849999999999999</v>
      </c>
      <c r="BY382" s="3">
        <v>45652</v>
      </c>
      <c r="BZ382" s="1">
        <v>6.5</v>
      </c>
      <c r="CA382" s="3">
        <v>45638</v>
      </c>
      <c r="CB382" s="1">
        <v>6.5</v>
      </c>
      <c r="CC382" s="3">
        <v>45670</v>
      </c>
      <c r="CD382" s="1">
        <v>6.5</v>
      </c>
      <c r="CE382" s="3">
        <v>45670</v>
      </c>
      <c r="CF382" s="1">
        <v>6.51</v>
      </c>
      <c r="CG382" s="3">
        <v>45670</v>
      </c>
      <c r="CH382" s="1">
        <v>6.52</v>
      </c>
      <c r="CI382" s="3">
        <v>45670</v>
      </c>
      <c r="CJ382" s="1">
        <v>6.45</v>
      </c>
      <c r="CK382" s="3">
        <v>45670</v>
      </c>
      <c r="CL382" s="1">
        <v>6.35</v>
      </c>
      <c r="CM382" s="3">
        <v>45670</v>
      </c>
      <c r="CN382" s="1">
        <v>6.2949999999999999</v>
      </c>
      <c r="CO382" s="3">
        <v>45663</v>
      </c>
      <c r="CP382" s="1">
        <v>6.2125000000000004</v>
      </c>
      <c r="CQ382" s="3">
        <v>45663</v>
      </c>
      <c r="CR382" s="1">
        <v>6.2374999999999998</v>
      </c>
      <c r="CS382" s="3">
        <v>45663</v>
      </c>
      <c r="CT382" s="1">
        <v>6.2675000000000001</v>
      </c>
    </row>
    <row r="383" spans="31:98" x14ac:dyDescent="0.2">
      <c r="AE383" s="3">
        <v>45667</v>
      </c>
      <c r="AF383" s="1">
        <v>5.75</v>
      </c>
      <c r="AG383" s="3">
        <v>45643</v>
      </c>
      <c r="AH383" s="1">
        <v>5.86</v>
      </c>
      <c r="AI383" s="3">
        <v>45667</v>
      </c>
      <c r="AJ383" s="2">
        <v>5.8070000000000004</v>
      </c>
      <c r="AK383" s="3">
        <v>45667</v>
      </c>
      <c r="AL383" s="2">
        <v>5.74</v>
      </c>
      <c r="AM383" s="3">
        <v>45667</v>
      </c>
      <c r="AN383" s="2">
        <v>5.61</v>
      </c>
      <c r="AO383" s="3">
        <v>45667</v>
      </c>
      <c r="AP383" s="2">
        <v>5.35</v>
      </c>
      <c r="AQ383" s="3">
        <v>45667</v>
      </c>
      <c r="AR383" s="2">
        <v>5.09</v>
      </c>
      <c r="AS383" s="3">
        <v>45667</v>
      </c>
      <c r="AT383" s="2">
        <v>4.8849999999999998</v>
      </c>
      <c r="AU383" s="3">
        <v>45667</v>
      </c>
      <c r="AV383" s="2">
        <v>4.7</v>
      </c>
      <c r="AW383" s="3">
        <v>45667</v>
      </c>
      <c r="AX383" s="2">
        <v>4.58</v>
      </c>
      <c r="AY383" s="3">
        <v>45667</v>
      </c>
      <c r="AZ383" s="2">
        <v>4.5250000000000004</v>
      </c>
      <c r="BB383" s="3">
        <v>45642</v>
      </c>
      <c r="BC383" s="1">
        <v>4</v>
      </c>
      <c r="BD383" s="3">
        <v>45643</v>
      </c>
      <c r="BE383" s="1">
        <v>3.91</v>
      </c>
      <c r="BF383" s="3">
        <v>45667</v>
      </c>
      <c r="BG383" s="1">
        <v>3.86</v>
      </c>
      <c r="BH383" s="3">
        <v>45667</v>
      </c>
      <c r="BI383" s="1">
        <v>3.823</v>
      </c>
      <c r="BJ383" s="3">
        <v>45667</v>
      </c>
      <c r="BK383" s="1">
        <v>3.75</v>
      </c>
      <c r="BL383" s="3">
        <v>45667</v>
      </c>
      <c r="BM383" s="1">
        <v>3.6230000000000002</v>
      </c>
      <c r="BN383" s="3">
        <v>45667</v>
      </c>
      <c r="BO383" s="1">
        <v>3.5449999999999999</v>
      </c>
      <c r="BP383" s="3">
        <v>45667</v>
      </c>
      <c r="BQ383" s="1">
        <v>3.4950000000000001</v>
      </c>
      <c r="BR383" s="3">
        <v>45667</v>
      </c>
      <c r="BS383" s="1">
        <v>3.508</v>
      </c>
      <c r="BT383" s="3">
        <v>45667</v>
      </c>
      <c r="BU383" s="1">
        <v>3.528</v>
      </c>
      <c r="BV383" s="3">
        <v>45667</v>
      </c>
      <c r="BW383" s="1">
        <v>3.56</v>
      </c>
      <c r="BY383" s="3">
        <v>45651</v>
      </c>
      <c r="BZ383" s="1">
        <v>6.5</v>
      </c>
      <c r="CA383" s="3">
        <v>45637</v>
      </c>
      <c r="CB383" s="1">
        <v>6.5</v>
      </c>
      <c r="CC383" s="3">
        <v>45667</v>
      </c>
      <c r="CD383" s="1">
        <v>6.51</v>
      </c>
      <c r="CE383" s="3">
        <v>45667</v>
      </c>
      <c r="CF383" s="1">
        <v>6.52</v>
      </c>
      <c r="CG383" s="3">
        <v>45667</v>
      </c>
      <c r="CH383" s="1">
        <v>6.53</v>
      </c>
      <c r="CI383" s="3">
        <v>45667</v>
      </c>
      <c r="CJ383" s="1">
        <v>6.45</v>
      </c>
      <c r="CK383" s="3">
        <v>45667</v>
      </c>
      <c r="CL383" s="1">
        <v>6.32</v>
      </c>
      <c r="CM383" s="3">
        <v>45667</v>
      </c>
      <c r="CN383" s="1">
        <v>6.2649999999999997</v>
      </c>
      <c r="CO383" s="3">
        <v>45660</v>
      </c>
      <c r="CP383" s="1">
        <v>6.2249999999999996</v>
      </c>
      <c r="CQ383" s="3">
        <v>45660</v>
      </c>
      <c r="CR383" s="1">
        <v>6.25</v>
      </c>
      <c r="CS383" s="3">
        <v>45660</v>
      </c>
      <c r="CT383" s="1">
        <v>6.28</v>
      </c>
    </row>
    <row r="384" spans="31:98" x14ac:dyDescent="0.2">
      <c r="AE384" s="3">
        <v>45666</v>
      </c>
      <c r="AF384" s="1">
        <v>5.75</v>
      </c>
      <c r="AG384" s="3">
        <v>45642</v>
      </c>
      <c r="AH384" s="1">
        <v>5.85</v>
      </c>
      <c r="AI384" s="3">
        <v>45666</v>
      </c>
      <c r="AJ384" s="2">
        <v>5.7949999999999999</v>
      </c>
      <c r="AK384" s="3">
        <v>45666</v>
      </c>
      <c r="AL384" s="2">
        <v>5.7450000000000001</v>
      </c>
      <c r="AM384" s="3">
        <v>45666</v>
      </c>
      <c r="AN384" s="2">
        <v>5.6150000000000002</v>
      </c>
      <c r="AO384" s="3">
        <v>45666</v>
      </c>
      <c r="AP384" s="2">
        <v>5.34</v>
      </c>
      <c r="AQ384" s="3">
        <v>45666</v>
      </c>
      <c r="AR384" s="2">
        <v>5.07</v>
      </c>
      <c r="AS384" s="3">
        <v>45666</v>
      </c>
      <c r="AT384" s="2">
        <v>4.8499999999999996</v>
      </c>
      <c r="AU384" s="3">
        <v>45666</v>
      </c>
      <c r="AV384" s="2">
        <v>4.6500000000000004</v>
      </c>
      <c r="AW384" s="3">
        <v>45666</v>
      </c>
      <c r="AX384" s="2">
        <v>4.5250000000000004</v>
      </c>
      <c r="AY384" s="3">
        <v>45666</v>
      </c>
      <c r="AZ384" s="2">
        <v>4.4725000000000001</v>
      </c>
      <c r="BB384" s="3">
        <v>45639</v>
      </c>
      <c r="BC384" s="1">
        <v>4</v>
      </c>
      <c r="BD384" s="3">
        <v>45642</v>
      </c>
      <c r="BE384" s="1">
        <v>3.91</v>
      </c>
      <c r="BF384" s="3">
        <v>45666</v>
      </c>
      <c r="BG384" s="1">
        <v>3.8650000000000002</v>
      </c>
      <c r="BH384" s="3">
        <v>45666</v>
      </c>
      <c r="BI384" s="1">
        <v>3.8149999999999999</v>
      </c>
      <c r="BJ384" s="3">
        <v>45666</v>
      </c>
      <c r="BK384" s="1">
        <v>3.74</v>
      </c>
      <c r="BL384" s="3">
        <v>45666</v>
      </c>
      <c r="BM384" s="1">
        <v>3.605</v>
      </c>
      <c r="BN384" s="3">
        <v>45666</v>
      </c>
      <c r="BO384" s="1">
        <v>3.5150000000000001</v>
      </c>
      <c r="BP384" s="3">
        <v>45666</v>
      </c>
      <c r="BQ384" s="1">
        <v>3.4649999999999999</v>
      </c>
      <c r="BR384" s="3">
        <v>45666</v>
      </c>
      <c r="BS384" s="1">
        <v>3.4780000000000002</v>
      </c>
      <c r="BT384" s="3">
        <v>45666</v>
      </c>
      <c r="BU384" s="1">
        <v>3.4980000000000002</v>
      </c>
      <c r="BV384" s="3">
        <v>45666</v>
      </c>
      <c r="BW384" s="1">
        <v>3.528</v>
      </c>
      <c r="BY384" s="3">
        <v>45650</v>
      </c>
      <c r="BZ384" s="1">
        <v>6.5</v>
      </c>
      <c r="CA384" s="3">
        <v>45636</v>
      </c>
      <c r="CB384" s="1">
        <v>6.5</v>
      </c>
      <c r="CC384" s="3">
        <v>45666</v>
      </c>
      <c r="CD384" s="1">
        <v>6.5060000000000002</v>
      </c>
      <c r="CE384" s="3">
        <v>45666</v>
      </c>
      <c r="CF384" s="1">
        <v>6.508</v>
      </c>
      <c r="CG384" s="3">
        <v>45666</v>
      </c>
      <c r="CH384" s="1">
        <v>6.5</v>
      </c>
      <c r="CI384" s="3">
        <v>45666</v>
      </c>
      <c r="CJ384" s="1">
        <v>6.38</v>
      </c>
      <c r="CK384" s="3">
        <v>45666</v>
      </c>
      <c r="CL384" s="1">
        <v>6.24</v>
      </c>
      <c r="CM384" s="3">
        <v>45666</v>
      </c>
      <c r="CN384" s="1">
        <v>6.2175000000000002</v>
      </c>
      <c r="CO384" s="3">
        <v>45659</v>
      </c>
      <c r="CP384" s="1">
        <v>6.125</v>
      </c>
      <c r="CQ384" s="3">
        <v>45659</v>
      </c>
      <c r="CR384" s="1">
        <v>6.1524999999999999</v>
      </c>
      <c r="CS384" s="3">
        <v>45659</v>
      </c>
      <c r="CT384" s="1">
        <v>6.1849999999999996</v>
      </c>
    </row>
    <row r="385" spans="31:98" x14ac:dyDescent="0.2">
      <c r="AE385" s="3">
        <v>45665</v>
      </c>
      <c r="AF385" s="1">
        <v>5.75</v>
      </c>
      <c r="AG385" s="3">
        <v>45639</v>
      </c>
      <c r="AH385" s="1">
        <v>5.86</v>
      </c>
      <c r="AI385" s="3">
        <v>45665</v>
      </c>
      <c r="AJ385" s="2">
        <v>5.8179999999999996</v>
      </c>
      <c r="AK385" s="3">
        <v>45665</v>
      </c>
      <c r="AL385" s="2">
        <v>5.78</v>
      </c>
      <c r="AM385" s="3">
        <v>45665</v>
      </c>
      <c r="AN385" s="2">
        <v>5.63</v>
      </c>
      <c r="AO385" s="3">
        <v>45665</v>
      </c>
      <c r="AP385" s="2">
        <v>5.35</v>
      </c>
      <c r="AQ385" s="3">
        <v>45665</v>
      </c>
      <c r="AR385" s="2">
        <v>5.1150000000000002</v>
      </c>
      <c r="AS385" s="3">
        <v>45665</v>
      </c>
      <c r="AT385" s="2">
        <v>4.8650000000000002</v>
      </c>
      <c r="AU385" s="3">
        <v>45665</v>
      </c>
      <c r="AV385" s="2">
        <v>4.6749999999999998</v>
      </c>
      <c r="AW385" s="3">
        <v>45665</v>
      </c>
      <c r="AX385" s="2">
        <v>4.55</v>
      </c>
      <c r="AY385" s="3">
        <v>45665</v>
      </c>
      <c r="AZ385" s="2">
        <v>4.4950000000000001</v>
      </c>
      <c r="BB385" s="3">
        <v>45638</v>
      </c>
      <c r="BC385" s="1">
        <v>4</v>
      </c>
      <c r="BD385" s="3">
        <v>45639</v>
      </c>
      <c r="BE385" s="1">
        <v>3.91</v>
      </c>
      <c r="BF385" s="3">
        <v>45665</v>
      </c>
      <c r="BG385" s="1">
        <v>3.895</v>
      </c>
      <c r="BH385" s="3">
        <v>45665</v>
      </c>
      <c r="BI385" s="1">
        <v>3.82</v>
      </c>
      <c r="BJ385" s="3">
        <v>45665</v>
      </c>
      <c r="BK385" s="1">
        <v>3.7450000000000001</v>
      </c>
      <c r="BL385" s="3">
        <v>45665</v>
      </c>
      <c r="BM385" s="1">
        <v>3.625</v>
      </c>
      <c r="BN385" s="3">
        <v>45665</v>
      </c>
      <c r="BO385" s="1">
        <v>3.58</v>
      </c>
      <c r="BP385" s="3">
        <v>45665</v>
      </c>
      <c r="BQ385" s="1">
        <v>3.54</v>
      </c>
      <c r="BR385" s="3">
        <v>45665</v>
      </c>
      <c r="BS385" s="1">
        <v>3.5529999999999999</v>
      </c>
      <c r="BT385" s="3">
        <v>45665</v>
      </c>
      <c r="BU385" s="1">
        <v>3.5680000000000001</v>
      </c>
      <c r="BV385" s="3">
        <v>45665</v>
      </c>
      <c r="BW385" s="1">
        <v>3.5979999999999999</v>
      </c>
      <c r="BY385" s="3">
        <v>45649</v>
      </c>
      <c r="BZ385" s="1">
        <v>6.5</v>
      </c>
      <c r="CA385" s="3">
        <v>45635</v>
      </c>
      <c r="CB385" s="1">
        <v>6.5</v>
      </c>
      <c r="CC385" s="3">
        <v>45665</v>
      </c>
      <c r="CD385" s="1">
        <v>6.5</v>
      </c>
      <c r="CE385" s="3">
        <v>45665</v>
      </c>
      <c r="CF385" s="1">
        <v>6.5</v>
      </c>
      <c r="CG385" s="3">
        <v>45665</v>
      </c>
      <c r="CH385" s="1">
        <v>6.5</v>
      </c>
      <c r="CI385" s="3">
        <v>45665</v>
      </c>
      <c r="CJ385" s="1">
        <v>6.45</v>
      </c>
      <c r="CK385" s="3">
        <v>45665</v>
      </c>
      <c r="CL385" s="1">
        <v>6.32</v>
      </c>
      <c r="CM385" s="3">
        <v>45665</v>
      </c>
      <c r="CN385" s="1">
        <v>6.3425000000000002</v>
      </c>
      <c r="CO385" s="3">
        <v>45658</v>
      </c>
      <c r="CP385" s="1">
        <v>6.22</v>
      </c>
      <c r="CQ385" s="3">
        <v>45658</v>
      </c>
      <c r="CR385" s="1">
        <v>6.2525000000000004</v>
      </c>
      <c r="CS385" s="3">
        <v>45658</v>
      </c>
      <c r="CT385" s="1">
        <v>6.29</v>
      </c>
    </row>
    <row r="386" spans="31:98" x14ac:dyDescent="0.2">
      <c r="AE386" s="3">
        <v>45664</v>
      </c>
      <c r="AF386" s="1">
        <v>5.75</v>
      </c>
      <c r="AG386" s="3">
        <v>45638</v>
      </c>
      <c r="AH386" s="1">
        <v>5.85</v>
      </c>
      <c r="AI386" s="3">
        <v>45664</v>
      </c>
      <c r="AJ386" s="2">
        <v>5.8274999999999997</v>
      </c>
      <c r="AK386" s="3">
        <v>45664</v>
      </c>
      <c r="AL386" s="2">
        <v>5.7850000000000001</v>
      </c>
      <c r="AM386" s="3">
        <v>45664</v>
      </c>
      <c r="AN386" s="2">
        <v>5.64</v>
      </c>
      <c r="AO386" s="3">
        <v>45664</v>
      </c>
      <c r="AP386" s="2">
        <v>5.3650000000000002</v>
      </c>
      <c r="AQ386" s="3">
        <v>45664</v>
      </c>
      <c r="AR386" s="2">
        <v>5.15</v>
      </c>
      <c r="AS386" s="3">
        <v>45664</v>
      </c>
      <c r="AT386" s="2">
        <v>4.9050000000000002</v>
      </c>
      <c r="AU386" s="3">
        <v>45664</v>
      </c>
      <c r="AV386" s="2">
        <v>4.72</v>
      </c>
      <c r="AW386" s="3">
        <v>45664</v>
      </c>
      <c r="AX386" s="2">
        <v>4.6050000000000004</v>
      </c>
      <c r="AY386" s="3">
        <v>45664</v>
      </c>
      <c r="AZ386" s="2">
        <v>4.5549999999999997</v>
      </c>
      <c r="BB386" s="3">
        <v>45637</v>
      </c>
      <c r="BC386" s="1">
        <v>4</v>
      </c>
      <c r="BD386" s="3">
        <v>45638</v>
      </c>
      <c r="BE386" s="1">
        <v>3.91</v>
      </c>
      <c r="BF386" s="3">
        <v>45664</v>
      </c>
      <c r="BG386" s="1">
        <v>3.915</v>
      </c>
      <c r="BH386" s="3">
        <v>45664</v>
      </c>
      <c r="BI386" s="1">
        <v>3.8450000000000002</v>
      </c>
      <c r="BJ386" s="3">
        <v>45664</v>
      </c>
      <c r="BK386" s="1">
        <v>3.7850000000000001</v>
      </c>
      <c r="BL386" s="3">
        <v>45664</v>
      </c>
      <c r="BM386" s="1">
        <v>3.65</v>
      </c>
      <c r="BN386" s="3">
        <v>45664</v>
      </c>
      <c r="BO386" s="1">
        <v>3.58</v>
      </c>
      <c r="BP386" s="3">
        <v>45664</v>
      </c>
      <c r="BQ386" s="1">
        <v>3.53</v>
      </c>
      <c r="BR386" s="3">
        <v>45664</v>
      </c>
      <c r="BS386" s="1">
        <v>3.5379999999999998</v>
      </c>
      <c r="BT386" s="3">
        <v>45664</v>
      </c>
      <c r="BU386" s="1">
        <v>3.55</v>
      </c>
      <c r="BV386" s="3">
        <v>45664</v>
      </c>
      <c r="BW386" s="1">
        <v>3.573</v>
      </c>
      <c r="BY386" s="3">
        <v>45646</v>
      </c>
      <c r="BZ386" s="1">
        <v>6.5</v>
      </c>
      <c r="CA386" s="3">
        <v>45632</v>
      </c>
      <c r="CB386" s="1">
        <v>6.5</v>
      </c>
      <c r="CC386" s="3">
        <v>45664</v>
      </c>
      <c r="CD386" s="1">
        <v>6.4950000000000001</v>
      </c>
      <c r="CE386" s="3">
        <v>45664</v>
      </c>
      <c r="CF386" s="1">
        <v>6.4909999999999997</v>
      </c>
      <c r="CG386" s="3">
        <v>45664</v>
      </c>
      <c r="CH386" s="1">
        <v>6.51</v>
      </c>
      <c r="CI386" s="3">
        <v>45664</v>
      </c>
      <c r="CJ386" s="1">
        <v>6.42</v>
      </c>
      <c r="CK386" s="3">
        <v>45664</v>
      </c>
      <c r="CL386" s="1">
        <v>6.27</v>
      </c>
      <c r="CM386" s="3">
        <v>45664</v>
      </c>
      <c r="CN386" s="1">
        <v>6.2350000000000003</v>
      </c>
      <c r="CO386" s="3">
        <v>45657</v>
      </c>
      <c r="CP386" s="1">
        <v>6.22</v>
      </c>
      <c r="CQ386" s="3">
        <v>45657</v>
      </c>
      <c r="CR386" s="1">
        <v>6.2525000000000004</v>
      </c>
      <c r="CS386" s="3">
        <v>45657</v>
      </c>
      <c r="CT386" s="1">
        <v>6.29</v>
      </c>
    </row>
    <row r="387" spans="31:98" x14ac:dyDescent="0.2">
      <c r="AE387" s="3">
        <v>45663</v>
      </c>
      <c r="AF387" s="1">
        <v>5.75</v>
      </c>
      <c r="AG387" s="3">
        <v>45637</v>
      </c>
      <c r="AH387" s="1">
        <v>5.85</v>
      </c>
      <c r="AI387" s="3">
        <v>45663</v>
      </c>
      <c r="AJ387" s="2">
        <v>5.8274999999999997</v>
      </c>
      <c r="AK387" s="3">
        <v>45663</v>
      </c>
      <c r="AL387" s="2">
        <v>5.79</v>
      </c>
      <c r="AM387" s="3">
        <v>45663</v>
      </c>
      <c r="AN387" s="2">
        <v>5.65</v>
      </c>
      <c r="AO387" s="3">
        <v>45663</v>
      </c>
      <c r="AP387" s="2">
        <v>5.3674999999999997</v>
      </c>
      <c r="AQ387" s="3">
        <v>45663</v>
      </c>
      <c r="AR387" s="2">
        <v>5.1449999999999996</v>
      </c>
      <c r="AS387" s="3">
        <v>45663</v>
      </c>
      <c r="AT387" s="2">
        <v>4.9024999999999999</v>
      </c>
      <c r="AU387" s="3">
        <v>45663</v>
      </c>
      <c r="AV387" s="2">
        <v>4.7125000000000004</v>
      </c>
      <c r="AW387" s="3">
        <v>45663</v>
      </c>
      <c r="AX387" s="2">
        <v>4.5875000000000004</v>
      </c>
      <c r="AY387" s="3">
        <v>45663</v>
      </c>
      <c r="AZ387" s="2">
        <v>4.5350000000000001</v>
      </c>
      <c r="BB387" s="3">
        <v>45636</v>
      </c>
      <c r="BC387" s="1">
        <v>4</v>
      </c>
      <c r="BD387" s="3">
        <v>45637</v>
      </c>
      <c r="BE387" s="1">
        <v>3.9</v>
      </c>
      <c r="BF387" s="3">
        <v>45663</v>
      </c>
      <c r="BG387" s="1">
        <v>3.91</v>
      </c>
      <c r="BH387" s="3">
        <v>45663</v>
      </c>
      <c r="BI387" s="1">
        <v>3.86</v>
      </c>
      <c r="BJ387" s="3">
        <v>45663</v>
      </c>
      <c r="BK387" s="1">
        <v>3.8</v>
      </c>
      <c r="BL387" s="3">
        <v>45663</v>
      </c>
      <c r="BM387" s="1">
        <v>3.6549999999999998</v>
      </c>
      <c r="BN387" s="3">
        <v>45663</v>
      </c>
      <c r="BO387" s="1">
        <v>3.573</v>
      </c>
      <c r="BP387" s="3">
        <v>45663</v>
      </c>
      <c r="BQ387" s="1">
        <v>3.5150000000000001</v>
      </c>
      <c r="BR387" s="3">
        <v>45663</v>
      </c>
      <c r="BS387" s="1">
        <v>3.5249999999999999</v>
      </c>
      <c r="BT387" s="3">
        <v>45663</v>
      </c>
      <c r="BU387" s="1">
        <v>3.54</v>
      </c>
      <c r="BV387" s="3">
        <v>45663</v>
      </c>
      <c r="BW387" s="1">
        <v>3.56</v>
      </c>
      <c r="BY387" s="3">
        <v>45645</v>
      </c>
      <c r="BZ387" s="1">
        <v>6.5</v>
      </c>
      <c r="CA387" s="3">
        <v>45631</v>
      </c>
      <c r="CB387" s="1">
        <v>6.5</v>
      </c>
      <c r="CC387" s="3">
        <v>45663</v>
      </c>
      <c r="CD387" s="1">
        <v>6.4969999999999999</v>
      </c>
      <c r="CE387" s="3">
        <v>45663</v>
      </c>
      <c r="CF387" s="1">
        <v>6.4930000000000003</v>
      </c>
      <c r="CG387" s="3">
        <v>45663</v>
      </c>
      <c r="CH387" s="1">
        <v>6.51</v>
      </c>
      <c r="CI387" s="3">
        <v>45663</v>
      </c>
      <c r="CJ387" s="1">
        <v>6.38</v>
      </c>
      <c r="CK387" s="3">
        <v>45663</v>
      </c>
      <c r="CL387" s="1">
        <v>6.23</v>
      </c>
      <c r="CM387" s="3">
        <v>45663</v>
      </c>
      <c r="CN387" s="1">
        <v>6.1924999999999999</v>
      </c>
      <c r="CO387" s="3">
        <v>45656</v>
      </c>
      <c r="CP387" s="1">
        <v>6.19</v>
      </c>
      <c r="CQ387" s="3">
        <v>45656</v>
      </c>
      <c r="CR387" s="1">
        <v>6.22</v>
      </c>
      <c r="CS387" s="3">
        <v>45656</v>
      </c>
      <c r="CT387" s="1">
        <v>6.2549999999999999</v>
      </c>
    </row>
    <row r="388" spans="31:98" x14ac:dyDescent="0.2">
      <c r="AE388" s="3">
        <v>45660</v>
      </c>
      <c r="AF388" s="1">
        <v>5.75</v>
      </c>
      <c r="AG388" s="3">
        <v>45636</v>
      </c>
      <c r="AH388" s="1">
        <v>5.86</v>
      </c>
      <c r="AI388" s="3">
        <v>45660</v>
      </c>
      <c r="AJ388" s="2">
        <v>5.8274999999999997</v>
      </c>
      <c r="AK388" s="3">
        <v>45660</v>
      </c>
      <c r="AL388" s="2">
        <v>5.79</v>
      </c>
      <c r="AM388" s="3">
        <v>45660</v>
      </c>
      <c r="AN388" s="2">
        <v>5.65</v>
      </c>
      <c r="AO388" s="3">
        <v>45660</v>
      </c>
      <c r="AP388" s="2">
        <v>5.3674999999999997</v>
      </c>
      <c r="AQ388" s="3">
        <v>45660</v>
      </c>
      <c r="AR388" s="2">
        <v>5.1449999999999996</v>
      </c>
      <c r="AS388" s="3">
        <v>45660</v>
      </c>
      <c r="AT388" s="2">
        <v>4.9024999999999999</v>
      </c>
      <c r="AU388" s="3">
        <v>45660</v>
      </c>
      <c r="AV388" s="2">
        <v>4.7125000000000004</v>
      </c>
      <c r="AW388" s="3">
        <v>45660</v>
      </c>
      <c r="AX388" s="2">
        <v>4.5875000000000004</v>
      </c>
      <c r="AY388" s="3">
        <v>45660</v>
      </c>
      <c r="AZ388" s="2">
        <v>4.5350000000000001</v>
      </c>
      <c r="BB388" s="3">
        <v>45635</v>
      </c>
      <c r="BC388" s="1">
        <v>4</v>
      </c>
      <c r="BD388" s="3">
        <v>45636</v>
      </c>
      <c r="BE388" s="1">
        <v>3.9</v>
      </c>
      <c r="BF388" s="3">
        <v>45660</v>
      </c>
      <c r="BG388" s="1">
        <v>3.91</v>
      </c>
      <c r="BH388" s="3">
        <v>45660</v>
      </c>
      <c r="BI388" s="1">
        <v>3.863</v>
      </c>
      <c r="BJ388" s="3">
        <v>45660</v>
      </c>
      <c r="BK388" s="1">
        <v>3.8149999999999999</v>
      </c>
      <c r="BL388" s="3">
        <v>45660</v>
      </c>
      <c r="BM388" s="1">
        <v>3.6549999999999998</v>
      </c>
      <c r="BN388" s="3">
        <v>45660</v>
      </c>
      <c r="BO388" s="1">
        <v>3.5550000000000002</v>
      </c>
      <c r="BP388" s="3">
        <v>45660</v>
      </c>
      <c r="BQ388" s="1">
        <v>3.4830000000000001</v>
      </c>
      <c r="BR388" s="3">
        <v>45660</v>
      </c>
      <c r="BS388" s="1">
        <v>3.4980000000000002</v>
      </c>
      <c r="BT388" s="3">
        <v>45660</v>
      </c>
      <c r="BU388" s="1">
        <v>3.52</v>
      </c>
      <c r="BV388" s="3">
        <v>45660</v>
      </c>
      <c r="BW388" s="1">
        <v>3.54</v>
      </c>
      <c r="BY388" s="3">
        <v>45644</v>
      </c>
      <c r="BZ388" s="1">
        <v>6.5</v>
      </c>
      <c r="CA388" s="3">
        <v>45630</v>
      </c>
      <c r="CB388" s="1">
        <v>6.5</v>
      </c>
      <c r="CC388" s="3">
        <v>45660</v>
      </c>
      <c r="CD388" s="1">
        <v>6.5019999999999998</v>
      </c>
      <c r="CE388" s="3">
        <v>45660</v>
      </c>
      <c r="CF388" s="1">
        <v>6.5049999999999999</v>
      </c>
      <c r="CG388" s="3">
        <v>45660</v>
      </c>
      <c r="CH388" s="1">
        <v>6.52</v>
      </c>
      <c r="CI388" s="3">
        <v>45660</v>
      </c>
      <c r="CJ388" s="1">
        <v>6.39</v>
      </c>
      <c r="CK388" s="3">
        <v>45660</v>
      </c>
      <c r="CL388" s="1">
        <v>6.24</v>
      </c>
      <c r="CM388" s="3">
        <v>45660</v>
      </c>
      <c r="CN388" s="1">
        <v>6.2050000000000001</v>
      </c>
      <c r="CO388" s="3">
        <v>45653</v>
      </c>
      <c r="CP388" s="1">
        <v>6.18</v>
      </c>
      <c r="CQ388" s="3">
        <v>45653</v>
      </c>
      <c r="CR388" s="1">
        <v>6.1950000000000003</v>
      </c>
      <c r="CS388" s="3">
        <v>45653</v>
      </c>
      <c r="CT388" s="1">
        <v>6.2149999999999999</v>
      </c>
    </row>
    <row r="389" spans="31:98" x14ac:dyDescent="0.2">
      <c r="AE389" s="3">
        <v>45659</v>
      </c>
      <c r="AF389" s="1">
        <v>5.75</v>
      </c>
      <c r="AG389" s="3">
        <v>45635</v>
      </c>
      <c r="AH389" s="1">
        <v>5.85</v>
      </c>
      <c r="AI389" s="3">
        <v>45659</v>
      </c>
      <c r="AJ389" s="2">
        <v>5.8224999999999998</v>
      </c>
      <c r="AK389" s="3">
        <v>45659</v>
      </c>
      <c r="AL389" s="2">
        <v>5.79</v>
      </c>
      <c r="AM389" s="3">
        <v>45659</v>
      </c>
      <c r="AN389" s="2">
        <v>5.6449999999999996</v>
      </c>
      <c r="AO389" s="3">
        <v>45659</v>
      </c>
      <c r="AP389" s="2">
        <v>5.3650000000000002</v>
      </c>
      <c r="AQ389" s="3">
        <v>45659</v>
      </c>
      <c r="AR389" s="2">
        <v>5.1375000000000002</v>
      </c>
      <c r="AS389" s="3">
        <v>45659</v>
      </c>
      <c r="AT389" s="2">
        <v>4.8825000000000003</v>
      </c>
      <c r="AU389" s="3">
        <v>45659</v>
      </c>
      <c r="AV389" s="2">
        <v>4.6924999999999999</v>
      </c>
      <c r="AW389" s="3">
        <v>45659</v>
      </c>
      <c r="AX389" s="2">
        <v>4.5674999999999999</v>
      </c>
      <c r="AY389" s="3">
        <v>45659</v>
      </c>
      <c r="AZ389" s="2">
        <v>4.5125000000000002</v>
      </c>
      <c r="BB389" s="3">
        <v>45632</v>
      </c>
      <c r="BC389" s="1">
        <v>4</v>
      </c>
      <c r="BD389" s="3">
        <v>45635</v>
      </c>
      <c r="BE389" s="1">
        <v>3.9</v>
      </c>
      <c r="BF389" s="3">
        <v>45659</v>
      </c>
      <c r="BG389" s="1">
        <v>3.92</v>
      </c>
      <c r="BH389" s="3">
        <v>45659</v>
      </c>
      <c r="BI389" s="1">
        <v>3.855</v>
      </c>
      <c r="BJ389" s="3">
        <v>45659</v>
      </c>
      <c r="BK389" s="1">
        <v>3.79</v>
      </c>
      <c r="BL389" s="3">
        <v>45659</v>
      </c>
      <c r="BM389" s="1">
        <v>3.63</v>
      </c>
      <c r="BN389" s="3">
        <v>45659</v>
      </c>
      <c r="BO389" s="1">
        <v>3.4849999999999999</v>
      </c>
      <c r="BP389" s="3">
        <v>45659</v>
      </c>
      <c r="BQ389" s="1">
        <v>3.4049999999999998</v>
      </c>
      <c r="BR389" s="3">
        <v>45659</v>
      </c>
      <c r="BS389" s="1">
        <v>3.42</v>
      </c>
      <c r="BT389" s="3">
        <v>45659</v>
      </c>
      <c r="BU389" s="1">
        <v>3.4430000000000001</v>
      </c>
      <c r="BV389" s="3">
        <v>45659</v>
      </c>
      <c r="BW389" s="1">
        <v>3.4649999999999999</v>
      </c>
      <c r="BY389" s="3">
        <v>45643</v>
      </c>
      <c r="BZ389" s="1">
        <v>6.5</v>
      </c>
      <c r="CA389" s="3">
        <v>45629</v>
      </c>
      <c r="CB389" s="1">
        <v>6.5</v>
      </c>
      <c r="CC389" s="3">
        <v>45659</v>
      </c>
      <c r="CD389" s="1">
        <v>6.49</v>
      </c>
      <c r="CE389" s="3">
        <v>45659</v>
      </c>
      <c r="CF389" s="1">
        <v>6.4850000000000003</v>
      </c>
      <c r="CG389" s="3">
        <v>45659</v>
      </c>
      <c r="CH389" s="1">
        <v>6.48</v>
      </c>
      <c r="CI389" s="3">
        <v>45659</v>
      </c>
      <c r="CJ389" s="1">
        <v>6.31</v>
      </c>
      <c r="CK389" s="3">
        <v>45659</v>
      </c>
      <c r="CL389" s="1">
        <v>6.13</v>
      </c>
      <c r="CM389" s="3">
        <v>45659</v>
      </c>
      <c r="CN389" s="1">
        <v>6.1025</v>
      </c>
      <c r="CO389" s="3">
        <v>45652</v>
      </c>
      <c r="CP389" s="1">
        <v>6.18</v>
      </c>
      <c r="CQ389" s="3">
        <v>45652</v>
      </c>
      <c r="CR389" s="1">
        <v>6.1950000000000003</v>
      </c>
      <c r="CS389" s="3">
        <v>45652</v>
      </c>
      <c r="CT389" s="1">
        <v>6.2149999999999999</v>
      </c>
    </row>
    <row r="390" spans="31:98" x14ac:dyDescent="0.2">
      <c r="AE390" s="3">
        <v>45658</v>
      </c>
      <c r="AF390" s="1">
        <v>5.75</v>
      </c>
      <c r="AG390" s="3">
        <v>45632</v>
      </c>
      <c r="AH390" s="1">
        <v>5.87</v>
      </c>
      <c r="AI390" s="3">
        <v>45658</v>
      </c>
      <c r="AJ390" s="2">
        <v>5.8272000000000004</v>
      </c>
      <c r="AK390" s="3">
        <v>45658</v>
      </c>
      <c r="AL390" s="2">
        <v>5.7949999999999999</v>
      </c>
      <c r="AM390" s="3">
        <v>45658</v>
      </c>
      <c r="AN390" s="2">
        <v>5.7050000000000001</v>
      </c>
      <c r="AO390" s="3">
        <v>45658</v>
      </c>
      <c r="AP390" s="2">
        <v>5.3849999999999998</v>
      </c>
      <c r="AQ390" s="3">
        <v>45658</v>
      </c>
      <c r="AR390" s="2">
        <v>5.125</v>
      </c>
      <c r="AS390" s="3">
        <v>45658</v>
      </c>
      <c r="AT390" s="2">
        <v>4.8650000000000002</v>
      </c>
      <c r="AU390" s="3">
        <v>45658</v>
      </c>
      <c r="AV390" s="2">
        <v>4.6749999999999998</v>
      </c>
      <c r="AW390" s="3">
        <v>45658</v>
      </c>
      <c r="AX390" s="2">
        <v>4.55</v>
      </c>
      <c r="AY390" s="3">
        <v>45658</v>
      </c>
      <c r="AZ390" s="2">
        <v>4.4950000000000001</v>
      </c>
      <c r="BB390" s="3">
        <v>45631</v>
      </c>
      <c r="BC390" s="1">
        <v>4</v>
      </c>
      <c r="BD390" s="3">
        <v>45632</v>
      </c>
      <c r="BE390" s="1">
        <v>3.9</v>
      </c>
      <c r="BF390" s="3">
        <v>45658</v>
      </c>
      <c r="BG390" s="1">
        <v>3.92</v>
      </c>
      <c r="BH390" s="3">
        <v>45658</v>
      </c>
      <c r="BI390" s="1">
        <v>3.8690000000000002</v>
      </c>
      <c r="BJ390" s="3">
        <v>45658</v>
      </c>
      <c r="BK390" s="1">
        <v>3.798</v>
      </c>
      <c r="BL390" s="3">
        <v>45658</v>
      </c>
      <c r="BM390" s="1">
        <v>3.653</v>
      </c>
      <c r="BN390" s="3">
        <v>45658</v>
      </c>
      <c r="BO390" s="1">
        <v>3.528</v>
      </c>
      <c r="BP390" s="3">
        <v>45658</v>
      </c>
      <c r="BQ390" s="1">
        <v>3.4380000000000002</v>
      </c>
      <c r="BR390" s="3">
        <v>45658</v>
      </c>
      <c r="BS390" s="1">
        <v>3.4580000000000002</v>
      </c>
      <c r="BT390" s="3">
        <v>45658</v>
      </c>
      <c r="BU390" s="1">
        <v>3.48</v>
      </c>
      <c r="BV390" s="3">
        <v>45658</v>
      </c>
      <c r="BW390" s="1">
        <v>3.51</v>
      </c>
      <c r="BY390" s="3">
        <v>45642</v>
      </c>
      <c r="BZ390" s="1">
        <v>6.5</v>
      </c>
      <c r="CA390" s="3">
        <v>45628</v>
      </c>
      <c r="CB390" s="1">
        <v>6.5</v>
      </c>
      <c r="CC390" s="3">
        <v>45658</v>
      </c>
      <c r="CD390" s="1">
        <v>6.5105000000000004</v>
      </c>
      <c r="CE390" s="3">
        <v>45658</v>
      </c>
      <c r="CF390" s="1">
        <v>6.5088999999999997</v>
      </c>
      <c r="CG390" s="3">
        <v>45658</v>
      </c>
      <c r="CH390" s="1">
        <v>6.5484999999999998</v>
      </c>
      <c r="CI390" s="3">
        <v>45658</v>
      </c>
      <c r="CJ390" s="1">
        <v>6.3627000000000002</v>
      </c>
      <c r="CK390" s="3">
        <v>45658</v>
      </c>
      <c r="CL390" s="1">
        <v>6.2008000000000001</v>
      </c>
      <c r="CM390" s="3">
        <v>45658</v>
      </c>
      <c r="CN390" s="1">
        <v>6.1924999999999999</v>
      </c>
      <c r="CO390" s="3">
        <v>45651</v>
      </c>
      <c r="CP390" s="1">
        <v>6.18</v>
      </c>
      <c r="CQ390" s="3">
        <v>45651</v>
      </c>
      <c r="CR390" s="1">
        <v>6.1950000000000003</v>
      </c>
      <c r="CS390" s="3">
        <v>45651</v>
      </c>
      <c r="CT390" s="1">
        <v>6.2149999999999999</v>
      </c>
    </row>
    <row r="391" spans="31:98" x14ac:dyDescent="0.2">
      <c r="AE391" s="3">
        <v>45657</v>
      </c>
      <c r="AF391" s="1">
        <v>5.75</v>
      </c>
      <c r="AG391" s="3">
        <v>45631</v>
      </c>
      <c r="AH391" s="1">
        <v>5.85</v>
      </c>
      <c r="AI391" s="3">
        <v>45657</v>
      </c>
      <c r="AJ391" s="2">
        <v>5.8304999999999998</v>
      </c>
      <c r="AK391" s="3">
        <v>45657</v>
      </c>
      <c r="AL391" s="2">
        <v>5.7949999999999999</v>
      </c>
      <c r="AM391" s="3">
        <v>45657</v>
      </c>
      <c r="AN391" s="2">
        <v>5.7050000000000001</v>
      </c>
      <c r="AO391" s="3">
        <v>45657</v>
      </c>
      <c r="AP391" s="2">
        <v>5.3849999999999998</v>
      </c>
      <c r="AQ391" s="3">
        <v>45657</v>
      </c>
      <c r="AR391" s="2">
        <v>5.125</v>
      </c>
      <c r="AS391" s="3">
        <v>45657</v>
      </c>
      <c r="AT391" s="2">
        <v>4.8650000000000002</v>
      </c>
      <c r="AU391" s="3">
        <v>45657</v>
      </c>
      <c r="AV391" s="2">
        <v>4.6749999999999998</v>
      </c>
      <c r="AW391" s="3">
        <v>45657</v>
      </c>
      <c r="AX391" s="2">
        <v>4.55</v>
      </c>
      <c r="AY391" s="3">
        <v>45657</v>
      </c>
      <c r="AZ391" s="2">
        <v>4.4950000000000001</v>
      </c>
      <c r="BB391" s="3">
        <v>45630</v>
      </c>
      <c r="BC391" s="1">
        <v>4</v>
      </c>
      <c r="BD391" s="3">
        <v>45631</v>
      </c>
      <c r="BE391" s="1">
        <v>3.9</v>
      </c>
      <c r="BF391" s="3">
        <v>45657</v>
      </c>
      <c r="BG391" s="1">
        <v>3.92</v>
      </c>
      <c r="BH391" s="3">
        <v>45657</v>
      </c>
      <c r="BI391" s="1">
        <v>3.87</v>
      </c>
      <c r="BJ391" s="3">
        <v>45657</v>
      </c>
      <c r="BK391" s="1">
        <v>3.798</v>
      </c>
      <c r="BL391" s="3">
        <v>45657</v>
      </c>
      <c r="BM391" s="1">
        <v>3.653</v>
      </c>
      <c r="BN391" s="3">
        <v>45657</v>
      </c>
      <c r="BO391" s="1">
        <v>3.52</v>
      </c>
      <c r="BP391" s="3">
        <v>45657</v>
      </c>
      <c r="BQ391" s="1">
        <v>3.4380000000000002</v>
      </c>
      <c r="BR391" s="3">
        <v>45657</v>
      </c>
      <c r="BS391" s="1">
        <v>3.4580000000000002</v>
      </c>
      <c r="BT391" s="3">
        <v>45657</v>
      </c>
      <c r="BU391" s="1">
        <v>3.48</v>
      </c>
      <c r="BV391" s="3">
        <v>45657</v>
      </c>
      <c r="BW391" s="1">
        <v>3.51</v>
      </c>
      <c r="BY391" s="3">
        <v>45639</v>
      </c>
      <c r="BZ391" s="1">
        <v>6.5</v>
      </c>
      <c r="CA391" s="3">
        <v>45625</v>
      </c>
      <c r="CB391" s="1">
        <v>6.5</v>
      </c>
      <c r="CC391" s="3">
        <v>45657</v>
      </c>
      <c r="CD391" s="1">
        <v>6.51</v>
      </c>
      <c r="CE391" s="3">
        <v>45657</v>
      </c>
      <c r="CF391" s="1">
        <v>6.51</v>
      </c>
      <c r="CG391" s="3">
        <v>45657</v>
      </c>
      <c r="CH391" s="1">
        <v>6.55</v>
      </c>
      <c r="CI391" s="3">
        <v>45657</v>
      </c>
      <c r="CJ391" s="1">
        <v>6.36</v>
      </c>
      <c r="CK391" s="3">
        <v>45657</v>
      </c>
      <c r="CL391" s="1">
        <v>6.2</v>
      </c>
      <c r="CM391" s="3">
        <v>45657</v>
      </c>
      <c r="CN391" s="1">
        <v>6.1924999999999999</v>
      </c>
      <c r="CO391" s="3">
        <v>45650</v>
      </c>
      <c r="CP391" s="1">
        <v>6.18</v>
      </c>
      <c r="CQ391" s="3">
        <v>45650</v>
      </c>
      <c r="CR391" s="1">
        <v>6.1950000000000003</v>
      </c>
      <c r="CS391" s="3">
        <v>45650</v>
      </c>
      <c r="CT391" s="1">
        <v>6.2149999999999999</v>
      </c>
    </row>
    <row r="392" spans="31:98" x14ac:dyDescent="0.2">
      <c r="AE392" s="3">
        <v>45656</v>
      </c>
      <c r="AF392" s="1">
        <v>5.75</v>
      </c>
      <c r="AG392" s="3">
        <v>45630</v>
      </c>
      <c r="AH392" s="1">
        <v>5.85</v>
      </c>
      <c r="AI392" s="3">
        <v>45656</v>
      </c>
      <c r="AJ392" s="2">
        <v>5.8425000000000002</v>
      </c>
      <c r="AK392" s="3">
        <v>45656</v>
      </c>
      <c r="AL392" s="2">
        <v>5.8049999999999997</v>
      </c>
      <c r="AM392" s="3">
        <v>45656</v>
      </c>
      <c r="AN392" s="2">
        <v>5.7350000000000003</v>
      </c>
      <c r="AO392" s="3">
        <v>45656</v>
      </c>
      <c r="AP392" s="2">
        <v>5.42</v>
      </c>
      <c r="AQ392" s="3">
        <v>45656</v>
      </c>
      <c r="AR392" s="2">
        <v>5.18</v>
      </c>
      <c r="AS392" s="3">
        <v>45656</v>
      </c>
      <c r="AT392" s="2">
        <v>4.9175000000000004</v>
      </c>
      <c r="AU392" s="3">
        <v>45656</v>
      </c>
      <c r="AV392" s="2">
        <v>4.7324999999999999</v>
      </c>
      <c r="AW392" s="3">
        <v>45656</v>
      </c>
      <c r="AX392" s="2">
        <v>4.6074999999999999</v>
      </c>
      <c r="AY392" s="3">
        <v>45656</v>
      </c>
      <c r="AZ392" s="2">
        <v>4.5475000000000003</v>
      </c>
      <c r="BB392" s="3">
        <v>45629</v>
      </c>
      <c r="BC392" s="1">
        <v>4</v>
      </c>
      <c r="BD392" s="3">
        <v>45630</v>
      </c>
      <c r="BE392" s="1">
        <v>3.89</v>
      </c>
      <c r="BF392" s="3">
        <v>45656</v>
      </c>
      <c r="BG392" s="1">
        <v>3.9249999999999998</v>
      </c>
      <c r="BH392" s="3">
        <v>45656</v>
      </c>
      <c r="BI392" s="1">
        <v>3.8679999999999999</v>
      </c>
      <c r="BJ392" s="3">
        <v>45656</v>
      </c>
      <c r="BK392" s="1">
        <v>3.7949999999999999</v>
      </c>
      <c r="BL392" s="3">
        <v>45656</v>
      </c>
      <c r="BM392" s="1">
        <v>3.64</v>
      </c>
      <c r="BN392" s="3">
        <v>45656</v>
      </c>
      <c r="BO392" s="1">
        <v>3.5049999999999999</v>
      </c>
      <c r="BP392" s="3">
        <v>45656</v>
      </c>
      <c r="BQ392" s="1">
        <v>3.4249999999999998</v>
      </c>
      <c r="BR392" s="3">
        <v>45656</v>
      </c>
      <c r="BS392" s="1">
        <v>3.44</v>
      </c>
      <c r="BT392" s="3">
        <v>45656</v>
      </c>
      <c r="BU392" s="1">
        <v>3.4649999999999999</v>
      </c>
      <c r="BV392" s="3">
        <v>45656</v>
      </c>
      <c r="BW392" s="1">
        <v>3.49</v>
      </c>
      <c r="BY392" s="3">
        <v>45638</v>
      </c>
      <c r="BZ392" s="1">
        <v>6.5</v>
      </c>
      <c r="CA392" s="3">
        <v>45624</v>
      </c>
      <c r="CB392" s="1">
        <v>6.5</v>
      </c>
      <c r="CC392" s="3">
        <v>45656</v>
      </c>
      <c r="CD392" s="1">
        <v>6.54</v>
      </c>
      <c r="CE392" s="3">
        <v>45656</v>
      </c>
      <c r="CF392" s="1">
        <v>6.54</v>
      </c>
      <c r="CG392" s="3">
        <v>45656</v>
      </c>
      <c r="CH392" s="1">
        <v>6.57</v>
      </c>
      <c r="CI392" s="3">
        <v>45656</v>
      </c>
      <c r="CJ392" s="1">
        <v>6.36</v>
      </c>
      <c r="CK392" s="3">
        <v>45656</v>
      </c>
      <c r="CL392" s="1">
        <v>6.2</v>
      </c>
      <c r="CM392" s="3">
        <v>45656</v>
      </c>
      <c r="CN392" s="1">
        <v>6.165</v>
      </c>
      <c r="CO392" s="3">
        <v>45649</v>
      </c>
      <c r="CP392" s="1">
        <v>6.18</v>
      </c>
      <c r="CQ392" s="3">
        <v>45649</v>
      </c>
      <c r="CR392" s="1">
        <v>6.1950000000000003</v>
      </c>
      <c r="CS392" s="3">
        <v>45649</v>
      </c>
      <c r="CT392" s="1">
        <v>6.2149999999999999</v>
      </c>
    </row>
    <row r="393" spans="31:98" x14ac:dyDescent="0.2">
      <c r="AE393" s="3">
        <v>45649</v>
      </c>
      <c r="AF393" s="1">
        <v>5.75</v>
      </c>
      <c r="AG393" s="3">
        <v>45629</v>
      </c>
      <c r="AH393" s="1">
        <v>5.86</v>
      </c>
      <c r="AI393" s="3">
        <v>45653</v>
      </c>
      <c r="AJ393" s="2">
        <v>5.8455000000000004</v>
      </c>
      <c r="AK393" s="3">
        <v>45653</v>
      </c>
      <c r="AL393" s="2">
        <v>5.81</v>
      </c>
      <c r="AM393" s="3">
        <v>45653</v>
      </c>
      <c r="AN393" s="2">
        <v>5.74</v>
      </c>
      <c r="AO393" s="3">
        <v>45653</v>
      </c>
      <c r="AP393" s="2">
        <v>5.4349999999999996</v>
      </c>
      <c r="AQ393" s="3">
        <v>45653</v>
      </c>
      <c r="AR393" s="2">
        <v>5.1749999999999998</v>
      </c>
      <c r="AS393" s="3">
        <v>45653</v>
      </c>
      <c r="AT393" s="2">
        <v>4.915</v>
      </c>
      <c r="AU393" s="3">
        <v>45653</v>
      </c>
      <c r="AV393" s="2">
        <v>4.72</v>
      </c>
      <c r="AW393" s="3">
        <v>45653</v>
      </c>
      <c r="AX393" s="2">
        <v>4.5999999999999996</v>
      </c>
      <c r="AY393" s="3">
        <v>45653</v>
      </c>
      <c r="AZ393" s="2">
        <v>4.54</v>
      </c>
      <c r="BB393" s="3">
        <v>45628</v>
      </c>
      <c r="BC393" s="1">
        <v>4</v>
      </c>
      <c r="BD393" s="3">
        <v>45629</v>
      </c>
      <c r="BE393" s="1">
        <v>3.89</v>
      </c>
      <c r="BF393" s="3">
        <v>45653</v>
      </c>
      <c r="BG393" s="1">
        <v>3.93</v>
      </c>
      <c r="BH393" s="3">
        <v>45653</v>
      </c>
      <c r="BI393" s="1">
        <v>3.8650000000000002</v>
      </c>
      <c r="BJ393" s="3">
        <v>45653</v>
      </c>
      <c r="BK393" s="1">
        <v>3.7949999999999999</v>
      </c>
      <c r="BL393" s="3">
        <v>45653</v>
      </c>
      <c r="BM393" s="1">
        <v>3.6349999999999998</v>
      </c>
      <c r="BN393" s="3">
        <v>45653</v>
      </c>
      <c r="BO393" s="1">
        <v>3.5049999999999999</v>
      </c>
      <c r="BP393" s="3">
        <v>45653</v>
      </c>
      <c r="BQ393" s="1">
        <v>3.43</v>
      </c>
      <c r="BR393" s="3">
        <v>45653</v>
      </c>
      <c r="BS393" s="1">
        <v>3.4449999999999998</v>
      </c>
      <c r="BT393" s="3">
        <v>45653</v>
      </c>
      <c r="BU393" s="1">
        <v>3.4649999999999999</v>
      </c>
      <c r="BV393" s="3">
        <v>45653</v>
      </c>
      <c r="BW393" s="1">
        <v>3.49</v>
      </c>
      <c r="BY393" s="3">
        <v>45637</v>
      </c>
      <c r="BZ393" s="1">
        <v>6.5</v>
      </c>
      <c r="CA393" s="3">
        <v>45623</v>
      </c>
      <c r="CB393" s="1">
        <v>6.5</v>
      </c>
      <c r="CC393" s="3">
        <v>45653</v>
      </c>
      <c r="CD393" s="1">
        <v>6.5579999999999998</v>
      </c>
      <c r="CE393" s="3">
        <v>45653</v>
      </c>
      <c r="CF393" s="1">
        <v>6.5579999999999998</v>
      </c>
      <c r="CG393" s="3">
        <v>45653</v>
      </c>
      <c r="CH393" s="1">
        <v>6.57</v>
      </c>
      <c r="CI393" s="3">
        <v>45653</v>
      </c>
      <c r="CJ393" s="1">
        <v>6.36</v>
      </c>
      <c r="CK393" s="3">
        <v>45653</v>
      </c>
      <c r="CL393" s="1">
        <v>6.2</v>
      </c>
      <c r="CM393" s="3">
        <v>45653</v>
      </c>
      <c r="CN393" s="1">
        <v>6.17</v>
      </c>
      <c r="CO393" s="3">
        <v>45646</v>
      </c>
      <c r="CP393" s="1">
        <v>6.13</v>
      </c>
      <c r="CQ393" s="3">
        <v>45646</v>
      </c>
      <c r="CR393" s="1">
        <v>6.14</v>
      </c>
      <c r="CS393" s="3">
        <v>45646</v>
      </c>
      <c r="CT393" s="1">
        <v>6.1550000000000002</v>
      </c>
    </row>
    <row r="394" spans="31:98" x14ac:dyDescent="0.2">
      <c r="AE394" s="3">
        <v>45644</v>
      </c>
      <c r="AF394" s="1">
        <v>5.75</v>
      </c>
      <c r="AG394" s="3">
        <v>45628</v>
      </c>
      <c r="AH394" s="1">
        <v>5.85</v>
      </c>
      <c r="AI394" s="3">
        <v>45652</v>
      </c>
      <c r="AJ394" s="2">
        <v>5.8449999999999998</v>
      </c>
      <c r="AK394" s="3">
        <v>45652</v>
      </c>
      <c r="AL394" s="2">
        <v>5.81</v>
      </c>
      <c r="AM394" s="3">
        <v>45652</v>
      </c>
      <c r="AN394" s="2">
        <v>5.7350000000000003</v>
      </c>
      <c r="AO394" s="3">
        <v>45652</v>
      </c>
      <c r="AP394" s="2">
        <v>5.415</v>
      </c>
      <c r="AQ394" s="3">
        <v>45652</v>
      </c>
      <c r="AR394" s="2">
        <v>5.1150000000000002</v>
      </c>
      <c r="AS394" s="3">
        <v>45652</v>
      </c>
      <c r="AT394" s="2">
        <v>4.8375000000000004</v>
      </c>
      <c r="AU394" s="3">
        <v>45652</v>
      </c>
      <c r="AV394" s="2">
        <v>4.6325000000000003</v>
      </c>
      <c r="AW394" s="3">
        <v>45652</v>
      </c>
      <c r="AX394" s="2">
        <v>4.5025000000000004</v>
      </c>
      <c r="AY394" s="3">
        <v>45652</v>
      </c>
      <c r="AZ394" s="2">
        <v>4.4474999999999998</v>
      </c>
      <c r="BB394" s="3">
        <v>45625</v>
      </c>
      <c r="BC394" s="1">
        <v>4</v>
      </c>
      <c r="BD394" s="3">
        <v>45628</v>
      </c>
      <c r="BE394" s="1">
        <v>3.89</v>
      </c>
      <c r="BF394" s="3">
        <v>45652</v>
      </c>
      <c r="BG394" s="1">
        <v>3.91</v>
      </c>
      <c r="BH394" s="3">
        <v>45652</v>
      </c>
      <c r="BI394" s="1">
        <v>3.86</v>
      </c>
      <c r="BJ394" s="3">
        <v>45652</v>
      </c>
      <c r="BK394" s="1">
        <v>3.79</v>
      </c>
      <c r="BL394" s="3">
        <v>45652</v>
      </c>
      <c r="BM394" s="1">
        <v>3.61</v>
      </c>
      <c r="BN394" s="3">
        <v>45652</v>
      </c>
      <c r="BO394" s="1">
        <v>3.4750000000000001</v>
      </c>
      <c r="BP394" s="3">
        <v>45652</v>
      </c>
      <c r="BQ394" s="1">
        <v>3.4</v>
      </c>
      <c r="BR394" s="3">
        <v>45652</v>
      </c>
      <c r="BS394" s="1">
        <v>3.41</v>
      </c>
      <c r="BT394" s="3">
        <v>45652</v>
      </c>
      <c r="BU394" s="1">
        <v>3.4249999999999998</v>
      </c>
      <c r="BV394" s="3">
        <v>45652</v>
      </c>
      <c r="BW394" s="1">
        <v>3.45</v>
      </c>
      <c r="BY394" s="3">
        <v>45636</v>
      </c>
      <c r="BZ394" s="1">
        <v>6.5</v>
      </c>
      <c r="CA394" s="3">
        <v>45622</v>
      </c>
      <c r="CB394" s="1">
        <v>6.5</v>
      </c>
      <c r="CC394" s="3">
        <v>45652</v>
      </c>
      <c r="CD394" s="1">
        <v>6.5579999999999998</v>
      </c>
      <c r="CE394" s="3">
        <v>45652</v>
      </c>
      <c r="CF394" s="1">
        <v>6.5579999999999998</v>
      </c>
      <c r="CG394" s="3">
        <v>45652</v>
      </c>
      <c r="CH394" s="1">
        <v>6.57</v>
      </c>
      <c r="CI394" s="3">
        <v>45652</v>
      </c>
      <c r="CJ394" s="1">
        <v>6.36</v>
      </c>
      <c r="CK394" s="3">
        <v>45652</v>
      </c>
      <c r="CL394" s="1">
        <v>6.2</v>
      </c>
      <c r="CM394" s="3">
        <v>45652</v>
      </c>
      <c r="CN394" s="1">
        <v>6.17</v>
      </c>
      <c r="CO394" s="3">
        <v>45645</v>
      </c>
      <c r="CP394" s="1">
        <v>6.1050000000000004</v>
      </c>
      <c r="CQ394" s="3">
        <v>45645</v>
      </c>
      <c r="CR394" s="1">
        <v>6.1124999999999998</v>
      </c>
      <c r="CS394" s="3">
        <v>45645</v>
      </c>
      <c r="CT394" s="1">
        <v>6.125</v>
      </c>
    </row>
    <row r="395" spans="31:98" x14ac:dyDescent="0.2">
      <c r="AE395" s="3">
        <v>45643</v>
      </c>
      <c r="AF395" s="1">
        <v>5.75</v>
      </c>
      <c r="AG395" s="3">
        <v>45625</v>
      </c>
      <c r="AH395" s="1">
        <v>5.85</v>
      </c>
      <c r="AI395" s="3">
        <v>45651</v>
      </c>
      <c r="AJ395" s="2">
        <v>5.8449999999999998</v>
      </c>
      <c r="AK395" s="3">
        <v>45651</v>
      </c>
      <c r="AL395" s="2">
        <v>5.81</v>
      </c>
      <c r="AM395" s="3">
        <v>45651</v>
      </c>
      <c r="AN395" s="2">
        <v>5.7350000000000003</v>
      </c>
      <c r="AO395" s="3">
        <v>45651</v>
      </c>
      <c r="AP395" s="2">
        <v>5.415</v>
      </c>
      <c r="AQ395" s="3">
        <v>45651</v>
      </c>
      <c r="AR395" s="2">
        <v>5.1150000000000002</v>
      </c>
      <c r="AS395" s="3">
        <v>45651</v>
      </c>
      <c r="AT395" s="2">
        <v>4.8375000000000004</v>
      </c>
      <c r="AU395" s="3">
        <v>45651</v>
      </c>
      <c r="AV395" s="2">
        <v>4.6325000000000003</v>
      </c>
      <c r="AW395" s="3">
        <v>45651</v>
      </c>
      <c r="AX395" s="2">
        <v>4.5025000000000004</v>
      </c>
      <c r="AY395" s="3">
        <v>45651</v>
      </c>
      <c r="AZ395" s="2">
        <v>4.4474999999999998</v>
      </c>
      <c r="BB395" s="3">
        <v>45624</v>
      </c>
      <c r="BC395" s="1">
        <v>4</v>
      </c>
      <c r="BD395" s="3">
        <v>45625</v>
      </c>
      <c r="BE395" s="1">
        <v>3.89</v>
      </c>
      <c r="BF395" s="3">
        <v>45651</v>
      </c>
      <c r="BG395" s="1">
        <v>3.91</v>
      </c>
      <c r="BH395" s="3">
        <v>45651</v>
      </c>
      <c r="BI395" s="1">
        <v>3.86</v>
      </c>
      <c r="BJ395" s="3">
        <v>45651</v>
      </c>
      <c r="BK395" s="1">
        <v>3.79</v>
      </c>
      <c r="BL395" s="3">
        <v>45651</v>
      </c>
      <c r="BM395" s="1">
        <v>3.61</v>
      </c>
      <c r="BN395" s="3">
        <v>45651</v>
      </c>
      <c r="BO395" s="1">
        <v>3.4750000000000001</v>
      </c>
      <c r="BP395" s="3">
        <v>45651</v>
      </c>
      <c r="BQ395" s="1">
        <v>3.4</v>
      </c>
      <c r="BR395" s="3">
        <v>45651</v>
      </c>
      <c r="BS395" s="1">
        <v>3.41</v>
      </c>
      <c r="BT395" s="3">
        <v>45651</v>
      </c>
      <c r="BU395" s="1">
        <v>3.4249999999999998</v>
      </c>
      <c r="BV395" s="3">
        <v>45651</v>
      </c>
      <c r="BW395" s="1">
        <v>3.45</v>
      </c>
      <c r="BY395" s="3">
        <v>45635</v>
      </c>
      <c r="BZ395" s="1">
        <v>6.5</v>
      </c>
      <c r="CA395" s="3">
        <v>45621</v>
      </c>
      <c r="CB395" s="1">
        <v>6.5</v>
      </c>
      <c r="CC395" s="3">
        <v>45651</v>
      </c>
      <c r="CD395" s="1">
        <v>6.5578000000000003</v>
      </c>
      <c r="CE395" s="3">
        <v>45651</v>
      </c>
      <c r="CF395" s="1">
        <v>6.5575000000000001</v>
      </c>
      <c r="CG395" s="3">
        <v>45651</v>
      </c>
      <c r="CH395" s="1">
        <v>6.5693999999999999</v>
      </c>
      <c r="CI395" s="3">
        <v>45651</v>
      </c>
      <c r="CJ395" s="1">
        <v>6.3625999999999996</v>
      </c>
      <c r="CK395" s="3">
        <v>45651</v>
      </c>
      <c r="CL395" s="1">
        <v>6.2008999999999999</v>
      </c>
      <c r="CM395" s="3">
        <v>45651</v>
      </c>
      <c r="CN395" s="1">
        <v>6.17</v>
      </c>
      <c r="CO395" s="3">
        <v>45644</v>
      </c>
      <c r="CP395" s="1">
        <v>5.8949999999999996</v>
      </c>
      <c r="CQ395" s="3">
        <v>45644</v>
      </c>
      <c r="CR395" s="1">
        <v>5.9</v>
      </c>
      <c r="CS395" s="3">
        <v>45644</v>
      </c>
      <c r="CT395" s="1">
        <v>5.91</v>
      </c>
    </row>
    <row r="396" spans="31:98" x14ac:dyDescent="0.2">
      <c r="AE396" s="3">
        <v>45642</v>
      </c>
      <c r="AF396" s="1">
        <v>5.75</v>
      </c>
      <c r="AG396" s="3">
        <v>45624</v>
      </c>
      <c r="AH396" s="1">
        <v>5.85</v>
      </c>
      <c r="AI396" s="3">
        <v>45650</v>
      </c>
      <c r="AJ396" s="2">
        <v>5.8449999999999998</v>
      </c>
      <c r="AK396" s="3">
        <v>45650</v>
      </c>
      <c r="AL396" s="2">
        <v>5.81</v>
      </c>
      <c r="AM396" s="3">
        <v>45650</v>
      </c>
      <c r="AN396" s="2">
        <v>5.7350000000000003</v>
      </c>
      <c r="AO396" s="3">
        <v>45650</v>
      </c>
      <c r="AP396" s="2">
        <v>5.415</v>
      </c>
      <c r="AQ396" s="3">
        <v>45650</v>
      </c>
      <c r="AR396" s="2">
        <v>5.1150000000000002</v>
      </c>
      <c r="AS396" s="3">
        <v>45650</v>
      </c>
      <c r="AT396" s="2">
        <v>4.8375000000000004</v>
      </c>
      <c r="AU396" s="3">
        <v>45650</v>
      </c>
      <c r="AV396" s="2">
        <v>4.6325000000000003</v>
      </c>
      <c r="AW396" s="3">
        <v>45650</v>
      </c>
      <c r="AX396" s="2">
        <v>4.5025000000000004</v>
      </c>
      <c r="AY396" s="3">
        <v>45650</v>
      </c>
      <c r="AZ396" s="2">
        <v>4.4474999999999998</v>
      </c>
      <c r="BB396" s="3">
        <v>45623</v>
      </c>
      <c r="BC396" s="1">
        <v>4</v>
      </c>
      <c r="BD396" s="3">
        <v>45624</v>
      </c>
      <c r="BE396" s="1">
        <v>3.89</v>
      </c>
      <c r="BF396" s="3">
        <v>45650</v>
      </c>
      <c r="BG396" s="1">
        <v>3.91</v>
      </c>
      <c r="BH396" s="3">
        <v>45650</v>
      </c>
      <c r="BI396" s="1">
        <v>3.86</v>
      </c>
      <c r="BJ396" s="3">
        <v>45650</v>
      </c>
      <c r="BK396" s="1">
        <v>3.79</v>
      </c>
      <c r="BL396" s="3">
        <v>45650</v>
      </c>
      <c r="BM396" s="1">
        <v>3.61</v>
      </c>
      <c r="BN396" s="3">
        <v>45650</v>
      </c>
      <c r="BO396" s="1">
        <v>3.4750000000000001</v>
      </c>
      <c r="BP396" s="3">
        <v>45650</v>
      </c>
      <c r="BQ396" s="1">
        <v>3.4</v>
      </c>
      <c r="BR396" s="3">
        <v>45650</v>
      </c>
      <c r="BS396" s="1">
        <v>3.41</v>
      </c>
      <c r="BT396" s="3">
        <v>45650</v>
      </c>
      <c r="BU396" s="1">
        <v>3.4249999999999998</v>
      </c>
      <c r="BV396" s="3">
        <v>45650</v>
      </c>
      <c r="BW396" s="1">
        <v>3.45</v>
      </c>
      <c r="BY396" s="3">
        <v>45632</v>
      </c>
      <c r="BZ396" s="1">
        <v>6.5</v>
      </c>
      <c r="CA396" s="3">
        <v>45618</v>
      </c>
      <c r="CB396" s="1">
        <v>6.5</v>
      </c>
      <c r="CC396" s="3">
        <v>45650</v>
      </c>
      <c r="CD396" s="1">
        <v>6.5579999999999998</v>
      </c>
      <c r="CE396" s="3">
        <v>45650</v>
      </c>
      <c r="CF396" s="1">
        <v>6.5579999999999998</v>
      </c>
      <c r="CG396" s="3">
        <v>45650</v>
      </c>
      <c r="CH396" s="1">
        <v>6.57</v>
      </c>
      <c r="CI396" s="3">
        <v>45650</v>
      </c>
      <c r="CJ396" s="1">
        <v>6.36</v>
      </c>
      <c r="CK396" s="3">
        <v>45650</v>
      </c>
      <c r="CL396" s="1">
        <v>6.2</v>
      </c>
      <c r="CM396" s="3">
        <v>45650</v>
      </c>
      <c r="CN396" s="1">
        <v>6.17</v>
      </c>
      <c r="CO396" s="3">
        <v>45643</v>
      </c>
      <c r="CP396" s="1">
        <v>5.9924999999999997</v>
      </c>
      <c r="CQ396" s="3">
        <v>45643</v>
      </c>
      <c r="CR396" s="1">
        <v>6.0025000000000004</v>
      </c>
      <c r="CS396" s="3">
        <v>45643</v>
      </c>
      <c r="CT396" s="1">
        <v>6.0175000000000001</v>
      </c>
    </row>
    <row r="397" spans="31:98" x14ac:dyDescent="0.2">
      <c r="AE397" s="3">
        <v>45639</v>
      </c>
      <c r="AF397" s="1">
        <v>5.75</v>
      </c>
      <c r="AG397" s="3">
        <v>45623</v>
      </c>
      <c r="AH397" s="1">
        <v>5.85</v>
      </c>
      <c r="AI397" s="3">
        <v>45649</v>
      </c>
      <c r="AJ397" s="2">
        <v>5.8390000000000004</v>
      </c>
      <c r="AK397" s="3">
        <v>45649</v>
      </c>
      <c r="AL397" s="2">
        <v>5.81</v>
      </c>
      <c r="AM397" s="3">
        <v>45649</v>
      </c>
      <c r="AN397" s="2">
        <v>5.7275</v>
      </c>
      <c r="AO397" s="3">
        <v>45649</v>
      </c>
      <c r="AP397" s="2">
        <v>5.415</v>
      </c>
      <c r="AQ397" s="3">
        <v>45649</v>
      </c>
      <c r="AR397" s="2">
        <v>5.1174999999999997</v>
      </c>
      <c r="AS397" s="3">
        <v>45649</v>
      </c>
      <c r="AT397" s="2">
        <v>4.84</v>
      </c>
      <c r="AU397" s="3">
        <v>45649</v>
      </c>
      <c r="AV397" s="2">
        <v>4.63</v>
      </c>
      <c r="AW397" s="3">
        <v>45649</v>
      </c>
      <c r="AX397" s="2">
        <v>4.5</v>
      </c>
      <c r="AY397" s="3">
        <v>45649</v>
      </c>
      <c r="AZ397" s="2">
        <v>4.4450000000000003</v>
      </c>
      <c r="BB397" s="3">
        <v>45622</v>
      </c>
      <c r="BC397" s="1">
        <v>4</v>
      </c>
      <c r="BD397" s="3">
        <v>45623</v>
      </c>
      <c r="BE397" s="1">
        <v>3.89</v>
      </c>
      <c r="BF397" s="3">
        <v>45649</v>
      </c>
      <c r="BG397" s="1">
        <v>3.93</v>
      </c>
      <c r="BH397" s="3">
        <v>45649</v>
      </c>
      <c r="BI397" s="1">
        <v>3.86</v>
      </c>
      <c r="BJ397" s="3">
        <v>45649</v>
      </c>
      <c r="BK397" s="1">
        <v>3.79</v>
      </c>
      <c r="BL397" s="3">
        <v>45649</v>
      </c>
      <c r="BM397" s="1">
        <v>3.61</v>
      </c>
      <c r="BN397" s="3">
        <v>45649</v>
      </c>
      <c r="BO397" s="1">
        <v>3.4750000000000001</v>
      </c>
      <c r="BP397" s="3">
        <v>45649</v>
      </c>
      <c r="BQ397" s="1">
        <v>3.4</v>
      </c>
      <c r="BR397" s="3">
        <v>45649</v>
      </c>
      <c r="BS397" s="1">
        <v>3.41</v>
      </c>
      <c r="BT397" s="3">
        <v>45649</v>
      </c>
      <c r="BU397" s="1">
        <v>3.4249999999999998</v>
      </c>
      <c r="BV397" s="3">
        <v>45649</v>
      </c>
      <c r="BW397" s="1">
        <v>3.45</v>
      </c>
      <c r="BY397" s="3">
        <v>45631</v>
      </c>
      <c r="BZ397" s="1">
        <v>6.5</v>
      </c>
      <c r="CA397" s="3">
        <v>45617</v>
      </c>
      <c r="CB397" s="1">
        <v>6.5</v>
      </c>
      <c r="CC397" s="3">
        <v>45649</v>
      </c>
      <c r="CD397" s="1">
        <v>6.5579999999999998</v>
      </c>
      <c r="CE397" s="3">
        <v>45649</v>
      </c>
      <c r="CF397" s="1">
        <v>6.5579999999999998</v>
      </c>
      <c r="CG397" s="3">
        <v>45649</v>
      </c>
      <c r="CH397" s="1">
        <v>6.57</v>
      </c>
      <c r="CI397" s="3">
        <v>45649</v>
      </c>
      <c r="CJ397" s="1">
        <v>6.36</v>
      </c>
      <c r="CK397" s="3">
        <v>45649</v>
      </c>
      <c r="CL397" s="1">
        <v>6.2</v>
      </c>
      <c r="CM397" s="3">
        <v>45649</v>
      </c>
      <c r="CN397" s="1">
        <v>6.17</v>
      </c>
      <c r="CO397" s="3">
        <v>45642</v>
      </c>
      <c r="CP397" s="1">
        <v>5.9725000000000001</v>
      </c>
      <c r="CQ397" s="3">
        <v>45642</v>
      </c>
      <c r="CR397" s="1">
        <v>5.9775</v>
      </c>
      <c r="CS397" s="3">
        <v>45642</v>
      </c>
      <c r="CT397" s="1">
        <v>5.9874999999999998</v>
      </c>
    </row>
    <row r="398" spans="31:98" x14ac:dyDescent="0.2">
      <c r="AE398" s="3">
        <v>45638</v>
      </c>
      <c r="AF398" s="1">
        <v>5.75</v>
      </c>
      <c r="AG398" s="3">
        <v>45622</v>
      </c>
      <c r="AH398" s="1">
        <v>5.85</v>
      </c>
      <c r="AI398" s="3">
        <v>45646</v>
      </c>
      <c r="AJ398" s="2">
        <v>5.8390000000000004</v>
      </c>
      <c r="AK398" s="3">
        <v>45646</v>
      </c>
      <c r="AL398" s="2">
        <v>5.81</v>
      </c>
      <c r="AM398" s="3">
        <v>45646</v>
      </c>
      <c r="AN398" s="2">
        <v>5.7324999999999999</v>
      </c>
      <c r="AO398" s="3">
        <v>45646</v>
      </c>
      <c r="AP398" s="2">
        <v>5.41</v>
      </c>
      <c r="AQ398" s="3">
        <v>45646</v>
      </c>
      <c r="AR398" s="2">
        <v>5.1050000000000004</v>
      </c>
      <c r="AS398" s="3">
        <v>45646</v>
      </c>
      <c r="AT398" s="2">
        <v>4.8250000000000002</v>
      </c>
      <c r="AU398" s="3">
        <v>45646</v>
      </c>
      <c r="AV398" s="2">
        <v>4.6100000000000003</v>
      </c>
      <c r="AW398" s="3">
        <v>45646</v>
      </c>
      <c r="AX398" s="2">
        <v>4.4800000000000004</v>
      </c>
      <c r="AY398" s="3">
        <v>45646</v>
      </c>
      <c r="AZ398" s="2">
        <v>4.4249999999999998</v>
      </c>
      <c r="BB398" s="3">
        <v>45621</v>
      </c>
      <c r="BC398" s="1">
        <v>4</v>
      </c>
      <c r="BD398" s="3">
        <v>45622</v>
      </c>
      <c r="BE398" s="1">
        <v>3.89</v>
      </c>
      <c r="BF398" s="3">
        <v>45646</v>
      </c>
      <c r="BG398" s="1">
        <v>3.93</v>
      </c>
      <c r="BH398" s="3">
        <v>45646</v>
      </c>
      <c r="BI398" s="1">
        <v>3.8650000000000002</v>
      </c>
      <c r="BJ398" s="3">
        <v>45646</v>
      </c>
      <c r="BK398" s="1">
        <v>3.83</v>
      </c>
      <c r="BL398" s="3">
        <v>45646</v>
      </c>
      <c r="BM398" s="1">
        <v>3.64</v>
      </c>
      <c r="BN398" s="3">
        <v>45646</v>
      </c>
      <c r="BO398" s="1">
        <v>3.44</v>
      </c>
      <c r="BP398" s="3">
        <v>45646</v>
      </c>
      <c r="BQ398" s="1">
        <v>3.3580000000000001</v>
      </c>
      <c r="BR398" s="3">
        <v>45646</v>
      </c>
      <c r="BS398" s="1">
        <v>3.3580000000000001</v>
      </c>
      <c r="BT398" s="3">
        <v>45646</v>
      </c>
      <c r="BU398" s="1">
        <v>3.37</v>
      </c>
      <c r="BV398" s="3">
        <v>45646</v>
      </c>
      <c r="BW398" s="1">
        <v>3.3929999999999998</v>
      </c>
      <c r="BY398" s="3">
        <v>45629</v>
      </c>
      <c r="BZ398" s="1">
        <v>6.5</v>
      </c>
      <c r="CA398" s="3">
        <v>45616</v>
      </c>
      <c r="CB398" s="1">
        <v>6.5</v>
      </c>
      <c r="CC398" s="3">
        <v>45646</v>
      </c>
      <c r="CD398" s="1">
        <v>6.55</v>
      </c>
      <c r="CE398" s="3">
        <v>45646</v>
      </c>
      <c r="CF398" s="1">
        <v>6.54</v>
      </c>
      <c r="CG398" s="3">
        <v>45646</v>
      </c>
      <c r="CH398" s="1">
        <v>6.54</v>
      </c>
      <c r="CI398" s="3">
        <v>45646</v>
      </c>
      <c r="CJ398" s="1">
        <v>6.3</v>
      </c>
      <c r="CK398" s="3">
        <v>45646</v>
      </c>
      <c r="CL398" s="1">
        <v>6.12</v>
      </c>
      <c r="CM398" s="3">
        <v>45646</v>
      </c>
      <c r="CN398" s="1">
        <v>6.125</v>
      </c>
      <c r="CO398" s="3">
        <v>45639</v>
      </c>
      <c r="CP398" s="1">
        <v>5.77</v>
      </c>
      <c r="CQ398" s="3">
        <v>45639</v>
      </c>
      <c r="CR398" s="1">
        <v>5.77</v>
      </c>
      <c r="CS398" s="3">
        <v>45639</v>
      </c>
      <c r="CT398" s="1">
        <v>5.7750000000000004</v>
      </c>
    </row>
    <row r="399" spans="31:98" x14ac:dyDescent="0.2">
      <c r="AE399" s="3">
        <v>45637</v>
      </c>
      <c r="AF399" s="1">
        <v>5.75</v>
      </c>
      <c r="AG399" s="3">
        <v>45621</v>
      </c>
      <c r="AH399" s="1">
        <v>5.85</v>
      </c>
      <c r="AI399" s="3">
        <v>45645</v>
      </c>
      <c r="AJ399" s="2">
        <v>5.8425000000000002</v>
      </c>
      <c r="AK399" s="3">
        <v>45645</v>
      </c>
      <c r="AL399" s="2">
        <v>5.81</v>
      </c>
      <c r="AM399" s="3">
        <v>45645</v>
      </c>
      <c r="AN399" s="2">
        <v>5.7275</v>
      </c>
      <c r="AO399" s="3">
        <v>45645</v>
      </c>
      <c r="AP399" s="2">
        <v>5.4349999999999996</v>
      </c>
      <c r="AQ399" s="3">
        <v>45645</v>
      </c>
      <c r="AR399" s="2">
        <v>5.1749999999999998</v>
      </c>
      <c r="AS399" s="3">
        <v>45645</v>
      </c>
      <c r="AT399" s="2">
        <v>4.9124999999999996</v>
      </c>
      <c r="AU399" s="3">
        <v>45645</v>
      </c>
      <c r="AV399" s="2">
        <v>4.7125000000000004</v>
      </c>
      <c r="AW399" s="3">
        <v>45645</v>
      </c>
      <c r="AX399" s="2">
        <v>4.5875000000000004</v>
      </c>
      <c r="AY399" s="3">
        <v>45645</v>
      </c>
      <c r="AZ399" s="2">
        <v>4.5324999999999998</v>
      </c>
      <c r="BB399" s="3">
        <v>45618</v>
      </c>
      <c r="BC399" s="1">
        <v>4</v>
      </c>
      <c r="BD399" s="3">
        <v>45621</v>
      </c>
      <c r="BE399" s="1">
        <v>3.89</v>
      </c>
      <c r="BF399" s="3">
        <v>45645</v>
      </c>
      <c r="BG399" s="1">
        <v>3.93</v>
      </c>
      <c r="BH399" s="3">
        <v>45645</v>
      </c>
      <c r="BI399" s="1">
        <v>3.88</v>
      </c>
      <c r="BJ399" s="3">
        <v>45645</v>
      </c>
      <c r="BK399" s="1">
        <v>3.8450000000000002</v>
      </c>
      <c r="BL399" s="3">
        <v>45645</v>
      </c>
      <c r="BM399" s="1">
        <v>3.65</v>
      </c>
      <c r="BN399" s="3">
        <v>45645</v>
      </c>
      <c r="BO399" s="1">
        <v>3.4630000000000001</v>
      </c>
      <c r="BP399" s="3">
        <v>45645</v>
      </c>
      <c r="BQ399" s="1">
        <v>3.3450000000000002</v>
      </c>
      <c r="BR399" s="3">
        <v>45645</v>
      </c>
      <c r="BS399" s="1">
        <v>3.3479999999999999</v>
      </c>
      <c r="BT399" s="3">
        <v>45645</v>
      </c>
      <c r="BU399" s="1">
        <v>3.363</v>
      </c>
      <c r="BV399" s="3">
        <v>45645</v>
      </c>
      <c r="BW399" s="1">
        <v>3.3849999999999998</v>
      </c>
      <c r="BY399" s="3">
        <v>45628</v>
      </c>
      <c r="BZ399" s="1">
        <v>6.5</v>
      </c>
      <c r="CA399" s="3">
        <v>45615</v>
      </c>
      <c r="CB399" s="1">
        <v>6.5</v>
      </c>
      <c r="CC399" s="3">
        <v>45645</v>
      </c>
      <c r="CD399" s="1">
        <v>6.5330000000000004</v>
      </c>
      <c r="CE399" s="3">
        <v>45645</v>
      </c>
      <c r="CF399" s="1">
        <v>6.548</v>
      </c>
      <c r="CG399" s="3">
        <v>45645</v>
      </c>
      <c r="CH399" s="1">
        <v>6.56</v>
      </c>
      <c r="CI399" s="3">
        <v>45645</v>
      </c>
      <c r="CJ399" s="1">
        <v>6.3</v>
      </c>
      <c r="CK399" s="3">
        <v>45645</v>
      </c>
      <c r="CL399" s="1">
        <v>6.12</v>
      </c>
      <c r="CM399" s="3">
        <v>45645</v>
      </c>
      <c r="CN399" s="1">
        <v>6.1025</v>
      </c>
      <c r="CO399" s="3">
        <v>45638</v>
      </c>
      <c r="CP399" s="1">
        <v>5.6624999999999996</v>
      </c>
      <c r="CQ399" s="3">
        <v>45638</v>
      </c>
      <c r="CR399" s="1">
        <v>5.6624999999999996</v>
      </c>
      <c r="CS399" s="3">
        <v>45638</v>
      </c>
      <c r="CT399" s="1">
        <v>5.6675000000000004</v>
      </c>
    </row>
    <row r="400" spans="31:98" x14ac:dyDescent="0.2">
      <c r="AE400" s="3">
        <v>45636</v>
      </c>
      <c r="AF400" s="1">
        <v>5.75</v>
      </c>
      <c r="AG400" s="3">
        <v>45618</v>
      </c>
      <c r="AH400" s="1">
        <v>5.85</v>
      </c>
      <c r="AI400" s="3">
        <v>45644</v>
      </c>
      <c r="AJ400" s="2">
        <v>5.8425000000000002</v>
      </c>
      <c r="AK400" s="3">
        <v>45644</v>
      </c>
      <c r="AL400" s="2">
        <v>5.7949999999999999</v>
      </c>
      <c r="AM400" s="3">
        <v>45644</v>
      </c>
      <c r="AN400" s="2">
        <v>5.6950000000000003</v>
      </c>
      <c r="AO400" s="3">
        <v>45644</v>
      </c>
      <c r="AP400" s="2">
        <v>5.3550000000000004</v>
      </c>
      <c r="AQ400" s="3">
        <v>45644</v>
      </c>
      <c r="AR400" s="2">
        <v>5.0724999999999998</v>
      </c>
      <c r="AS400" s="3">
        <v>45644</v>
      </c>
      <c r="AT400" s="2">
        <v>4.78</v>
      </c>
      <c r="AU400" s="3">
        <v>45644</v>
      </c>
      <c r="AV400" s="2">
        <v>4.5650000000000004</v>
      </c>
      <c r="AW400" s="3">
        <v>45644</v>
      </c>
      <c r="AX400" s="2">
        <v>4.43</v>
      </c>
      <c r="AY400" s="3">
        <v>45644</v>
      </c>
      <c r="AZ400" s="2">
        <v>4.3724999999999996</v>
      </c>
      <c r="BB400" s="3">
        <v>45617</v>
      </c>
      <c r="BC400" s="1">
        <v>4</v>
      </c>
      <c r="BD400" s="3">
        <v>45618</v>
      </c>
      <c r="BE400" s="1">
        <v>3.9</v>
      </c>
      <c r="BF400" s="3">
        <v>45644</v>
      </c>
      <c r="BG400" s="1">
        <v>3.92</v>
      </c>
      <c r="BH400" s="3">
        <v>45644</v>
      </c>
      <c r="BI400" s="1">
        <v>3.87</v>
      </c>
      <c r="BJ400" s="3">
        <v>45644</v>
      </c>
      <c r="BK400" s="1">
        <v>3.85</v>
      </c>
      <c r="BL400" s="3">
        <v>45644</v>
      </c>
      <c r="BM400" s="1">
        <v>3.66</v>
      </c>
      <c r="BN400" s="3">
        <v>45644</v>
      </c>
      <c r="BO400" s="1">
        <v>3.4849999999999999</v>
      </c>
      <c r="BP400" s="3">
        <v>45644</v>
      </c>
      <c r="BQ400" s="1">
        <v>3.3929999999999998</v>
      </c>
      <c r="BR400" s="3">
        <v>45644</v>
      </c>
      <c r="BS400" s="1">
        <v>3.38</v>
      </c>
      <c r="BT400" s="3">
        <v>45644</v>
      </c>
      <c r="BU400" s="1">
        <v>3.3849999999999998</v>
      </c>
      <c r="BV400" s="3">
        <v>45644</v>
      </c>
      <c r="BW400" s="1">
        <v>3.4049999999999998</v>
      </c>
      <c r="BY400" s="3">
        <v>45625</v>
      </c>
      <c r="BZ400" s="1">
        <v>6.5</v>
      </c>
      <c r="CA400" s="3">
        <v>45614</v>
      </c>
      <c r="CB400" s="1">
        <v>6.5</v>
      </c>
      <c r="CC400" s="3">
        <v>45644</v>
      </c>
      <c r="CD400" s="1">
        <v>6.4989999999999997</v>
      </c>
      <c r="CE400" s="3">
        <v>45644</v>
      </c>
      <c r="CF400" s="1">
        <v>6.4889999999999999</v>
      </c>
      <c r="CG400" s="3">
        <v>45644</v>
      </c>
      <c r="CH400" s="1">
        <v>6.46</v>
      </c>
      <c r="CI400" s="3">
        <v>45644</v>
      </c>
      <c r="CJ400" s="1">
        <v>6.12</v>
      </c>
      <c r="CK400" s="3">
        <v>45644</v>
      </c>
      <c r="CL400" s="1">
        <v>5.88</v>
      </c>
      <c r="CM400" s="3">
        <v>45644</v>
      </c>
      <c r="CN400" s="1">
        <v>5.8949999999999996</v>
      </c>
      <c r="CO400" s="3">
        <v>45637</v>
      </c>
      <c r="CP400" s="1">
        <v>5.7249999999999996</v>
      </c>
      <c r="CQ400" s="3">
        <v>45637</v>
      </c>
      <c r="CR400" s="1">
        <v>5.7249999999999996</v>
      </c>
      <c r="CS400" s="3">
        <v>45637</v>
      </c>
      <c r="CT400" s="1">
        <v>5.73</v>
      </c>
    </row>
    <row r="401" spans="31:98" x14ac:dyDescent="0.2">
      <c r="AE401" s="3">
        <v>45635</v>
      </c>
      <c r="AF401" s="1">
        <v>5.75</v>
      </c>
      <c r="AG401" s="3">
        <v>45617</v>
      </c>
      <c r="AH401" s="1">
        <v>5.85</v>
      </c>
      <c r="AI401" s="3">
        <v>45643</v>
      </c>
      <c r="AJ401" s="2">
        <v>5.8484999999999996</v>
      </c>
      <c r="AK401" s="3">
        <v>45643</v>
      </c>
      <c r="AL401" s="2">
        <v>5.8</v>
      </c>
      <c r="AM401" s="3">
        <v>45643</v>
      </c>
      <c r="AN401" s="2">
        <v>5.73</v>
      </c>
      <c r="AO401" s="3">
        <v>45643</v>
      </c>
      <c r="AP401" s="2">
        <v>5.3975</v>
      </c>
      <c r="AQ401" s="3">
        <v>45643</v>
      </c>
      <c r="AR401" s="2">
        <v>5.13</v>
      </c>
      <c r="AS401" s="3">
        <v>45643</v>
      </c>
      <c r="AT401" s="2">
        <v>4.8499999999999996</v>
      </c>
      <c r="AU401" s="3">
        <v>45643</v>
      </c>
      <c r="AV401" s="2">
        <v>4.6449999999999996</v>
      </c>
      <c r="AW401" s="3">
        <v>45643</v>
      </c>
      <c r="AX401" s="2">
        <v>4.5199999999999996</v>
      </c>
      <c r="AY401" s="3">
        <v>45643</v>
      </c>
      <c r="AZ401" s="2">
        <v>4.4649999999999999</v>
      </c>
      <c r="BB401" s="3">
        <v>45616</v>
      </c>
      <c r="BC401" s="1">
        <v>4</v>
      </c>
      <c r="BD401" s="3">
        <v>45617</v>
      </c>
      <c r="BE401" s="1">
        <v>3.91</v>
      </c>
      <c r="BF401" s="3">
        <v>45643</v>
      </c>
      <c r="BG401" s="1">
        <v>3.93</v>
      </c>
      <c r="BH401" s="3">
        <v>45643</v>
      </c>
      <c r="BI401" s="1">
        <v>3.88</v>
      </c>
      <c r="BJ401" s="3">
        <v>45643</v>
      </c>
      <c r="BK401" s="1">
        <v>3.87</v>
      </c>
      <c r="BL401" s="3">
        <v>45643</v>
      </c>
      <c r="BM401" s="1">
        <v>3.72</v>
      </c>
      <c r="BN401" s="3">
        <v>45643</v>
      </c>
      <c r="BO401" s="1">
        <v>3.6179999999999999</v>
      </c>
      <c r="BP401" s="3">
        <v>45643</v>
      </c>
      <c r="BQ401" s="1">
        <v>3.5150000000000001</v>
      </c>
      <c r="BR401" s="3">
        <v>45643</v>
      </c>
      <c r="BS401" s="1">
        <v>3.508</v>
      </c>
      <c r="BT401" s="3">
        <v>45643</v>
      </c>
      <c r="BU401" s="1">
        <v>3.5150000000000001</v>
      </c>
      <c r="BV401" s="3">
        <v>45643</v>
      </c>
      <c r="BW401" s="1">
        <v>3.53</v>
      </c>
      <c r="BY401" s="3">
        <v>45624</v>
      </c>
      <c r="BZ401" s="1">
        <v>6.5</v>
      </c>
      <c r="CA401" s="3">
        <v>45611</v>
      </c>
      <c r="CB401" s="1">
        <v>6.5</v>
      </c>
      <c r="CC401" s="3">
        <v>45643</v>
      </c>
      <c r="CD401" s="1">
        <v>6.5</v>
      </c>
      <c r="CE401" s="3">
        <v>45643</v>
      </c>
      <c r="CF401" s="1">
        <v>6.492</v>
      </c>
      <c r="CG401" s="3">
        <v>45643</v>
      </c>
      <c r="CH401" s="1">
        <v>6.48</v>
      </c>
      <c r="CI401" s="3">
        <v>45643</v>
      </c>
      <c r="CJ401" s="1">
        <v>6.21</v>
      </c>
      <c r="CK401" s="3">
        <v>45643</v>
      </c>
      <c r="CL401" s="1">
        <v>6</v>
      </c>
      <c r="CM401" s="3">
        <v>45643</v>
      </c>
      <c r="CN401" s="1">
        <v>5.9874999999999998</v>
      </c>
      <c r="CO401" s="3">
        <v>45636</v>
      </c>
      <c r="CP401" s="1">
        <v>5.77</v>
      </c>
      <c r="CQ401" s="3">
        <v>45636</v>
      </c>
      <c r="CR401" s="1">
        <v>5.77</v>
      </c>
      <c r="CS401" s="3">
        <v>45636</v>
      </c>
      <c r="CT401" s="1">
        <v>5.7750000000000004</v>
      </c>
    </row>
    <row r="402" spans="31:98" x14ac:dyDescent="0.2">
      <c r="AE402" s="3">
        <v>45632</v>
      </c>
      <c r="AF402" s="1">
        <v>5.75</v>
      </c>
      <c r="AG402" s="3">
        <v>45616</v>
      </c>
      <c r="AH402" s="1">
        <v>5.85</v>
      </c>
      <c r="AI402" s="3">
        <v>45642</v>
      </c>
      <c r="AJ402" s="2">
        <v>5.843</v>
      </c>
      <c r="AK402" s="3">
        <v>45642</v>
      </c>
      <c r="AL402" s="2">
        <v>5.8049999999999997</v>
      </c>
      <c r="AM402" s="3">
        <v>45642</v>
      </c>
      <c r="AN402" s="2">
        <v>5.7350000000000003</v>
      </c>
      <c r="AO402" s="3">
        <v>45642</v>
      </c>
      <c r="AP402" s="2">
        <v>5.3949999999999996</v>
      </c>
      <c r="AQ402" s="3">
        <v>45642</v>
      </c>
      <c r="AR402" s="2">
        <v>5.09</v>
      </c>
      <c r="AS402" s="3">
        <v>45642</v>
      </c>
      <c r="AT402" s="2">
        <v>4.79</v>
      </c>
      <c r="AU402" s="3">
        <v>45642</v>
      </c>
      <c r="AV402" s="2">
        <v>4.585</v>
      </c>
      <c r="AW402" s="3">
        <v>45642</v>
      </c>
      <c r="AX402" s="2">
        <v>4.4550000000000001</v>
      </c>
      <c r="AY402" s="3">
        <v>45642</v>
      </c>
      <c r="AZ402" s="2">
        <v>4.4000000000000004</v>
      </c>
      <c r="BB402" s="3">
        <v>45615</v>
      </c>
      <c r="BC402" s="1">
        <v>4</v>
      </c>
      <c r="BD402" s="3">
        <v>45616</v>
      </c>
      <c r="BE402" s="1">
        <v>3.92</v>
      </c>
      <c r="BF402" s="3">
        <v>45642</v>
      </c>
      <c r="BG402" s="1">
        <v>3.93</v>
      </c>
      <c r="BH402" s="3">
        <v>45642</v>
      </c>
      <c r="BI402" s="1">
        <v>3.8849999999999998</v>
      </c>
      <c r="BJ402" s="3">
        <v>45642</v>
      </c>
      <c r="BK402" s="1">
        <v>3.87</v>
      </c>
      <c r="BL402" s="3">
        <v>45642</v>
      </c>
      <c r="BM402" s="1">
        <v>3.76</v>
      </c>
      <c r="BN402" s="3">
        <v>45642</v>
      </c>
      <c r="BO402" s="1">
        <v>3.67</v>
      </c>
      <c r="BP402" s="3">
        <v>45642</v>
      </c>
      <c r="BQ402" s="1">
        <v>3.585</v>
      </c>
      <c r="BR402" s="3">
        <v>45642</v>
      </c>
      <c r="BS402" s="1">
        <v>3.57</v>
      </c>
      <c r="BT402" s="3">
        <v>45642</v>
      </c>
      <c r="BU402" s="1">
        <v>3.57</v>
      </c>
      <c r="BV402" s="3">
        <v>45642</v>
      </c>
      <c r="BW402" s="1">
        <v>3.57</v>
      </c>
      <c r="BY402" s="3">
        <v>45622</v>
      </c>
      <c r="BZ402" s="1">
        <v>6.5</v>
      </c>
      <c r="CA402" s="3">
        <v>45610</v>
      </c>
      <c r="CB402" s="1">
        <v>6.5</v>
      </c>
      <c r="CC402" s="3">
        <v>45642</v>
      </c>
      <c r="CD402" s="1">
        <v>6.52</v>
      </c>
      <c r="CE402" s="3">
        <v>45642</v>
      </c>
      <c r="CF402" s="1">
        <v>6.52</v>
      </c>
      <c r="CG402" s="3">
        <v>45642</v>
      </c>
      <c r="CH402" s="1">
        <v>6.5</v>
      </c>
      <c r="CI402" s="3">
        <v>45642</v>
      </c>
      <c r="CJ402" s="1">
        <v>6.19</v>
      </c>
      <c r="CK402" s="3">
        <v>45642</v>
      </c>
      <c r="CL402" s="1">
        <v>5.99</v>
      </c>
      <c r="CM402" s="3">
        <v>45642</v>
      </c>
      <c r="CN402" s="1">
        <v>5.9725000000000001</v>
      </c>
      <c r="CO402" s="3">
        <v>45635</v>
      </c>
      <c r="CP402" s="1">
        <v>5.82</v>
      </c>
      <c r="CQ402" s="3">
        <v>45635</v>
      </c>
      <c r="CR402" s="1">
        <v>5.82</v>
      </c>
      <c r="CS402" s="3">
        <v>45635</v>
      </c>
      <c r="CT402" s="1">
        <v>5.8250000000000002</v>
      </c>
    </row>
    <row r="403" spans="31:98" x14ac:dyDescent="0.2">
      <c r="AE403" s="3">
        <v>45631</v>
      </c>
      <c r="AF403" s="1">
        <v>5.75</v>
      </c>
      <c r="AG403" s="3">
        <v>45615</v>
      </c>
      <c r="AH403" s="1">
        <v>5.85</v>
      </c>
      <c r="AI403" s="3">
        <v>45639</v>
      </c>
      <c r="AJ403" s="2">
        <v>5.8434999999999997</v>
      </c>
      <c r="AK403" s="3">
        <v>45639</v>
      </c>
      <c r="AL403" s="2">
        <v>5.8049999999999997</v>
      </c>
      <c r="AM403" s="3">
        <v>45639</v>
      </c>
      <c r="AN403" s="2">
        <v>5.7249999999999996</v>
      </c>
      <c r="AO403" s="3">
        <v>45639</v>
      </c>
      <c r="AP403" s="2">
        <v>5.37</v>
      </c>
      <c r="AQ403" s="3">
        <v>45639</v>
      </c>
      <c r="AR403" s="2">
        <v>5.0549999999999997</v>
      </c>
      <c r="AS403" s="3">
        <v>45639</v>
      </c>
      <c r="AT403" s="2">
        <v>4.7525000000000004</v>
      </c>
      <c r="AU403" s="3">
        <v>45639</v>
      </c>
      <c r="AV403" s="2">
        <v>4.55</v>
      </c>
      <c r="AW403" s="3">
        <v>45639</v>
      </c>
      <c r="AX403" s="2">
        <v>4.4074999999999998</v>
      </c>
      <c r="AY403" s="3">
        <v>45639</v>
      </c>
      <c r="AZ403" s="2">
        <v>4.3250000000000002</v>
      </c>
      <c r="BB403" s="3">
        <v>45614</v>
      </c>
      <c r="BC403" s="1">
        <v>4</v>
      </c>
      <c r="BD403" s="3">
        <v>45615</v>
      </c>
      <c r="BE403" s="1">
        <v>3.92</v>
      </c>
      <c r="BF403" s="3">
        <v>45639</v>
      </c>
      <c r="BG403" s="1">
        <v>3.92</v>
      </c>
      <c r="BH403" s="3">
        <v>45639</v>
      </c>
      <c r="BI403" s="1">
        <v>3.883</v>
      </c>
      <c r="BJ403" s="3">
        <v>45639</v>
      </c>
      <c r="BK403" s="1">
        <v>3.8730000000000002</v>
      </c>
      <c r="BL403" s="3">
        <v>45639</v>
      </c>
      <c r="BM403" s="1">
        <v>3.7679999999999998</v>
      </c>
      <c r="BN403" s="3">
        <v>45639</v>
      </c>
      <c r="BO403" s="1">
        <v>3.653</v>
      </c>
      <c r="BP403" s="3">
        <v>45639</v>
      </c>
      <c r="BQ403" s="1">
        <v>3.5550000000000002</v>
      </c>
      <c r="BR403" s="3">
        <v>45639</v>
      </c>
      <c r="BS403" s="1">
        <v>3.5350000000000001</v>
      </c>
      <c r="BT403" s="3">
        <v>45639</v>
      </c>
      <c r="BU403" s="1">
        <v>3.5350000000000001</v>
      </c>
      <c r="BV403" s="3">
        <v>45639</v>
      </c>
      <c r="BW403" s="1">
        <v>3.5350000000000001</v>
      </c>
      <c r="BY403" s="3">
        <v>45621</v>
      </c>
      <c r="BZ403" s="1">
        <v>6.5</v>
      </c>
      <c r="CA403" s="3">
        <v>45609</v>
      </c>
      <c r="CB403" s="1">
        <v>6.5</v>
      </c>
      <c r="CC403" s="3">
        <v>45639</v>
      </c>
      <c r="CD403" s="1">
        <v>6.508</v>
      </c>
      <c r="CE403" s="3">
        <v>45639</v>
      </c>
      <c r="CF403" s="1">
        <v>6.4969999999999999</v>
      </c>
      <c r="CG403" s="3">
        <v>45639</v>
      </c>
      <c r="CH403" s="1">
        <v>6.45</v>
      </c>
      <c r="CI403" s="3">
        <v>45639</v>
      </c>
      <c r="CJ403" s="1">
        <v>6.09</v>
      </c>
      <c r="CK403" s="3">
        <v>45639</v>
      </c>
      <c r="CL403" s="1">
        <v>5.8</v>
      </c>
      <c r="CM403" s="3">
        <v>45639</v>
      </c>
      <c r="CN403" s="1">
        <v>5.7750000000000004</v>
      </c>
      <c r="CO403" s="3">
        <v>45632</v>
      </c>
      <c r="CP403" s="1">
        <v>5.8849999999999998</v>
      </c>
      <c r="CQ403" s="3">
        <v>45632</v>
      </c>
      <c r="CR403" s="1">
        <v>5.8849999999999998</v>
      </c>
      <c r="CS403" s="3">
        <v>45632</v>
      </c>
      <c r="CT403" s="1">
        <v>5.89</v>
      </c>
    </row>
    <row r="404" spans="31:98" x14ac:dyDescent="0.2">
      <c r="AE404" s="3">
        <v>45630</v>
      </c>
      <c r="AF404" s="1">
        <v>5.75</v>
      </c>
      <c r="AG404" s="3">
        <v>45614</v>
      </c>
      <c r="AH404" s="1">
        <v>5.85</v>
      </c>
      <c r="AI404" s="3">
        <v>45638</v>
      </c>
      <c r="AJ404" s="2">
        <v>5.8384999999999998</v>
      </c>
      <c r="AK404" s="3">
        <v>45638</v>
      </c>
      <c r="AL404" s="2">
        <v>5.7925000000000004</v>
      </c>
      <c r="AM404" s="3">
        <v>45638</v>
      </c>
      <c r="AN404" s="2">
        <v>5.71</v>
      </c>
      <c r="AO404" s="3">
        <v>45638</v>
      </c>
      <c r="AP404" s="2">
        <v>5.3075000000000001</v>
      </c>
      <c r="AQ404" s="3">
        <v>45638</v>
      </c>
      <c r="AR404" s="2">
        <v>4.9550000000000001</v>
      </c>
      <c r="AS404" s="3">
        <v>45638</v>
      </c>
      <c r="AT404" s="2">
        <v>4.6399999999999997</v>
      </c>
      <c r="AU404" s="3">
        <v>45638</v>
      </c>
      <c r="AV404" s="2">
        <v>4.4325000000000001</v>
      </c>
      <c r="AW404" s="3">
        <v>45638</v>
      </c>
      <c r="AX404" s="2">
        <v>4.29</v>
      </c>
      <c r="AY404" s="3">
        <v>45638</v>
      </c>
      <c r="AZ404" s="2">
        <v>4.2050000000000001</v>
      </c>
      <c r="BB404" s="3">
        <v>45611</v>
      </c>
      <c r="BC404" s="1">
        <v>4</v>
      </c>
      <c r="BD404" s="3">
        <v>45614</v>
      </c>
      <c r="BE404" s="1">
        <v>3.92</v>
      </c>
      <c r="BF404" s="3">
        <v>45638</v>
      </c>
      <c r="BG404" s="1">
        <v>3.915</v>
      </c>
      <c r="BH404" s="3">
        <v>45638</v>
      </c>
      <c r="BI404" s="1">
        <v>3.8679999999999999</v>
      </c>
      <c r="BJ404" s="3">
        <v>45638</v>
      </c>
      <c r="BK404" s="1">
        <v>3.86</v>
      </c>
      <c r="BL404" s="3">
        <v>45638</v>
      </c>
      <c r="BM404" s="1">
        <v>3.7029999999999998</v>
      </c>
      <c r="BN404" s="3">
        <v>45638</v>
      </c>
      <c r="BO404" s="1">
        <v>3.5680000000000001</v>
      </c>
      <c r="BP404" s="3">
        <v>45638</v>
      </c>
      <c r="BQ404" s="1">
        <v>3.4180000000000001</v>
      </c>
      <c r="BR404" s="3">
        <v>45638</v>
      </c>
      <c r="BS404" s="1">
        <v>3.403</v>
      </c>
      <c r="BT404" s="3">
        <v>45638</v>
      </c>
      <c r="BU404" s="1">
        <v>3.403</v>
      </c>
      <c r="BV404" s="3">
        <v>45638</v>
      </c>
      <c r="BW404" s="1">
        <v>3.4049999999999998</v>
      </c>
      <c r="BY404" s="3">
        <v>45618</v>
      </c>
      <c r="BZ404" s="1">
        <v>6.5</v>
      </c>
      <c r="CA404" s="3">
        <v>45608</v>
      </c>
      <c r="CB404" s="1">
        <v>6.51</v>
      </c>
      <c r="CC404" s="3">
        <v>45638</v>
      </c>
      <c r="CD404" s="1">
        <v>6.4939999999999998</v>
      </c>
      <c r="CE404" s="3">
        <v>45638</v>
      </c>
      <c r="CF404" s="1">
        <v>6.4480000000000004</v>
      </c>
      <c r="CG404" s="3">
        <v>45638</v>
      </c>
      <c r="CH404" s="1">
        <v>6.39</v>
      </c>
      <c r="CI404" s="3">
        <v>45638</v>
      </c>
      <c r="CJ404" s="1">
        <v>6.02</v>
      </c>
      <c r="CK404" s="3">
        <v>45638</v>
      </c>
      <c r="CL404" s="1">
        <v>5.67</v>
      </c>
      <c r="CM404" s="3">
        <v>45638</v>
      </c>
      <c r="CN404" s="1">
        <v>5.6675000000000004</v>
      </c>
      <c r="CO404" s="3">
        <v>45631</v>
      </c>
      <c r="CP404" s="1">
        <v>5.8849999999999998</v>
      </c>
      <c r="CQ404" s="3">
        <v>45631</v>
      </c>
      <c r="CR404" s="1">
        <v>5.8849999999999998</v>
      </c>
      <c r="CS404" s="3">
        <v>45631</v>
      </c>
      <c r="CT404" s="1">
        <v>5.89</v>
      </c>
    </row>
    <row r="405" spans="31:98" x14ac:dyDescent="0.2">
      <c r="AE405" s="3">
        <v>45629</v>
      </c>
      <c r="AF405" s="1">
        <v>5.75</v>
      </c>
      <c r="AG405" s="3">
        <v>45611</v>
      </c>
      <c r="AH405" s="1">
        <v>5.85</v>
      </c>
      <c r="AI405" s="3">
        <v>45637</v>
      </c>
      <c r="AJ405" s="2">
        <v>5.84</v>
      </c>
      <c r="AK405" s="3">
        <v>45637</v>
      </c>
      <c r="AL405" s="2">
        <v>5.7925000000000004</v>
      </c>
      <c r="AM405" s="3">
        <v>45637</v>
      </c>
      <c r="AN405" s="2">
        <v>5.7474999999999996</v>
      </c>
      <c r="AO405" s="3">
        <v>45637</v>
      </c>
      <c r="AP405" s="2">
        <v>5.2925000000000004</v>
      </c>
      <c r="AQ405" s="3">
        <v>45637</v>
      </c>
      <c r="AR405" s="2">
        <v>4.9375</v>
      </c>
      <c r="AS405" s="3">
        <v>45637</v>
      </c>
      <c r="AT405" s="2">
        <v>4.59</v>
      </c>
      <c r="AU405" s="3">
        <v>45637</v>
      </c>
      <c r="AV405" s="2">
        <v>4.3899999999999997</v>
      </c>
      <c r="AW405" s="3">
        <v>45637</v>
      </c>
      <c r="AX405" s="2">
        <v>4.2474999999999996</v>
      </c>
      <c r="AY405" s="3">
        <v>45637</v>
      </c>
      <c r="AZ405" s="2">
        <v>4.1624999999999996</v>
      </c>
      <c r="BB405" s="3">
        <v>45610</v>
      </c>
      <c r="BC405" s="1">
        <v>4</v>
      </c>
      <c r="BD405" s="3">
        <v>45611</v>
      </c>
      <c r="BE405" s="1">
        <v>3.93</v>
      </c>
      <c r="BF405" s="3">
        <v>45637</v>
      </c>
      <c r="BG405" s="1">
        <v>3.89</v>
      </c>
      <c r="BH405" s="3">
        <v>45637</v>
      </c>
      <c r="BI405" s="1">
        <v>3.85</v>
      </c>
      <c r="BJ405" s="3">
        <v>45637</v>
      </c>
      <c r="BK405" s="1">
        <v>3.83</v>
      </c>
      <c r="BL405" s="3">
        <v>45637</v>
      </c>
      <c r="BM405" s="1">
        <v>3.673</v>
      </c>
      <c r="BN405" s="3">
        <v>45637</v>
      </c>
      <c r="BO405" s="1">
        <v>3.53</v>
      </c>
      <c r="BP405" s="3">
        <v>45637</v>
      </c>
      <c r="BQ405" s="1">
        <v>3.3730000000000002</v>
      </c>
      <c r="BR405" s="3">
        <v>45637</v>
      </c>
      <c r="BS405" s="1">
        <v>3.3580000000000001</v>
      </c>
      <c r="BT405" s="3">
        <v>45637</v>
      </c>
      <c r="BU405" s="1">
        <v>3.36</v>
      </c>
      <c r="BV405" s="3">
        <v>45637</v>
      </c>
      <c r="BW405" s="1">
        <v>3.3650000000000002</v>
      </c>
      <c r="BY405" s="3">
        <v>45617</v>
      </c>
      <c r="BZ405" s="1">
        <v>6.5</v>
      </c>
      <c r="CA405" s="3">
        <v>45607</v>
      </c>
      <c r="CB405" s="1">
        <v>6.51</v>
      </c>
      <c r="CC405" s="3">
        <v>45637</v>
      </c>
      <c r="CD405" s="1">
        <v>6.51</v>
      </c>
      <c r="CE405" s="3">
        <v>45637</v>
      </c>
      <c r="CF405" s="1">
        <v>6.4790000000000001</v>
      </c>
      <c r="CG405" s="3">
        <v>45637</v>
      </c>
      <c r="CH405" s="1">
        <v>6.44</v>
      </c>
      <c r="CI405" s="3">
        <v>45637</v>
      </c>
      <c r="CJ405" s="1">
        <v>6.09</v>
      </c>
      <c r="CK405" s="3">
        <v>45637</v>
      </c>
      <c r="CL405" s="1">
        <v>5.76</v>
      </c>
      <c r="CM405" s="3">
        <v>45637</v>
      </c>
      <c r="CN405" s="1">
        <v>5.73</v>
      </c>
      <c r="CO405" s="3">
        <v>45630</v>
      </c>
      <c r="CP405" s="1">
        <v>5.9249999999999998</v>
      </c>
      <c r="CQ405" s="3">
        <v>45630</v>
      </c>
      <c r="CR405" s="1">
        <v>5.9249999999999998</v>
      </c>
      <c r="CS405" s="3">
        <v>45630</v>
      </c>
      <c r="CT405" s="1">
        <v>5.93</v>
      </c>
    </row>
    <row r="406" spans="31:98" x14ac:dyDescent="0.2">
      <c r="AE406" s="3">
        <v>45628</v>
      </c>
      <c r="AF406" s="1">
        <v>5.75</v>
      </c>
      <c r="AG406" s="3">
        <v>45610</v>
      </c>
      <c r="AH406" s="1">
        <v>5.85</v>
      </c>
      <c r="AI406" s="3">
        <v>45636</v>
      </c>
      <c r="AJ406" s="2">
        <v>5.8425000000000002</v>
      </c>
      <c r="AK406" s="3">
        <v>45636</v>
      </c>
      <c r="AL406" s="2">
        <v>5.7925000000000004</v>
      </c>
      <c r="AM406" s="3">
        <v>45636</v>
      </c>
      <c r="AN406" s="2">
        <v>5.75</v>
      </c>
      <c r="AO406" s="3">
        <v>45636</v>
      </c>
      <c r="AP406" s="2">
        <v>5.2925000000000004</v>
      </c>
      <c r="AQ406" s="3">
        <v>45636</v>
      </c>
      <c r="AR406" s="2">
        <v>4.9313000000000002</v>
      </c>
      <c r="AS406" s="3">
        <v>45636</v>
      </c>
      <c r="AT406" s="2">
        <v>4.5750000000000002</v>
      </c>
      <c r="AU406" s="3">
        <v>45636</v>
      </c>
      <c r="AV406" s="2">
        <v>4.38</v>
      </c>
      <c r="AW406" s="3">
        <v>45636</v>
      </c>
      <c r="AX406" s="2">
        <v>4.2374999999999998</v>
      </c>
      <c r="AY406" s="3">
        <v>45636</v>
      </c>
      <c r="AZ406" s="2">
        <v>4.1524999999999999</v>
      </c>
      <c r="BB406" s="3">
        <v>45609</v>
      </c>
      <c r="BC406" s="1">
        <v>4</v>
      </c>
      <c r="BD406" s="3">
        <v>45610</v>
      </c>
      <c r="BE406" s="1">
        <v>3.93</v>
      </c>
      <c r="BF406" s="3">
        <v>45636</v>
      </c>
      <c r="BG406" s="1">
        <v>3.88</v>
      </c>
      <c r="BH406" s="3">
        <v>45636</v>
      </c>
      <c r="BI406" s="1">
        <v>3.843</v>
      </c>
      <c r="BJ406" s="3">
        <v>45636</v>
      </c>
      <c r="BK406" s="1">
        <v>3.8250000000000002</v>
      </c>
      <c r="BL406" s="3">
        <v>45636</v>
      </c>
      <c r="BM406" s="1">
        <v>3.6850000000000001</v>
      </c>
      <c r="BN406" s="3">
        <v>45636</v>
      </c>
      <c r="BO406" s="1">
        <v>3.5350000000000001</v>
      </c>
      <c r="BP406" s="3">
        <v>45636</v>
      </c>
      <c r="BQ406" s="1">
        <v>3.38</v>
      </c>
      <c r="BR406" s="3">
        <v>45636</v>
      </c>
      <c r="BS406" s="1">
        <v>3.3650000000000002</v>
      </c>
      <c r="BT406" s="3">
        <v>45636</v>
      </c>
      <c r="BU406" s="1">
        <v>3.3650000000000002</v>
      </c>
      <c r="BV406" s="3">
        <v>45636</v>
      </c>
      <c r="BW406" s="1">
        <v>3.3650000000000002</v>
      </c>
      <c r="BY406" s="3">
        <v>45616</v>
      </c>
      <c r="BZ406" s="1">
        <v>6.5</v>
      </c>
      <c r="CA406" s="3">
        <v>45604</v>
      </c>
      <c r="CB406" s="1">
        <v>6.51</v>
      </c>
      <c r="CC406" s="3">
        <v>45636</v>
      </c>
      <c r="CD406" s="1">
        <v>6.52</v>
      </c>
      <c r="CE406" s="3">
        <v>45636</v>
      </c>
      <c r="CF406" s="1">
        <v>6.5</v>
      </c>
      <c r="CG406" s="3">
        <v>45636</v>
      </c>
      <c r="CH406" s="1">
        <v>6.47</v>
      </c>
      <c r="CI406" s="3">
        <v>45636</v>
      </c>
      <c r="CJ406" s="1">
        <v>6.13</v>
      </c>
      <c r="CK406" s="3">
        <v>45636</v>
      </c>
      <c r="CL406" s="1">
        <v>5.82</v>
      </c>
      <c r="CM406" s="3">
        <v>45636</v>
      </c>
      <c r="CN406" s="1">
        <v>5.7750000000000004</v>
      </c>
      <c r="CO406" s="3">
        <v>45629</v>
      </c>
      <c r="CP406" s="1">
        <v>5.8</v>
      </c>
      <c r="CQ406" s="3">
        <v>45629</v>
      </c>
      <c r="CR406" s="1">
        <v>5.7949999999999999</v>
      </c>
      <c r="CS406" s="3">
        <v>45629</v>
      </c>
      <c r="CT406" s="1">
        <v>5.81</v>
      </c>
    </row>
    <row r="407" spans="31:98" x14ac:dyDescent="0.2">
      <c r="AE407" s="3">
        <v>45625</v>
      </c>
      <c r="AF407" s="1">
        <v>5.75</v>
      </c>
      <c r="AG407" s="3">
        <v>45609</v>
      </c>
      <c r="AH407" s="1">
        <v>5.85</v>
      </c>
      <c r="AI407" s="3">
        <v>45635</v>
      </c>
      <c r="AJ407" s="2">
        <v>5.8365</v>
      </c>
      <c r="AK407" s="3">
        <v>45635</v>
      </c>
      <c r="AL407" s="2">
        <v>5.7925000000000004</v>
      </c>
      <c r="AM407" s="3">
        <v>45635</v>
      </c>
      <c r="AN407" s="2">
        <v>5.7450000000000001</v>
      </c>
      <c r="AO407" s="3">
        <v>45635</v>
      </c>
      <c r="AP407" s="2">
        <v>5.2850000000000001</v>
      </c>
      <c r="AQ407" s="3">
        <v>45635</v>
      </c>
      <c r="AR407" s="2">
        <v>4.9349999999999996</v>
      </c>
      <c r="AS407" s="3">
        <v>45635</v>
      </c>
      <c r="AT407" s="2">
        <v>4.59</v>
      </c>
      <c r="AU407" s="3">
        <v>45635</v>
      </c>
      <c r="AV407" s="2">
        <v>4.3949999999999996</v>
      </c>
      <c r="AW407" s="3">
        <v>45635</v>
      </c>
      <c r="AX407" s="2">
        <v>4.2549999999999999</v>
      </c>
      <c r="AY407" s="3">
        <v>45635</v>
      </c>
      <c r="AZ407" s="2">
        <v>4.17</v>
      </c>
      <c r="BB407" s="3">
        <v>45608</v>
      </c>
      <c r="BC407" s="1">
        <v>4</v>
      </c>
      <c r="BD407" s="3">
        <v>45609</v>
      </c>
      <c r="BE407" s="1">
        <v>3.94</v>
      </c>
      <c r="BF407" s="3">
        <v>45635</v>
      </c>
      <c r="BG407" s="1">
        <v>3.915</v>
      </c>
      <c r="BH407" s="3">
        <v>45635</v>
      </c>
      <c r="BI407" s="1">
        <v>3.88</v>
      </c>
      <c r="BJ407" s="3">
        <v>45635</v>
      </c>
      <c r="BK407" s="1">
        <v>3.875</v>
      </c>
      <c r="BL407" s="3">
        <v>45635</v>
      </c>
      <c r="BM407" s="1">
        <v>3.74</v>
      </c>
      <c r="BN407" s="3">
        <v>45635</v>
      </c>
      <c r="BO407" s="1">
        <v>3.6</v>
      </c>
      <c r="BP407" s="3">
        <v>45635</v>
      </c>
      <c r="BQ407" s="1">
        <v>3.45</v>
      </c>
      <c r="BR407" s="3">
        <v>45635</v>
      </c>
      <c r="BS407" s="1">
        <v>3.44</v>
      </c>
      <c r="BT407" s="3">
        <v>45635</v>
      </c>
      <c r="BU407" s="1">
        <v>3.4449999999999998</v>
      </c>
      <c r="BV407" s="3">
        <v>45635</v>
      </c>
      <c r="BW407" s="1">
        <v>3.4529999999999998</v>
      </c>
      <c r="BY407" s="3">
        <v>45615</v>
      </c>
      <c r="BZ407" s="1">
        <v>6.5</v>
      </c>
      <c r="CA407" s="3">
        <v>45603</v>
      </c>
      <c r="CB407" s="1">
        <v>6.54</v>
      </c>
      <c r="CC407" s="3">
        <v>45635</v>
      </c>
      <c r="CD407" s="1">
        <v>6.55</v>
      </c>
      <c r="CE407" s="3">
        <v>45635</v>
      </c>
      <c r="CF407" s="1">
        <v>6.53</v>
      </c>
      <c r="CG407" s="3">
        <v>45635</v>
      </c>
      <c r="CH407" s="1">
        <v>6.5</v>
      </c>
      <c r="CI407" s="3">
        <v>45635</v>
      </c>
      <c r="CJ407" s="1">
        <v>6.18</v>
      </c>
      <c r="CK407" s="3">
        <v>45635</v>
      </c>
      <c r="CL407" s="1">
        <v>5.89</v>
      </c>
      <c r="CM407" s="3">
        <v>45635</v>
      </c>
      <c r="CN407" s="1">
        <v>5.8250000000000002</v>
      </c>
      <c r="CO407" s="3">
        <v>45628</v>
      </c>
      <c r="CP407" s="1">
        <v>5.79</v>
      </c>
      <c r="CQ407" s="3">
        <v>45628</v>
      </c>
      <c r="CR407" s="1">
        <v>5.7850000000000001</v>
      </c>
      <c r="CS407" s="3">
        <v>45628</v>
      </c>
      <c r="CT407" s="1">
        <v>5.8</v>
      </c>
    </row>
    <row r="408" spans="31:98" x14ac:dyDescent="0.2">
      <c r="AE408" s="3">
        <v>45624</v>
      </c>
      <c r="AF408" s="1">
        <v>5.75</v>
      </c>
      <c r="AG408" s="3">
        <v>45608</v>
      </c>
      <c r="AH408" s="1">
        <v>5.85</v>
      </c>
      <c r="AI408" s="3">
        <v>45632</v>
      </c>
      <c r="AJ408" s="2">
        <v>5.8449999999999998</v>
      </c>
      <c r="AK408" s="3">
        <v>45632</v>
      </c>
      <c r="AL408" s="2">
        <v>5.79</v>
      </c>
      <c r="AM408" s="3">
        <v>45632</v>
      </c>
      <c r="AN408" s="2">
        <v>5.73</v>
      </c>
      <c r="AO408" s="3">
        <v>45632</v>
      </c>
      <c r="AP408" s="2">
        <v>5.2649999999999997</v>
      </c>
      <c r="AQ408" s="3">
        <v>45632</v>
      </c>
      <c r="AR408" s="2">
        <v>4.9349999999999996</v>
      </c>
      <c r="AS408" s="3">
        <v>45632</v>
      </c>
      <c r="AT408" s="2">
        <v>4.6074999999999999</v>
      </c>
      <c r="AU408" s="3">
        <v>45632</v>
      </c>
      <c r="AV408" s="2">
        <v>4.4225000000000003</v>
      </c>
      <c r="AW408" s="3">
        <v>45632</v>
      </c>
      <c r="AX408" s="2">
        <v>4.2824999999999998</v>
      </c>
      <c r="AY408" s="3">
        <v>45632</v>
      </c>
      <c r="AZ408" s="2">
        <v>4.1974999999999998</v>
      </c>
      <c r="BB408" s="3">
        <v>45607</v>
      </c>
      <c r="BC408" s="1">
        <v>4</v>
      </c>
      <c r="BD408" s="3">
        <v>45608</v>
      </c>
      <c r="BE408" s="1">
        <v>3.94</v>
      </c>
      <c r="BF408" s="3">
        <v>45632</v>
      </c>
      <c r="BG408" s="1">
        <v>3.9</v>
      </c>
      <c r="BH408" s="3">
        <v>45632</v>
      </c>
      <c r="BI408" s="1">
        <v>3.895</v>
      </c>
      <c r="BJ408" s="3">
        <v>45632</v>
      </c>
      <c r="BK408" s="1">
        <v>3.85</v>
      </c>
      <c r="BL408" s="3">
        <v>45632</v>
      </c>
      <c r="BM408" s="1">
        <v>3.72</v>
      </c>
      <c r="BN408" s="3">
        <v>45632</v>
      </c>
      <c r="BO408" s="1">
        <v>3.53</v>
      </c>
      <c r="BP408" s="3">
        <v>45632</v>
      </c>
      <c r="BQ408" s="1">
        <v>3.3849999999999998</v>
      </c>
      <c r="BR408" s="3">
        <v>45632</v>
      </c>
      <c r="BS408" s="1">
        <v>3.38</v>
      </c>
      <c r="BT408" s="3">
        <v>45632</v>
      </c>
      <c r="BU408" s="1">
        <v>3.3849999999999998</v>
      </c>
      <c r="BV408" s="3">
        <v>45632</v>
      </c>
      <c r="BW408" s="1">
        <v>3.395</v>
      </c>
      <c r="BY408" s="3">
        <v>45614</v>
      </c>
      <c r="BZ408" s="1">
        <v>6.5</v>
      </c>
      <c r="CA408" s="3">
        <v>45602</v>
      </c>
      <c r="CB408" s="1">
        <v>6.54</v>
      </c>
      <c r="CC408" s="3">
        <v>45632</v>
      </c>
      <c r="CD408" s="1">
        <v>6.56</v>
      </c>
      <c r="CE408" s="3">
        <v>45632</v>
      </c>
      <c r="CF408" s="1">
        <v>6.55</v>
      </c>
      <c r="CG408" s="3">
        <v>45632</v>
      </c>
      <c r="CH408" s="1">
        <v>6.53</v>
      </c>
      <c r="CI408" s="3">
        <v>45632</v>
      </c>
      <c r="CJ408" s="1">
        <v>6.21</v>
      </c>
      <c r="CK408" s="3">
        <v>45632</v>
      </c>
      <c r="CL408" s="1">
        <v>5.92</v>
      </c>
      <c r="CM408" s="3">
        <v>45632</v>
      </c>
      <c r="CN408" s="1">
        <v>5.89</v>
      </c>
      <c r="CO408" s="3">
        <v>45625</v>
      </c>
      <c r="CP408" s="1">
        <v>5.79</v>
      </c>
      <c r="CQ408" s="3">
        <v>45625</v>
      </c>
      <c r="CR408" s="1">
        <v>5.7850000000000001</v>
      </c>
      <c r="CS408" s="3">
        <v>45625</v>
      </c>
      <c r="CT408" s="1">
        <v>5.8</v>
      </c>
    </row>
    <row r="409" spans="31:98" x14ac:dyDescent="0.2">
      <c r="AE409" s="3">
        <v>45623</v>
      </c>
      <c r="AF409" s="1">
        <v>5.75</v>
      </c>
      <c r="AG409" s="3">
        <v>45604</v>
      </c>
      <c r="AH409" s="1">
        <v>5.84</v>
      </c>
      <c r="AI409" s="3">
        <v>45631</v>
      </c>
      <c r="AJ409" s="2">
        <v>5.8502999999999998</v>
      </c>
      <c r="AK409" s="3">
        <v>45631</v>
      </c>
      <c r="AL409" s="2">
        <v>5.8250000000000002</v>
      </c>
      <c r="AM409" s="3">
        <v>45631</v>
      </c>
      <c r="AN409" s="2">
        <v>5.7850000000000001</v>
      </c>
      <c r="AO409" s="3">
        <v>45631</v>
      </c>
      <c r="AP409" s="2">
        <v>5.3049999999999997</v>
      </c>
      <c r="AQ409" s="3">
        <v>45631</v>
      </c>
      <c r="AR409" s="2">
        <v>4.9450000000000003</v>
      </c>
      <c r="AS409" s="3">
        <v>45631</v>
      </c>
      <c r="AT409" s="2">
        <v>4.6224999999999996</v>
      </c>
      <c r="AU409" s="3">
        <v>45631</v>
      </c>
      <c r="AV409" s="2">
        <v>4.45</v>
      </c>
      <c r="AW409" s="3">
        <v>45631</v>
      </c>
      <c r="AX409" s="2">
        <v>4.3174999999999999</v>
      </c>
      <c r="AY409" s="3">
        <v>45631</v>
      </c>
      <c r="AZ409" s="2">
        <v>4.2474999999999996</v>
      </c>
      <c r="BB409" s="3">
        <v>45604</v>
      </c>
      <c r="BC409" s="1">
        <v>4</v>
      </c>
      <c r="BD409" s="3">
        <v>45607</v>
      </c>
      <c r="BE409" s="1">
        <v>3.94</v>
      </c>
      <c r="BF409" s="3">
        <v>45631</v>
      </c>
      <c r="BG409" s="1">
        <v>3.8849999999999998</v>
      </c>
      <c r="BH409" s="3">
        <v>45631</v>
      </c>
      <c r="BI409" s="1">
        <v>3.8780000000000001</v>
      </c>
      <c r="BJ409" s="3">
        <v>45631</v>
      </c>
      <c r="BK409" s="1">
        <v>3.82</v>
      </c>
      <c r="BL409" s="3">
        <v>45631</v>
      </c>
      <c r="BM409" s="1">
        <v>3.67</v>
      </c>
      <c r="BN409" s="3">
        <v>45631</v>
      </c>
      <c r="BO409" s="1">
        <v>3.4929999999999999</v>
      </c>
      <c r="BP409" s="3">
        <v>45631</v>
      </c>
      <c r="BQ409" s="1">
        <v>3.3879999999999999</v>
      </c>
      <c r="BR409" s="3">
        <v>45631</v>
      </c>
      <c r="BS409" s="1">
        <v>3.3929999999999998</v>
      </c>
      <c r="BT409" s="3">
        <v>45631</v>
      </c>
      <c r="BU409" s="1">
        <v>3.4079999999999999</v>
      </c>
      <c r="BV409" s="3">
        <v>45631</v>
      </c>
      <c r="BW409" s="1">
        <v>3.4350000000000001</v>
      </c>
      <c r="BY409" s="3">
        <v>45611</v>
      </c>
      <c r="BZ409" s="1">
        <v>6.5</v>
      </c>
      <c r="CA409" s="3">
        <v>45601</v>
      </c>
      <c r="CB409" s="1">
        <v>6.51</v>
      </c>
      <c r="CC409" s="3">
        <v>45631</v>
      </c>
      <c r="CD409" s="1">
        <v>6.5609999999999999</v>
      </c>
      <c r="CE409" s="3">
        <v>45631</v>
      </c>
      <c r="CF409" s="1">
        <v>6.5510000000000002</v>
      </c>
      <c r="CG409" s="3">
        <v>45631</v>
      </c>
      <c r="CH409" s="1">
        <v>6.53</v>
      </c>
      <c r="CI409" s="3">
        <v>45631</v>
      </c>
      <c r="CJ409" s="1">
        <v>6.21</v>
      </c>
      <c r="CK409" s="3">
        <v>45631</v>
      </c>
      <c r="CL409" s="1">
        <v>5.92</v>
      </c>
      <c r="CM409" s="3">
        <v>45631</v>
      </c>
      <c r="CN409" s="1">
        <v>5.89</v>
      </c>
      <c r="CO409" s="3">
        <v>45624</v>
      </c>
      <c r="CP409" s="1">
        <v>5.8375000000000004</v>
      </c>
      <c r="CQ409" s="3">
        <v>45624</v>
      </c>
      <c r="CR409" s="1">
        <v>5.83</v>
      </c>
      <c r="CS409" s="3">
        <v>45624</v>
      </c>
      <c r="CT409" s="1">
        <v>5.8449999999999998</v>
      </c>
    </row>
    <row r="410" spans="31:98" x14ac:dyDescent="0.2">
      <c r="AE410" s="3">
        <v>45622</v>
      </c>
      <c r="AF410" s="1">
        <v>5.75</v>
      </c>
      <c r="AG410" s="3">
        <v>45603</v>
      </c>
      <c r="AH410" s="1">
        <v>5.83</v>
      </c>
      <c r="AI410" s="3">
        <v>45630</v>
      </c>
      <c r="AJ410" s="2">
        <v>5.8342999999999998</v>
      </c>
      <c r="AK410" s="3">
        <v>45630</v>
      </c>
      <c r="AL410" s="2">
        <v>5.76</v>
      </c>
      <c r="AM410" s="3">
        <v>45630</v>
      </c>
      <c r="AN410" s="2">
        <v>5.6224999999999996</v>
      </c>
      <c r="AO410" s="3">
        <v>45630</v>
      </c>
      <c r="AP410" s="2">
        <v>5.0949999999999998</v>
      </c>
      <c r="AQ410" s="3">
        <v>45630</v>
      </c>
      <c r="AR410" s="2">
        <v>4.6725000000000003</v>
      </c>
      <c r="AS410" s="3">
        <v>45630</v>
      </c>
      <c r="AT410" s="2">
        <v>4.3724999999999996</v>
      </c>
      <c r="AU410" s="3">
        <v>45630</v>
      </c>
      <c r="AV410" s="2">
        <v>4.2374999999999998</v>
      </c>
      <c r="AW410" s="3">
        <v>45630</v>
      </c>
      <c r="AX410" s="2">
        <v>4.12</v>
      </c>
      <c r="AY410" s="3">
        <v>45630</v>
      </c>
      <c r="AZ410" s="2">
        <v>4.09</v>
      </c>
      <c r="BB410" s="3">
        <v>45603</v>
      </c>
      <c r="BC410" s="1">
        <v>4.25</v>
      </c>
      <c r="BD410" s="3">
        <v>45604</v>
      </c>
      <c r="BE410" s="1">
        <v>3.95</v>
      </c>
      <c r="BF410" s="3">
        <v>45630</v>
      </c>
      <c r="BG410" s="1">
        <v>3.87</v>
      </c>
      <c r="BH410" s="3">
        <v>45630</v>
      </c>
      <c r="BI410" s="1">
        <v>3.8650000000000002</v>
      </c>
      <c r="BJ410" s="3">
        <v>45630</v>
      </c>
      <c r="BK410" s="1">
        <v>3.8050000000000002</v>
      </c>
      <c r="BL410" s="3">
        <v>45630</v>
      </c>
      <c r="BM410" s="1">
        <v>3.625</v>
      </c>
      <c r="BN410" s="3">
        <v>45630</v>
      </c>
      <c r="BO410" s="1">
        <v>3.4249999999999998</v>
      </c>
      <c r="BP410" s="3">
        <v>45630</v>
      </c>
      <c r="BQ410" s="1">
        <v>3.31</v>
      </c>
      <c r="BR410" s="3">
        <v>45630</v>
      </c>
      <c r="BS410" s="1">
        <v>3.3180000000000001</v>
      </c>
      <c r="BT410" s="3">
        <v>45630</v>
      </c>
      <c r="BU410" s="1">
        <v>3.33</v>
      </c>
      <c r="BV410" s="3">
        <v>45630</v>
      </c>
      <c r="BW410" s="1">
        <v>3.343</v>
      </c>
      <c r="BY410" s="3">
        <v>45610</v>
      </c>
      <c r="BZ410" s="1">
        <v>6.5</v>
      </c>
      <c r="CA410" s="3">
        <v>45600</v>
      </c>
      <c r="CB410" s="1">
        <v>6.5</v>
      </c>
      <c r="CC410" s="3">
        <v>45630</v>
      </c>
      <c r="CD410" s="1">
        <v>6.5659999999999998</v>
      </c>
      <c r="CE410" s="3">
        <v>45630</v>
      </c>
      <c r="CF410" s="1">
        <v>6.5549999999999997</v>
      </c>
      <c r="CG410" s="3">
        <v>45630</v>
      </c>
      <c r="CH410" s="1">
        <v>6.53</v>
      </c>
      <c r="CI410" s="3">
        <v>45630</v>
      </c>
      <c r="CJ410" s="1">
        <v>6.22</v>
      </c>
      <c r="CK410" s="3">
        <v>45630</v>
      </c>
      <c r="CL410" s="1">
        <v>5.94</v>
      </c>
      <c r="CM410" s="3">
        <v>45630</v>
      </c>
      <c r="CN410" s="1">
        <v>5.93</v>
      </c>
      <c r="CO410" s="3">
        <v>45623</v>
      </c>
      <c r="CP410" s="1">
        <v>5.7549999999999999</v>
      </c>
      <c r="CQ410" s="3">
        <v>45623</v>
      </c>
      <c r="CR410" s="1">
        <v>5.7450000000000001</v>
      </c>
      <c r="CS410" s="3">
        <v>45623</v>
      </c>
      <c r="CT410" s="1">
        <v>5.7549999999999999</v>
      </c>
    </row>
    <row r="411" spans="31:98" x14ac:dyDescent="0.2">
      <c r="AE411" s="3">
        <v>45621</v>
      </c>
      <c r="AF411" s="1">
        <v>5.75</v>
      </c>
      <c r="AG411" s="3">
        <v>45602</v>
      </c>
      <c r="AH411" s="1">
        <v>5.84</v>
      </c>
      <c r="AI411" s="3">
        <v>45629</v>
      </c>
      <c r="AJ411" s="2">
        <v>5.835</v>
      </c>
      <c r="AK411" s="3">
        <v>45629</v>
      </c>
      <c r="AL411" s="2">
        <v>5.7549999999999999</v>
      </c>
      <c r="AM411" s="3">
        <v>45629</v>
      </c>
      <c r="AN411" s="2">
        <v>5.6150000000000002</v>
      </c>
      <c r="AO411" s="3">
        <v>45629</v>
      </c>
      <c r="AP411" s="2">
        <v>5.05</v>
      </c>
      <c r="AQ411" s="3">
        <v>45629</v>
      </c>
      <c r="AR411" s="2">
        <v>4.6375000000000002</v>
      </c>
      <c r="AS411" s="3">
        <v>45629</v>
      </c>
      <c r="AT411" s="2">
        <v>4.3150000000000004</v>
      </c>
      <c r="AU411" s="3">
        <v>45629</v>
      </c>
      <c r="AV411" s="2">
        <v>4.1124999999999998</v>
      </c>
      <c r="AW411" s="3">
        <v>45629</v>
      </c>
      <c r="AX411" s="2">
        <v>3.9950000000000001</v>
      </c>
      <c r="AY411" s="3">
        <v>45629</v>
      </c>
      <c r="AZ411" s="2">
        <v>3.9674999999999998</v>
      </c>
      <c r="BB411" s="3">
        <v>45602</v>
      </c>
      <c r="BC411" s="1">
        <v>4.25</v>
      </c>
      <c r="BD411" s="3">
        <v>45603</v>
      </c>
      <c r="BE411" s="1">
        <v>4.0199999999999996</v>
      </c>
      <c r="BF411" s="3">
        <v>45629</v>
      </c>
      <c r="BG411" s="1">
        <v>3.8250000000000002</v>
      </c>
      <c r="BH411" s="3">
        <v>45629</v>
      </c>
      <c r="BI411" s="1">
        <v>3.8079999999999998</v>
      </c>
      <c r="BJ411" s="3">
        <v>45629</v>
      </c>
      <c r="BK411" s="1">
        <v>3.73</v>
      </c>
      <c r="BL411" s="3">
        <v>45629</v>
      </c>
      <c r="BM411" s="1">
        <v>3.51</v>
      </c>
      <c r="BN411" s="3">
        <v>45629</v>
      </c>
      <c r="BO411" s="1">
        <v>3.31</v>
      </c>
      <c r="BP411" s="3">
        <v>45629</v>
      </c>
      <c r="BQ411" s="1">
        <v>3.18</v>
      </c>
      <c r="BR411" s="3">
        <v>45629</v>
      </c>
      <c r="BS411" s="1">
        <v>3.18</v>
      </c>
      <c r="BT411" s="3">
        <v>45629</v>
      </c>
      <c r="BU411" s="1">
        <v>3.1850000000000001</v>
      </c>
      <c r="BV411" s="3">
        <v>45629</v>
      </c>
      <c r="BW411" s="1">
        <v>3.2</v>
      </c>
      <c r="BY411" s="3">
        <v>45609</v>
      </c>
      <c r="BZ411" s="1">
        <v>6.5</v>
      </c>
      <c r="CA411" s="3">
        <v>45596</v>
      </c>
      <c r="CB411" s="1">
        <v>6.47</v>
      </c>
      <c r="CC411" s="3">
        <v>45629</v>
      </c>
      <c r="CD411" s="1">
        <v>6.5540000000000003</v>
      </c>
      <c r="CE411" s="3">
        <v>45629</v>
      </c>
      <c r="CF411" s="1">
        <v>6.5270000000000001</v>
      </c>
      <c r="CG411" s="3">
        <v>45629</v>
      </c>
      <c r="CH411" s="1">
        <v>6.48</v>
      </c>
      <c r="CI411" s="3">
        <v>45629</v>
      </c>
      <c r="CJ411" s="1">
        <v>6.15</v>
      </c>
      <c r="CK411" s="3">
        <v>45629</v>
      </c>
      <c r="CL411" s="1">
        <v>5.85</v>
      </c>
      <c r="CM411" s="3">
        <v>45629</v>
      </c>
      <c r="CN411" s="1">
        <v>5.81</v>
      </c>
      <c r="CO411" s="3">
        <v>45622</v>
      </c>
      <c r="CP411" s="1">
        <v>5.5625</v>
      </c>
      <c r="CQ411" s="3">
        <v>45622</v>
      </c>
      <c r="CR411" s="1">
        <v>5.5575000000000001</v>
      </c>
      <c r="CS411" s="3">
        <v>45622</v>
      </c>
      <c r="CT411" s="1">
        <v>5.5774999999999997</v>
      </c>
    </row>
    <row r="412" spans="31:98" x14ac:dyDescent="0.2">
      <c r="AE412" s="3">
        <v>45618</v>
      </c>
      <c r="AF412" s="1">
        <v>5.75</v>
      </c>
      <c r="AG412" s="3">
        <v>45601</v>
      </c>
      <c r="AH412" s="1">
        <v>5.84</v>
      </c>
      <c r="AI412" s="3">
        <v>45628</v>
      </c>
      <c r="AJ412" s="2">
        <v>5.835</v>
      </c>
      <c r="AK412" s="3">
        <v>45628</v>
      </c>
      <c r="AL412" s="2">
        <v>5.76</v>
      </c>
      <c r="AM412" s="3">
        <v>45628</v>
      </c>
      <c r="AN412" s="2">
        <v>5.61</v>
      </c>
      <c r="AO412" s="3">
        <v>45628</v>
      </c>
      <c r="AP412" s="2">
        <v>5.0374999999999996</v>
      </c>
      <c r="AQ412" s="3">
        <v>45628</v>
      </c>
      <c r="AR412" s="2">
        <v>4.625</v>
      </c>
      <c r="AS412" s="3">
        <v>45628</v>
      </c>
      <c r="AT412" s="2">
        <v>4.2925000000000004</v>
      </c>
      <c r="AU412" s="3">
        <v>45628</v>
      </c>
      <c r="AV412" s="2">
        <v>4.0875000000000004</v>
      </c>
      <c r="AW412" s="3">
        <v>45628</v>
      </c>
      <c r="AX412" s="2">
        <v>3.9750000000000001</v>
      </c>
      <c r="AY412" s="3">
        <v>45628</v>
      </c>
      <c r="AZ412" s="2">
        <v>3.9449999999999998</v>
      </c>
      <c r="BB412" s="3">
        <v>45601</v>
      </c>
      <c r="BC412" s="1">
        <v>4.25</v>
      </c>
      <c r="BD412" s="3">
        <v>45602</v>
      </c>
      <c r="BE412" s="1">
        <v>4.03</v>
      </c>
      <c r="BF412" s="3">
        <v>45628</v>
      </c>
      <c r="BG412" s="1">
        <v>3.82</v>
      </c>
      <c r="BH412" s="3">
        <v>45628</v>
      </c>
      <c r="BI412" s="1">
        <v>3.798</v>
      </c>
      <c r="BJ412" s="3">
        <v>45628</v>
      </c>
      <c r="BK412" s="1">
        <v>3.7280000000000002</v>
      </c>
      <c r="BL412" s="3">
        <v>45628</v>
      </c>
      <c r="BM412" s="1">
        <v>3.5049999999999999</v>
      </c>
      <c r="BN412" s="3">
        <v>45628</v>
      </c>
      <c r="BO412" s="1">
        <v>3.34</v>
      </c>
      <c r="BP412" s="3">
        <v>45628</v>
      </c>
      <c r="BQ412" s="1">
        <v>3.2149999999999999</v>
      </c>
      <c r="BR412" s="3">
        <v>45628</v>
      </c>
      <c r="BS412" s="1">
        <v>3.218</v>
      </c>
      <c r="BT412" s="3">
        <v>45628</v>
      </c>
      <c r="BU412" s="1">
        <v>3.2280000000000002</v>
      </c>
      <c r="BV412" s="3">
        <v>45628</v>
      </c>
      <c r="BW412" s="1">
        <v>3.238</v>
      </c>
      <c r="BY412" s="3">
        <v>45607</v>
      </c>
      <c r="BZ412" s="1">
        <v>6.5</v>
      </c>
      <c r="CA412" s="3">
        <v>45595</v>
      </c>
      <c r="CB412" s="1">
        <v>6.45</v>
      </c>
      <c r="CC412" s="3">
        <v>45628</v>
      </c>
      <c r="CD412" s="1">
        <v>6.55</v>
      </c>
      <c r="CE412" s="3">
        <v>45628</v>
      </c>
      <c r="CF412" s="1">
        <v>6.52</v>
      </c>
      <c r="CG412" s="3">
        <v>45628</v>
      </c>
      <c r="CH412" s="1">
        <v>6.47</v>
      </c>
      <c r="CI412" s="3">
        <v>45628</v>
      </c>
      <c r="CJ412" s="1">
        <v>6.14</v>
      </c>
      <c r="CK412" s="3">
        <v>45628</v>
      </c>
      <c r="CL412" s="1">
        <v>5.84</v>
      </c>
      <c r="CM412" s="3">
        <v>45628</v>
      </c>
      <c r="CN412" s="1">
        <v>5.8</v>
      </c>
      <c r="CO412" s="3">
        <v>45621</v>
      </c>
      <c r="CP412" s="1">
        <v>5.5475000000000003</v>
      </c>
      <c r="CQ412" s="3">
        <v>45621</v>
      </c>
      <c r="CR412" s="1">
        <v>5.5425000000000004</v>
      </c>
      <c r="CS412" s="3">
        <v>45621</v>
      </c>
      <c r="CT412" s="1">
        <v>5.5625</v>
      </c>
    </row>
    <row r="413" spans="31:98" x14ac:dyDescent="0.2">
      <c r="AE413" s="3">
        <v>45617</v>
      </c>
      <c r="AF413" s="1">
        <v>5.75</v>
      </c>
      <c r="AG413" s="3">
        <v>45600</v>
      </c>
      <c r="AH413" s="1">
        <v>5.82</v>
      </c>
      <c r="AI413" s="3">
        <v>45625</v>
      </c>
      <c r="AJ413" s="2">
        <v>5.8324999999999996</v>
      </c>
      <c r="AK413" s="3">
        <v>45625</v>
      </c>
      <c r="AL413" s="2">
        <v>5.7549999999999999</v>
      </c>
      <c r="AM413" s="3">
        <v>45625</v>
      </c>
      <c r="AN413" s="2">
        <v>5.6050000000000004</v>
      </c>
      <c r="AO413" s="3">
        <v>45625</v>
      </c>
      <c r="AP413" s="2">
        <v>5.0324999999999998</v>
      </c>
      <c r="AQ413" s="3">
        <v>45625</v>
      </c>
      <c r="AR413" s="2">
        <v>4.6050000000000004</v>
      </c>
      <c r="AS413" s="3">
        <v>45625</v>
      </c>
      <c r="AT413" s="2">
        <v>4.28</v>
      </c>
      <c r="AU413" s="3">
        <v>45625</v>
      </c>
      <c r="AV413" s="2">
        <v>4.08</v>
      </c>
      <c r="AW413" s="3">
        <v>45625</v>
      </c>
      <c r="AX413" s="2">
        <v>3.9725000000000001</v>
      </c>
      <c r="AY413" s="3">
        <v>45625</v>
      </c>
      <c r="AZ413" s="2">
        <v>3.9449999999999998</v>
      </c>
      <c r="BB413" s="3">
        <v>45600</v>
      </c>
      <c r="BC413" s="1">
        <v>4.25</v>
      </c>
      <c r="BD413" s="3">
        <v>45601</v>
      </c>
      <c r="BE413" s="1">
        <v>4.04</v>
      </c>
      <c r="BF413" s="3">
        <v>45625</v>
      </c>
      <c r="BG413" s="1">
        <v>3.8250000000000002</v>
      </c>
      <c r="BH413" s="3">
        <v>45625</v>
      </c>
      <c r="BI413" s="1">
        <v>3.8180000000000001</v>
      </c>
      <c r="BJ413" s="3">
        <v>45625</v>
      </c>
      <c r="BK413" s="1">
        <v>3.7450000000000001</v>
      </c>
      <c r="BL413" s="3">
        <v>45625</v>
      </c>
      <c r="BM413" s="1">
        <v>3.5329999999999999</v>
      </c>
      <c r="BN413" s="3">
        <v>45625</v>
      </c>
      <c r="BO413" s="1">
        <v>3.3650000000000002</v>
      </c>
      <c r="BP413" s="3">
        <v>45625</v>
      </c>
      <c r="BQ413" s="1">
        <v>3.2730000000000001</v>
      </c>
      <c r="BR413" s="3">
        <v>45625</v>
      </c>
      <c r="BS413" s="1">
        <v>3.278</v>
      </c>
      <c r="BT413" s="3">
        <v>45625</v>
      </c>
      <c r="BU413" s="1">
        <v>3.29</v>
      </c>
      <c r="BV413" s="3">
        <v>45625</v>
      </c>
      <c r="BW413" s="1">
        <v>3.3050000000000002</v>
      </c>
      <c r="BY413" s="3">
        <v>45603</v>
      </c>
      <c r="BZ413" s="1">
        <v>6.5</v>
      </c>
      <c r="CA413" s="3">
        <v>45594</v>
      </c>
      <c r="CB413" s="1">
        <v>6.45</v>
      </c>
      <c r="CC413" s="3">
        <v>45625</v>
      </c>
      <c r="CD413" s="1">
        <v>6.5380000000000003</v>
      </c>
      <c r="CE413" s="3">
        <v>45625</v>
      </c>
      <c r="CF413" s="1">
        <v>6.516</v>
      </c>
      <c r="CG413" s="3">
        <v>45625</v>
      </c>
      <c r="CH413" s="1">
        <v>6.47</v>
      </c>
      <c r="CI413" s="3">
        <v>45625</v>
      </c>
      <c r="CJ413" s="1">
        <v>6.14</v>
      </c>
      <c r="CK413" s="3">
        <v>45625</v>
      </c>
      <c r="CL413" s="1">
        <v>5.84</v>
      </c>
      <c r="CM413" s="3">
        <v>45625</v>
      </c>
      <c r="CN413" s="1">
        <v>5.8</v>
      </c>
      <c r="CO413" s="3">
        <v>45618</v>
      </c>
      <c r="CP413" s="1">
        <v>5.6849999999999996</v>
      </c>
      <c r="CQ413" s="3">
        <v>45618</v>
      </c>
      <c r="CR413" s="1">
        <v>5.68</v>
      </c>
      <c r="CS413" s="3">
        <v>45618</v>
      </c>
      <c r="CT413" s="1">
        <v>5.7</v>
      </c>
    </row>
    <row r="414" spans="31:98" x14ac:dyDescent="0.2">
      <c r="AE414" s="3">
        <v>45616</v>
      </c>
      <c r="AF414" s="1">
        <v>5.75</v>
      </c>
      <c r="AG414" s="3">
        <v>45596</v>
      </c>
      <c r="AH414" s="1">
        <v>5.85</v>
      </c>
      <c r="AI414" s="3">
        <v>45624</v>
      </c>
      <c r="AJ414" s="2">
        <v>5.8380000000000001</v>
      </c>
      <c r="AK414" s="3">
        <v>45624</v>
      </c>
      <c r="AL414" s="2">
        <v>5.7750000000000004</v>
      </c>
      <c r="AM414" s="3">
        <v>45624</v>
      </c>
      <c r="AN414" s="2">
        <v>5.67</v>
      </c>
      <c r="AO414" s="3">
        <v>45624</v>
      </c>
      <c r="AP414" s="2">
        <v>5.085</v>
      </c>
      <c r="AQ414" s="3">
        <v>45624</v>
      </c>
      <c r="AR414" s="2">
        <v>4.6749999999999998</v>
      </c>
      <c r="AS414" s="3">
        <v>45624</v>
      </c>
      <c r="AT414" s="2">
        <v>4.3650000000000002</v>
      </c>
      <c r="AU414" s="3">
        <v>45624</v>
      </c>
      <c r="AV414" s="2">
        <v>4.1624999999999996</v>
      </c>
      <c r="AW414" s="3">
        <v>45624</v>
      </c>
      <c r="AX414" s="2">
        <v>4.0475000000000003</v>
      </c>
      <c r="AY414" s="3">
        <v>45624</v>
      </c>
      <c r="AZ414" s="2">
        <v>4.0025000000000004</v>
      </c>
      <c r="BB414" s="3">
        <v>45597</v>
      </c>
      <c r="BC414" s="1">
        <v>4.25</v>
      </c>
      <c r="BD414" s="3">
        <v>45600</v>
      </c>
      <c r="BE414" s="1">
        <v>4.05</v>
      </c>
      <c r="BF414" s="3">
        <v>45624</v>
      </c>
      <c r="BG414" s="1">
        <v>3.8149999999999999</v>
      </c>
      <c r="BH414" s="3">
        <v>45624</v>
      </c>
      <c r="BI414" s="1">
        <v>3.8149999999999999</v>
      </c>
      <c r="BJ414" s="3">
        <v>45624</v>
      </c>
      <c r="BK414" s="1">
        <v>3.74</v>
      </c>
      <c r="BL414" s="3">
        <v>45624</v>
      </c>
      <c r="BM414" s="1">
        <v>3.52</v>
      </c>
      <c r="BN414" s="3">
        <v>45624</v>
      </c>
      <c r="BO414" s="1">
        <v>3.36</v>
      </c>
      <c r="BP414" s="3">
        <v>45624</v>
      </c>
      <c r="BQ414" s="1">
        <v>3.2629999999999999</v>
      </c>
      <c r="BR414" s="3">
        <v>45624</v>
      </c>
      <c r="BS414" s="1">
        <v>3.2530000000000001</v>
      </c>
      <c r="BT414" s="3">
        <v>45624</v>
      </c>
      <c r="BU414" s="1">
        <v>3.2629999999999999</v>
      </c>
      <c r="BV414" s="3">
        <v>45624</v>
      </c>
      <c r="BW414" s="1">
        <v>3.2749999999999999</v>
      </c>
      <c r="BY414" s="3">
        <v>45602</v>
      </c>
      <c r="BZ414" s="1">
        <v>6.5</v>
      </c>
      <c r="CA414" s="3">
        <v>45593</v>
      </c>
      <c r="CB414" s="1">
        <v>6.43</v>
      </c>
      <c r="CC414" s="3">
        <v>45624</v>
      </c>
      <c r="CD414" s="1">
        <v>6.56</v>
      </c>
      <c r="CE414" s="3">
        <v>45624</v>
      </c>
      <c r="CF414" s="1">
        <v>6.56</v>
      </c>
      <c r="CG414" s="3">
        <v>45624</v>
      </c>
      <c r="CH414" s="1">
        <v>6.52</v>
      </c>
      <c r="CI414" s="3">
        <v>45624</v>
      </c>
      <c r="CJ414" s="1">
        <v>6.19</v>
      </c>
      <c r="CK414" s="3">
        <v>45624</v>
      </c>
      <c r="CL414" s="1">
        <v>5.89</v>
      </c>
      <c r="CM414" s="3">
        <v>45624</v>
      </c>
      <c r="CN414" s="1">
        <v>5.85</v>
      </c>
      <c r="CO414" s="3">
        <v>45617</v>
      </c>
      <c r="CP414" s="1">
        <v>5.81</v>
      </c>
      <c r="CQ414" s="3">
        <v>45617</v>
      </c>
      <c r="CR414" s="1">
        <v>5.82</v>
      </c>
      <c r="CS414" s="3">
        <v>45617</v>
      </c>
      <c r="CT414" s="1">
        <v>5.85</v>
      </c>
    </row>
    <row r="415" spans="31:98" x14ac:dyDescent="0.2">
      <c r="AE415" s="3">
        <v>45615</v>
      </c>
      <c r="AF415" s="1">
        <v>5.75</v>
      </c>
      <c r="AG415" s="3">
        <v>45595</v>
      </c>
      <c r="AH415" s="1">
        <v>5.85</v>
      </c>
      <c r="AI415" s="3">
        <v>45623</v>
      </c>
      <c r="AJ415" s="2">
        <v>5.8410000000000002</v>
      </c>
      <c r="AK415" s="3">
        <v>45623</v>
      </c>
      <c r="AL415" s="2">
        <v>5.7949999999999999</v>
      </c>
      <c r="AM415" s="3">
        <v>45623</v>
      </c>
      <c r="AN415" s="2">
        <v>5.6849999999999996</v>
      </c>
      <c r="AO415" s="3">
        <v>45623</v>
      </c>
      <c r="AP415" s="2">
        <v>5.125</v>
      </c>
      <c r="AQ415" s="3">
        <v>45623</v>
      </c>
      <c r="AR415" s="2">
        <v>4.7374999999999998</v>
      </c>
      <c r="AS415" s="3">
        <v>45623</v>
      </c>
      <c r="AT415" s="2">
        <v>4.4400000000000004</v>
      </c>
      <c r="AU415" s="3">
        <v>45623</v>
      </c>
      <c r="AV415" s="2">
        <v>4.2350000000000003</v>
      </c>
      <c r="AW415" s="3">
        <v>45623</v>
      </c>
      <c r="AX415" s="2">
        <v>4.12</v>
      </c>
      <c r="AY415" s="3">
        <v>45623</v>
      </c>
      <c r="AZ415" s="2">
        <v>4.0650000000000004</v>
      </c>
      <c r="BB415" s="3">
        <v>45596</v>
      </c>
      <c r="BC415" s="1">
        <v>4.25</v>
      </c>
      <c r="BD415" s="3">
        <v>45597</v>
      </c>
      <c r="BE415" s="1">
        <v>4.0599999999999996</v>
      </c>
      <c r="BF415" s="3">
        <v>45623</v>
      </c>
      <c r="BG415" s="1">
        <v>3.82</v>
      </c>
      <c r="BH415" s="3">
        <v>45623</v>
      </c>
      <c r="BI415" s="1">
        <v>3.81</v>
      </c>
      <c r="BJ415" s="3">
        <v>45623</v>
      </c>
      <c r="BK415" s="1">
        <v>3.74</v>
      </c>
      <c r="BL415" s="3">
        <v>45623</v>
      </c>
      <c r="BM415" s="1">
        <v>3.5350000000000001</v>
      </c>
      <c r="BN415" s="3">
        <v>45623</v>
      </c>
      <c r="BO415" s="1">
        <v>3.37</v>
      </c>
      <c r="BP415" s="3">
        <v>45623</v>
      </c>
      <c r="BQ415" s="1">
        <v>3.29</v>
      </c>
      <c r="BR415" s="3">
        <v>45623</v>
      </c>
      <c r="BS415" s="1">
        <v>3.29</v>
      </c>
      <c r="BT415" s="3">
        <v>45623</v>
      </c>
      <c r="BU415" s="1">
        <v>3.2949999999999999</v>
      </c>
      <c r="BV415" s="3">
        <v>45623</v>
      </c>
      <c r="BW415" s="1">
        <v>3.31</v>
      </c>
      <c r="BY415" s="3">
        <v>45601</v>
      </c>
      <c r="BZ415" s="1">
        <v>6.5</v>
      </c>
      <c r="CA415" s="3">
        <v>45590</v>
      </c>
      <c r="CB415" s="1">
        <v>6.42</v>
      </c>
      <c r="CC415" s="3">
        <v>45623</v>
      </c>
      <c r="CD415" s="1">
        <v>6.556</v>
      </c>
      <c r="CE415" s="3">
        <v>45623</v>
      </c>
      <c r="CF415" s="1">
        <v>6.5439999999999996</v>
      </c>
      <c r="CG415" s="3">
        <v>45623</v>
      </c>
      <c r="CH415" s="1">
        <v>6.51</v>
      </c>
      <c r="CI415" s="3">
        <v>45623</v>
      </c>
      <c r="CJ415" s="1">
        <v>6.16</v>
      </c>
      <c r="CK415" s="3">
        <v>45623</v>
      </c>
      <c r="CL415" s="1">
        <v>5.84</v>
      </c>
      <c r="CM415" s="3">
        <v>45623</v>
      </c>
      <c r="CN415" s="1">
        <v>5.77</v>
      </c>
      <c r="CO415" s="3">
        <v>45616</v>
      </c>
      <c r="CP415" s="1">
        <v>5.79</v>
      </c>
      <c r="CQ415" s="3">
        <v>45616</v>
      </c>
      <c r="CR415" s="1">
        <v>5.81</v>
      </c>
      <c r="CS415" s="3">
        <v>45616</v>
      </c>
      <c r="CT415" s="1">
        <v>5.84</v>
      </c>
    </row>
    <row r="416" spans="31:98" x14ac:dyDescent="0.2">
      <c r="AE416" s="3">
        <v>45614</v>
      </c>
      <c r="AF416" s="1">
        <v>5.75</v>
      </c>
      <c r="AG416" s="3">
        <v>45594</v>
      </c>
      <c r="AH416" s="1">
        <v>5.85</v>
      </c>
      <c r="AI416" s="3">
        <v>45622</v>
      </c>
      <c r="AJ416" s="2">
        <v>5.8419999999999996</v>
      </c>
      <c r="AK416" s="3">
        <v>45622</v>
      </c>
      <c r="AL416" s="2">
        <v>5.7824999999999998</v>
      </c>
      <c r="AM416" s="3">
        <v>45622</v>
      </c>
      <c r="AN416" s="2">
        <v>5.6849999999999996</v>
      </c>
      <c r="AO416" s="3">
        <v>45622</v>
      </c>
      <c r="AP416" s="2">
        <v>5.15</v>
      </c>
      <c r="AQ416" s="3">
        <v>45622</v>
      </c>
      <c r="AR416" s="2">
        <v>4.78</v>
      </c>
      <c r="AS416" s="3">
        <v>45622</v>
      </c>
      <c r="AT416" s="2">
        <v>4.5049999999999999</v>
      </c>
      <c r="AU416" s="3">
        <v>45622</v>
      </c>
      <c r="AV416" s="2">
        <v>4.3049999999999997</v>
      </c>
      <c r="AW416" s="3">
        <v>45622</v>
      </c>
      <c r="AX416" s="2">
        <v>4.1900000000000004</v>
      </c>
      <c r="AY416" s="3">
        <v>45622</v>
      </c>
      <c r="AZ416" s="2">
        <v>4.1550000000000002</v>
      </c>
      <c r="BB416" s="3">
        <v>45595</v>
      </c>
      <c r="BC416" s="1">
        <v>4.25</v>
      </c>
      <c r="BD416" s="3">
        <v>45596</v>
      </c>
      <c r="BE416" s="1">
        <v>4.05</v>
      </c>
      <c r="BF416" s="3">
        <v>45622</v>
      </c>
      <c r="BG416" s="1">
        <v>3.8149999999999999</v>
      </c>
      <c r="BH416" s="3">
        <v>45622</v>
      </c>
      <c r="BI416" s="1">
        <v>3.79</v>
      </c>
      <c r="BJ416" s="3">
        <v>45622</v>
      </c>
      <c r="BK416" s="1">
        <v>3.7149999999999999</v>
      </c>
      <c r="BL416" s="3">
        <v>45622</v>
      </c>
      <c r="BM416" s="1">
        <v>3.49</v>
      </c>
      <c r="BN416" s="3">
        <v>45622</v>
      </c>
      <c r="BO416" s="1">
        <v>3.32</v>
      </c>
      <c r="BP416" s="3">
        <v>45622</v>
      </c>
      <c r="BQ416" s="1">
        <v>3.24</v>
      </c>
      <c r="BR416" s="3">
        <v>45622</v>
      </c>
      <c r="BS416" s="1">
        <v>3.2480000000000002</v>
      </c>
      <c r="BT416" s="3">
        <v>45622</v>
      </c>
      <c r="BU416" s="1">
        <v>3.2549999999999999</v>
      </c>
      <c r="BV416" s="3">
        <v>45622</v>
      </c>
      <c r="BW416" s="1">
        <v>3.27</v>
      </c>
      <c r="BY416" s="3">
        <v>45600</v>
      </c>
      <c r="BZ416" s="1">
        <v>6.5</v>
      </c>
      <c r="CA416" s="3">
        <v>45589</v>
      </c>
      <c r="CB416" s="1">
        <v>6.41</v>
      </c>
      <c r="CC416" s="3">
        <v>45622</v>
      </c>
      <c r="CD416" s="1">
        <v>6.4950000000000001</v>
      </c>
      <c r="CE416" s="3">
        <v>45622</v>
      </c>
      <c r="CF416" s="1">
        <v>6.4610000000000003</v>
      </c>
      <c r="CG416" s="3">
        <v>45622</v>
      </c>
      <c r="CH416" s="1">
        <v>6.39</v>
      </c>
      <c r="CI416" s="3">
        <v>45622</v>
      </c>
      <c r="CJ416" s="1">
        <v>6.01</v>
      </c>
      <c r="CK416" s="3">
        <v>45622</v>
      </c>
      <c r="CL416" s="1">
        <v>5.66</v>
      </c>
      <c r="CM416" s="3">
        <v>45622</v>
      </c>
      <c r="CN416" s="1">
        <v>5.5875000000000004</v>
      </c>
      <c r="CO416" s="3">
        <v>45615</v>
      </c>
      <c r="CP416" s="1">
        <v>5.6749999999999998</v>
      </c>
      <c r="CQ416" s="3">
        <v>45615</v>
      </c>
      <c r="CR416" s="1">
        <v>5.69</v>
      </c>
      <c r="CS416" s="3">
        <v>45615</v>
      </c>
      <c r="CT416" s="1">
        <v>5.7149999999999999</v>
      </c>
    </row>
    <row r="417" spans="31:98" x14ac:dyDescent="0.2">
      <c r="AE417" s="3">
        <v>45611</v>
      </c>
      <c r="AF417" s="1">
        <v>5.75</v>
      </c>
      <c r="AG417" s="3">
        <v>45593</v>
      </c>
      <c r="AH417" s="1">
        <v>5.86</v>
      </c>
      <c r="AI417" s="3">
        <v>45621</v>
      </c>
      <c r="AJ417" s="2">
        <v>5.8414999999999999</v>
      </c>
      <c r="AK417" s="3">
        <v>45621</v>
      </c>
      <c r="AL417" s="2">
        <v>5.78</v>
      </c>
      <c r="AM417" s="3">
        <v>45621</v>
      </c>
      <c r="AN417" s="2">
        <v>5.6550000000000002</v>
      </c>
      <c r="AO417" s="3">
        <v>45621</v>
      </c>
      <c r="AP417" s="2">
        <v>5.0999999999999996</v>
      </c>
      <c r="AQ417" s="3">
        <v>45621</v>
      </c>
      <c r="AR417" s="2">
        <v>4.6950000000000003</v>
      </c>
      <c r="AS417" s="3">
        <v>45621</v>
      </c>
      <c r="AT417" s="2">
        <v>4.3849999999999998</v>
      </c>
      <c r="AU417" s="3">
        <v>45621</v>
      </c>
      <c r="AV417" s="2">
        <v>4.1749999999999998</v>
      </c>
      <c r="AW417" s="3">
        <v>45621</v>
      </c>
      <c r="AX417" s="2">
        <v>4.0549999999999997</v>
      </c>
      <c r="AY417" s="3">
        <v>45621</v>
      </c>
      <c r="AZ417" s="2">
        <v>4.0199999999999996</v>
      </c>
      <c r="BB417" s="3">
        <v>45594</v>
      </c>
      <c r="BC417" s="1">
        <v>4.25</v>
      </c>
      <c r="BD417" s="3">
        <v>45595</v>
      </c>
      <c r="BE417" s="1">
        <v>4.0599999999999996</v>
      </c>
      <c r="BF417" s="3">
        <v>45621</v>
      </c>
      <c r="BG417" s="1">
        <v>3.8149999999999999</v>
      </c>
      <c r="BH417" s="3">
        <v>45621</v>
      </c>
      <c r="BI417" s="1">
        <v>3.78</v>
      </c>
      <c r="BJ417" s="3">
        <v>45621</v>
      </c>
      <c r="BK417" s="1">
        <v>3.7</v>
      </c>
      <c r="BL417" s="3">
        <v>45621</v>
      </c>
      <c r="BM417" s="1">
        <v>3.4449999999999998</v>
      </c>
      <c r="BN417" s="3">
        <v>45621</v>
      </c>
      <c r="BO417" s="1">
        <v>3.2679999999999998</v>
      </c>
      <c r="BP417" s="3">
        <v>45621</v>
      </c>
      <c r="BQ417" s="1">
        <v>3.1680000000000001</v>
      </c>
      <c r="BR417" s="3">
        <v>45621</v>
      </c>
      <c r="BS417" s="1">
        <v>3.1680000000000001</v>
      </c>
      <c r="BT417" s="3">
        <v>45621</v>
      </c>
      <c r="BU417" s="1">
        <v>3.1779999999999999</v>
      </c>
      <c r="BV417" s="3">
        <v>45621</v>
      </c>
      <c r="BW417" s="1">
        <v>3.1930000000000001</v>
      </c>
      <c r="BY417" s="3">
        <v>45597</v>
      </c>
      <c r="BZ417" s="1">
        <v>6.5</v>
      </c>
      <c r="CA417" s="3">
        <v>45587</v>
      </c>
      <c r="CB417" s="1">
        <v>6.4</v>
      </c>
      <c r="CC417" s="3">
        <v>45621</v>
      </c>
      <c r="CD417" s="1">
        <v>6.49</v>
      </c>
      <c r="CE417" s="3">
        <v>45621</v>
      </c>
      <c r="CF417" s="1">
        <v>6.45</v>
      </c>
      <c r="CG417" s="3">
        <v>45621</v>
      </c>
      <c r="CH417" s="1">
        <v>6.38</v>
      </c>
      <c r="CI417" s="3">
        <v>45621</v>
      </c>
      <c r="CJ417" s="1">
        <v>5.99</v>
      </c>
      <c r="CK417" s="3">
        <v>45621</v>
      </c>
      <c r="CL417" s="1">
        <v>5.63</v>
      </c>
      <c r="CM417" s="3">
        <v>45621</v>
      </c>
      <c r="CN417" s="1">
        <v>5.5724999999999998</v>
      </c>
      <c r="CO417" s="3">
        <v>45614</v>
      </c>
      <c r="CP417" s="1">
        <v>5.7675000000000001</v>
      </c>
      <c r="CQ417" s="3">
        <v>45614</v>
      </c>
      <c r="CR417" s="1">
        <v>5.7824999999999998</v>
      </c>
      <c r="CS417" s="3">
        <v>45614</v>
      </c>
      <c r="CT417" s="1">
        <v>5.8075000000000001</v>
      </c>
    </row>
    <row r="418" spans="31:98" x14ac:dyDescent="0.2">
      <c r="AE418" s="3">
        <v>45610</v>
      </c>
      <c r="AF418" s="1">
        <v>5.75</v>
      </c>
      <c r="AG418" s="3">
        <v>45590</v>
      </c>
      <c r="AH418" s="1">
        <v>5.85</v>
      </c>
      <c r="AI418" s="3">
        <v>45618</v>
      </c>
      <c r="AJ418" s="2">
        <v>5.8419999999999996</v>
      </c>
      <c r="AK418" s="3">
        <v>45618</v>
      </c>
      <c r="AL418" s="2">
        <v>5.7824999999999998</v>
      </c>
      <c r="AM418" s="3">
        <v>45618</v>
      </c>
      <c r="AN418" s="2">
        <v>5.6574999999999998</v>
      </c>
      <c r="AO418" s="3">
        <v>45618</v>
      </c>
      <c r="AP418" s="2">
        <v>5.0999999999999996</v>
      </c>
      <c r="AQ418" s="3">
        <v>45618</v>
      </c>
      <c r="AR418" s="2">
        <v>4.7</v>
      </c>
      <c r="AS418" s="3">
        <v>45618</v>
      </c>
      <c r="AT418" s="2">
        <v>4.3825000000000003</v>
      </c>
      <c r="AU418" s="3">
        <v>45618</v>
      </c>
      <c r="AV418" s="2">
        <v>4.1725000000000003</v>
      </c>
      <c r="AW418" s="3">
        <v>45618</v>
      </c>
      <c r="AX418" s="2">
        <v>4.0525000000000002</v>
      </c>
      <c r="AY418" s="3">
        <v>45618</v>
      </c>
      <c r="AZ418" s="2">
        <v>4.0199999999999996</v>
      </c>
      <c r="BB418" s="3">
        <v>45590</v>
      </c>
      <c r="BC418" s="1">
        <v>4.25</v>
      </c>
      <c r="BD418" s="3">
        <v>45594</v>
      </c>
      <c r="BE418" s="1">
        <v>4.08</v>
      </c>
      <c r="BF418" s="3">
        <v>45618</v>
      </c>
      <c r="BG418" s="1">
        <v>3.8149999999999999</v>
      </c>
      <c r="BH418" s="3">
        <v>45618</v>
      </c>
      <c r="BI418" s="1">
        <v>3.78</v>
      </c>
      <c r="BJ418" s="3">
        <v>45618</v>
      </c>
      <c r="BK418" s="1">
        <v>3.69</v>
      </c>
      <c r="BL418" s="3">
        <v>45618</v>
      </c>
      <c r="BM418" s="1">
        <v>3.42</v>
      </c>
      <c r="BN418" s="3">
        <v>45618</v>
      </c>
      <c r="BO418" s="1">
        <v>3.2450000000000001</v>
      </c>
      <c r="BP418" s="3">
        <v>45618</v>
      </c>
      <c r="BQ418" s="1">
        <v>3.165</v>
      </c>
      <c r="BR418" s="3">
        <v>45618</v>
      </c>
      <c r="BS418" s="1">
        <v>3.1629999999999998</v>
      </c>
      <c r="BT418" s="3">
        <v>45618</v>
      </c>
      <c r="BU418" s="1">
        <v>3.1779999999999999</v>
      </c>
      <c r="BV418" s="3">
        <v>45618</v>
      </c>
      <c r="BW418" s="1">
        <v>3.198</v>
      </c>
      <c r="BY418" s="3">
        <v>45596</v>
      </c>
      <c r="BZ418" s="1">
        <v>6.5</v>
      </c>
      <c r="CA418" s="3">
        <v>45586</v>
      </c>
      <c r="CB418" s="1">
        <v>6.38</v>
      </c>
      <c r="CC418" s="3">
        <v>45618</v>
      </c>
      <c r="CD418" s="1">
        <v>6.5229999999999997</v>
      </c>
      <c r="CE418" s="3">
        <v>45618</v>
      </c>
      <c r="CF418" s="1">
        <v>6.5039999999999996</v>
      </c>
      <c r="CG418" s="3">
        <v>45618</v>
      </c>
      <c r="CH418" s="1">
        <v>6.44</v>
      </c>
      <c r="CI418" s="3">
        <v>45618</v>
      </c>
      <c r="CJ418" s="1">
        <v>6.04</v>
      </c>
      <c r="CK418" s="3">
        <v>45618</v>
      </c>
      <c r="CL418" s="1">
        <v>5.75</v>
      </c>
      <c r="CM418" s="3">
        <v>45618</v>
      </c>
      <c r="CN418" s="1">
        <v>5.71</v>
      </c>
      <c r="CO418" s="3">
        <v>45611</v>
      </c>
      <c r="CP418" s="1">
        <v>5.76</v>
      </c>
      <c r="CQ418" s="3">
        <v>45611</v>
      </c>
      <c r="CR418" s="1">
        <v>5.78</v>
      </c>
      <c r="CS418" s="3">
        <v>45611</v>
      </c>
      <c r="CT418" s="1">
        <v>5.8049999999999997</v>
      </c>
    </row>
    <row r="419" spans="31:98" x14ac:dyDescent="0.2">
      <c r="AE419" s="3">
        <v>45609</v>
      </c>
      <c r="AF419" s="1">
        <v>5.75</v>
      </c>
      <c r="AG419" s="3">
        <v>45589</v>
      </c>
      <c r="AH419" s="1">
        <v>5.85</v>
      </c>
      <c r="AI419" s="3">
        <v>45617</v>
      </c>
      <c r="AJ419" s="2">
        <v>5.8365</v>
      </c>
      <c r="AK419" s="3">
        <v>45617</v>
      </c>
      <c r="AL419" s="2">
        <v>5.77</v>
      </c>
      <c r="AM419" s="3">
        <v>45617</v>
      </c>
      <c r="AN419" s="2">
        <v>5.6449999999999996</v>
      </c>
      <c r="AO419" s="3">
        <v>45617</v>
      </c>
      <c r="AP419" s="2">
        <v>5.0599999999999996</v>
      </c>
      <c r="AQ419" s="3">
        <v>45617</v>
      </c>
      <c r="AR419" s="2">
        <v>4.63</v>
      </c>
      <c r="AS419" s="3">
        <v>45617</v>
      </c>
      <c r="AT419" s="2">
        <v>4.3</v>
      </c>
      <c r="AU419" s="3">
        <v>45617</v>
      </c>
      <c r="AV419" s="2">
        <v>4.085</v>
      </c>
      <c r="AW419" s="3">
        <v>45617</v>
      </c>
      <c r="AX419" s="2">
        <v>3.9649999999999999</v>
      </c>
      <c r="AY419" s="3">
        <v>45617</v>
      </c>
      <c r="AZ419" s="2">
        <v>3.9249999999999998</v>
      </c>
      <c r="BB419" s="3">
        <v>45589</v>
      </c>
      <c r="BC419" s="1">
        <v>4.25</v>
      </c>
      <c r="BD419" s="3">
        <v>45590</v>
      </c>
      <c r="BE419" s="1">
        <v>4.08</v>
      </c>
      <c r="BF419" s="3">
        <v>45617</v>
      </c>
      <c r="BG419" s="1">
        <v>3.82</v>
      </c>
      <c r="BH419" s="3">
        <v>45617</v>
      </c>
      <c r="BI419" s="1">
        <v>3.7949999999999999</v>
      </c>
      <c r="BJ419" s="3">
        <v>45617</v>
      </c>
      <c r="BK419" s="1">
        <v>3.698</v>
      </c>
      <c r="BL419" s="3">
        <v>45617</v>
      </c>
      <c r="BM419" s="1">
        <v>3.468</v>
      </c>
      <c r="BN419" s="3">
        <v>45617</v>
      </c>
      <c r="BO419" s="1">
        <v>3.3279999999999998</v>
      </c>
      <c r="BP419" s="3">
        <v>45617</v>
      </c>
      <c r="BQ419" s="1">
        <v>3.25</v>
      </c>
      <c r="BR419" s="3">
        <v>45617</v>
      </c>
      <c r="BS419" s="1">
        <v>3.2450000000000001</v>
      </c>
      <c r="BT419" s="3">
        <v>45617</v>
      </c>
      <c r="BU419" s="1">
        <v>3.26</v>
      </c>
      <c r="BV419" s="3">
        <v>45617</v>
      </c>
      <c r="BW419" s="1">
        <v>3.28</v>
      </c>
      <c r="BY419" s="3">
        <v>45595</v>
      </c>
      <c r="BZ419" s="1">
        <v>6.5</v>
      </c>
      <c r="CA419" s="3">
        <v>45583</v>
      </c>
      <c r="CB419" s="1">
        <v>6.37</v>
      </c>
      <c r="CC419" s="3">
        <v>45617</v>
      </c>
      <c r="CD419" s="1">
        <v>6.54</v>
      </c>
      <c r="CE419" s="3">
        <v>45617</v>
      </c>
      <c r="CF419" s="1">
        <v>6.53</v>
      </c>
      <c r="CG419" s="3">
        <v>45617</v>
      </c>
      <c r="CH419" s="1">
        <v>6.47</v>
      </c>
      <c r="CI419" s="3">
        <v>45617</v>
      </c>
      <c r="CJ419" s="1">
        <v>6.15</v>
      </c>
      <c r="CK419" s="3">
        <v>45617</v>
      </c>
      <c r="CL419" s="1">
        <v>5.87</v>
      </c>
      <c r="CM419" s="3">
        <v>45617</v>
      </c>
      <c r="CN419" s="1">
        <v>5.81</v>
      </c>
      <c r="CO419" s="3">
        <v>45610</v>
      </c>
      <c r="CP419" s="1">
        <v>5.8274999999999997</v>
      </c>
      <c r="CQ419" s="3">
        <v>45610</v>
      </c>
      <c r="CR419" s="1">
        <v>5.8425000000000002</v>
      </c>
      <c r="CS419" s="3">
        <v>45610</v>
      </c>
      <c r="CT419" s="1">
        <v>5.8724999999999996</v>
      </c>
    </row>
    <row r="420" spans="31:98" x14ac:dyDescent="0.2">
      <c r="AE420" s="3">
        <v>45608</v>
      </c>
      <c r="AF420" s="1">
        <v>5.75</v>
      </c>
      <c r="AG420" s="3">
        <v>45588</v>
      </c>
      <c r="AH420" s="1">
        <v>5.85</v>
      </c>
      <c r="AI420" s="3">
        <v>45616</v>
      </c>
      <c r="AJ420" s="2">
        <v>5.8369999999999997</v>
      </c>
      <c r="AK420" s="3">
        <v>45616</v>
      </c>
      <c r="AL420" s="2">
        <v>5.76</v>
      </c>
      <c r="AM420" s="3">
        <v>45616</v>
      </c>
      <c r="AN420" s="2">
        <v>5.6349999999999998</v>
      </c>
      <c r="AO420" s="3">
        <v>45616</v>
      </c>
      <c r="AP420" s="2">
        <v>5.04</v>
      </c>
      <c r="AQ420" s="3">
        <v>45616</v>
      </c>
      <c r="AR420" s="2">
        <v>4.6050000000000004</v>
      </c>
      <c r="AS420" s="3">
        <v>45616</v>
      </c>
      <c r="AT420" s="2">
        <v>4.2675000000000001</v>
      </c>
      <c r="AU420" s="3">
        <v>45616</v>
      </c>
      <c r="AV420" s="2">
        <v>4.0475000000000003</v>
      </c>
      <c r="AW420" s="3">
        <v>45616</v>
      </c>
      <c r="AX420" s="2">
        <v>3.9325000000000001</v>
      </c>
      <c r="AY420" s="3">
        <v>45616</v>
      </c>
      <c r="AZ420" s="2">
        <v>3.9</v>
      </c>
      <c r="BB420" s="3">
        <v>45588</v>
      </c>
      <c r="BC420" s="1">
        <v>4.25</v>
      </c>
      <c r="BD420" s="3">
        <v>45589</v>
      </c>
      <c r="BE420" s="1">
        <v>4.09</v>
      </c>
      <c r="BF420" s="3">
        <v>45616</v>
      </c>
      <c r="BG420" s="1">
        <v>3.87</v>
      </c>
      <c r="BH420" s="3">
        <v>45616</v>
      </c>
      <c r="BI420" s="1">
        <v>3.8050000000000002</v>
      </c>
      <c r="BJ420" s="3">
        <v>45616</v>
      </c>
      <c r="BK420" s="1">
        <v>3.7</v>
      </c>
      <c r="BL420" s="3">
        <v>45616</v>
      </c>
      <c r="BM420" s="1">
        <v>3.5</v>
      </c>
      <c r="BN420" s="3">
        <v>45616</v>
      </c>
      <c r="BO420" s="1">
        <v>3.375</v>
      </c>
      <c r="BP420" s="3">
        <v>45616</v>
      </c>
      <c r="BQ420" s="1">
        <v>3.31</v>
      </c>
      <c r="BR420" s="3">
        <v>45616</v>
      </c>
      <c r="BS420" s="1">
        <v>3.3130000000000002</v>
      </c>
      <c r="BT420" s="3">
        <v>45616</v>
      </c>
      <c r="BU420" s="1">
        <v>3.3250000000000002</v>
      </c>
      <c r="BV420" s="3">
        <v>45616</v>
      </c>
      <c r="BW420" s="1">
        <v>3.343</v>
      </c>
      <c r="BY420" s="3">
        <v>45594</v>
      </c>
      <c r="BZ420" s="1">
        <v>6.5</v>
      </c>
      <c r="CA420" s="3">
        <v>45582</v>
      </c>
      <c r="CB420" s="1">
        <v>6.35</v>
      </c>
      <c r="CC420" s="3">
        <v>45616</v>
      </c>
      <c r="CD420" s="1">
        <v>6.5110000000000001</v>
      </c>
      <c r="CE420" s="3">
        <v>45616</v>
      </c>
      <c r="CF420" s="1">
        <v>6.5010000000000003</v>
      </c>
      <c r="CG420" s="3">
        <v>45616</v>
      </c>
      <c r="CH420" s="1">
        <v>6.39</v>
      </c>
      <c r="CI420" s="3">
        <v>45616</v>
      </c>
      <c r="CJ420" s="1">
        <v>6.05</v>
      </c>
      <c r="CK420" s="3">
        <v>45616</v>
      </c>
      <c r="CL420" s="1">
        <v>5.74</v>
      </c>
      <c r="CM420" s="3">
        <v>45616</v>
      </c>
      <c r="CN420" s="1">
        <v>5.7850000000000001</v>
      </c>
      <c r="CO420" s="3">
        <v>45609</v>
      </c>
      <c r="CP420" s="1">
        <v>6.0049999999999999</v>
      </c>
      <c r="CQ420" s="3">
        <v>45609</v>
      </c>
      <c r="CR420" s="1">
        <v>6.0250000000000004</v>
      </c>
      <c r="CS420" s="3">
        <v>45609</v>
      </c>
      <c r="CT420" s="1">
        <v>6.0549999999999997</v>
      </c>
    </row>
    <row r="421" spans="31:98" x14ac:dyDescent="0.2">
      <c r="AE421" s="3">
        <v>45607</v>
      </c>
      <c r="AF421" s="1">
        <v>5.75</v>
      </c>
      <c r="AG421" s="3">
        <v>45587</v>
      </c>
      <c r="AH421" s="1">
        <v>5.85</v>
      </c>
      <c r="AI421" s="3">
        <v>45615</v>
      </c>
      <c r="AJ421" s="2">
        <v>5.835</v>
      </c>
      <c r="AK421" s="3">
        <v>45615</v>
      </c>
      <c r="AL421" s="2">
        <v>5.7649999999999997</v>
      </c>
      <c r="AM421" s="3">
        <v>45615</v>
      </c>
      <c r="AN421" s="2">
        <v>5.6449999999999996</v>
      </c>
      <c r="AO421" s="3">
        <v>45615</v>
      </c>
      <c r="AP421" s="2">
        <v>5.05</v>
      </c>
      <c r="AQ421" s="3">
        <v>45615</v>
      </c>
      <c r="AR421" s="2">
        <v>4.62</v>
      </c>
      <c r="AS421" s="3">
        <v>45615</v>
      </c>
      <c r="AT421" s="2">
        <v>4.29</v>
      </c>
      <c r="AU421" s="3">
        <v>45615</v>
      </c>
      <c r="AV421" s="2">
        <v>4.0750000000000002</v>
      </c>
      <c r="AW421" s="3">
        <v>45615</v>
      </c>
      <c r="AX421" s="2">
        <v>3.9550000000000001</v>
      </c>
      <c r="AY421" s="3">
        <v>45615</v>
      </c>
      <c r="AZ421" s="2">
        <v>3.9249999999999998</v>
      </c>
      <c r="BB421" s="3">
        <v>45587</v>
      </c>
      <c r="BC421" s="1">
        <v>4.25</v>
      </c>
      <c r="BD421" s="3">
        <v>45588</v>
      </c>
      <c r="BE421" s="1">
        <v>4.0999999999999996</v>
      </c>
      <c r="BF421" s="3">
        <v>45615</v>
      </c>
      <c r="BG421" s="1">
        <v>3.87</v>
      </c>
      <c r="BH421" s="3">
        <v>45615</v>
      </c>
      <c r="BI421" s="1">
        <v>3.8</v>
      </c>
      <c r="BJ421" s="3">
        <v>45615</v>
      </c>
      <c r="BK421" s="1">
        <v>3.6930000000000001</v>
      </c>
      <c r="BL421" s="3">
        <v>45615</v>
      </c>
      <c r="BM421" s="1">
        <v>3.4980000000000002</v>
      </c>
      <c r="BN421" s="3">
        <v>45615</v>
      </c>
      <c r="BO421" s="1">
        <v>3.383</v>
      </c>
      <c r="BP421" s="3">
        <v>45615</v>
      </c>
      <c r="BQ421" s="1">
        <v>3.323</v>
      </c>
      <c r="BR421" s="3">
        <v>45615</v>
      </c>
      <c r="BS421" s="1">
        <v>3.3250000000000002</v>
      </c>
      <c r="BT421" s="3">
        <v>45615</v>
      </c>
      <c r="BU421" s="1">
        <v>3.335</v>
      </c>
      <c r="BV421" s="3">
        <v>45615</v>
      </c>
      <c r="BW421" s="1">
        <v>3.355</v>
      </c>
      <c r="BY421" s="3">
        <v>45593</v>
      </c>
      <c r="BZ421" s="1">
        <v>6.5</v>
      </c>
      <c r="CA421" s="3">
        <v>45581</v>
      </c>
      <c r="CB421" s="1">
        <v>6.35</v>
      </c>
      <c r="CC421" s="3">
        <v>45615</v>
      </c>
      <c r="CD421" s="1">
        <v>6.5</v>
      </c>
      <c r="CE421" s="3">
        <v>45615</v>
      </c>
      <c r="CF421" s="1">
        <v>6.45</v>
      </c>
      <c r="CG421" s="3">
        <v>45615</v>
      </c>
      <c r="CH421" s="1">
        <v>6.36</v>
      </c>
      <c r="CI421" s="3">
        <v>45615</v>
      </c>
      <c r="CJ421" s="1">
        <v>6.01</v>
      </c>
      <c r="CK421" s="3">
        <v>45615</v>
      </c>
      <c r="CL421" s="1">
        <v>5.7</v>
      </c>
      <c r="CM421" s="3">
        <v>45615</v>
      </c>
      <c r="CN421" s="1">
        <v>5.6749999999999998</v>
      </c>
      <c r="CO421" s="3">
        <v>45608</v>
      </c>
      <c r="CP421" s="1">
        <v>6.0324999999999998</v>
      </c>
      <c r="CQ421" s="3">
        <v>45608</v>
      </c>
      <c r="CR421" s="1">
        <v>6.0475000000000003</v>
      </c>
      <c r="CS421" s="3">
        <v>45608</v>
      </c>
      <c r="CT421" s="1">
        <v>6.0724999999999998</v>
      </c>
    </row>
    <row r="422" spans="31:98" x14ac:dyDescent="0.2">
      <c r="AE422" s="3">
        <v>45604</v>
      </c>
      <c r="AF422" s="1">
        <v>5.75</v>
      </c>
      <c r="AG422" s="3">
        <v>45586</v>
      </c>
      <c r="AH422" s="1">
        <v>5.85</v>
      </c>
      <c r="AI422" s="3">
        <v>45614</v>
      </c>
      <c r="AJ422" s="2">
        <v>5.8375000000000004</v>
      </c>
      <c r="AK422" s="3">
        <v>45614</v>
      </c>
      <c r="AL422" s="2">
        <v>5.79</v>
      </c>
      <c r="AM422" s="3">
        <v>45614</v>
      </c>
      <c r="AN422" s="2">
        <v>5.68</v>
      </c>
      <c r="AO422" s="3">
        <v>45614</v>
      </c>
      <c r="AP422" s="2">
        <v>5.0949999999999998</v>
      </c>
      <c r="AQ422" s="3">
        <v>45614</v>
      </c>
      <c r="AR422" s="2">
        <v>4.71</v>
      </c>
      <c r="AS422" s="3">
        <v>45614</v>
      </c>
      <c r="AT422" s="2">
        <v>4.4050000000000002</v>
      </c>
      <c r="AU422" s="3">
        <v>45614</v>
      </c>
      <c r="AV422" s="2">
        <v>4.2</v>
      </c>
      <c r="AW422" s="3">
        <v>45614</v>
      </c>
      <c r="AX422" s="2">
        <v>4.085</v>
      </c>
      <c r="AY422" s="3">
        <v>45614</v>
      </c>
      <c r="AZ422" s="2">
        <v>4.0449999999999999</v>
      </c>
      <c r="BB422" s="3">
        <v>45586</v>
      </c>
      <c r="BC422" s="1">
        <v>4.25</v>
      </c>
      <c r="BD422" s="3">
        <v>45587</v>
      </c>
      <c r="BE422" s="1">
        <v>4.1100000000000003</v>
      </c>
      <c r="BF422" s="3">
        <v>45614</v>
      </c>
      <c r="BG422" s="1">
        <v>3.8849999999999998</v>
      </c>
      <c r="BH422" s="3">
        <v>45614</v>
      </c>
      <c r="BI422" s="1">
        <v>3.8029999999999999</v>
      </c>
      <c r="BJ422" s="3">
        <v>45614</v>
      </c>
      <c r="BK422" s="1">
        <v>3.6930000000000001</v>
      </c>
      <c r="BL422" s="3">
        <v>45614</v>
      </c>
      <c r="BM422" s="1">
        <v>3.53</v>
      </c>
      <c r="BN422" s="3">
        <v>45614</v>
      </c>
      <c r="BO422" s="1">
        <v>3.4329999999999998</v>
      </c>
      <c r="BP422" s="3">
        <v>45614</v>
      </c>
      <c r="BQ422" s="1">
        <v>3.363</v>
      </c>
      <c r="BR422" s="3">
        <v>45614</v>
      </c>
      <c r="BS422" s="1">
        <v>3.3679999999999999</v>
      </c>
      <c r="BT422" s="3">
        <v>45614</v>
      </c>
      <c r="BU422" s="1">
        <v>3.383</v>
      </c>
      <c r="BV422" s="3">
        <v>45614</v>
      </c>
      <c r="BW422" s="1">
        <v>3.403</v>
      </c>
      <c r="BY422" s="3">
        <v>45590</v>
      </c>
      <c r="BZ422" s="1">
        <v>6.5</v>
      </c>
      <c r="CA422" s="3">
        <v>45580</v>
      </c>
      <c r="CB422" s="1">
        <v>6.34</v>
      </c>
      <c r="CC422" s="3">
        <v>45614</v>
      </c>
      <c r="CD422" s="1">
        <v>6.5129999999999999</v>
      </c>
      <c r="CE422" s="3">
        <v>45614</v>
      </c>
      <c r="CF422" s="1">
        <v>6.4459999999999997</v>
      </c>
      <c r="CG422" s="3">
        <v>45614</v>
      </c>
      <c r="CH422" s="1">
        <v>6.36</v>
      </c>
      <c r="CI422" s="3">
        <v>45614</v>
      </c>
      <c r="CJ422" s="1">
        <v>6.03</v>
      </c>
      <c r="CK422" s="3">
        <v>45614</v>
      </c>
      <c r="CL422" s="1">
        <v>5.75</v>
      </c>
      <c r="CM422" s="3">
        <v>45614</v>
      </c>
      <c r="CN422" s="1">
        <v>5.7625000000000002</v>
      </c>
      <c r="CO422" s="3">
        <v>45607</v>
      </c>
      <c r="CP422" s="1">
        <v>6.13</v>
      </c>
      <c r="CQ422" s="3">
        <v>45607</v>
      </c>
      <c r="CR422" s="1">
        <v>6.1449999999999996</v>
      </c>
      <c r="CS422" s="3">
        <v>45607</v>
      </c>
      <c r="CT422" s="1">
        <v>6.16</v>
      </c>
    </row>
    <row r="423" spans="31:98" x14ac:dyDescent="0.2">
      <c r="AE423" s="3">
        <v>45603</v>
      </c>
      <c r="AF423" s="1">
        <v>5.75</v>
      </c>
      <c r="AG423" s="3">
        <v>45583</v>
      </c>
      <c r="AH423" s="1">
        <v>5.85</v>
      </c>
      <c r="AI423" s="3">
        <v>45611</v>
      </c>
      <c r="AJ423" s="2">
        <v>5.8310000000000004</v>
      </c>
      <c r="AK423" s="3">
        <v>45611</v>
      </c>
      <c r="AL423" s="2">
        <v>5.7850000000000001</v>
      </c>
      <c r="AM423" s="3">
        <v>45611</v>
      </c>
      <c r="AN423" s="2">
        <v>5.68</v>
      </c>
      <c r="AO423" s="3">
        <v>45611</v>
      </c>
      <c r="AP423" s="2">
        <v>5.1100000000000003</v>
      </c>
      <c r="AQ423" s="3">
        <v>45611</v>
      </c>
      <c r="AR423" s="2">
        <v>4.7525000000000004</v>
      </c>
      <c r="AS423" s="3">
        <v>45611</v>
      </c>
      <c r="AT423" s="2">
        <v>4.47</v>
      </c>
      <c r="AU423" s="3">
        <v>45611</v>
      </c>
      <c r="AV423" s="2">
        <v>4.2699999999999996</v>
      </c>
      <c r="AW423" s="3">
        <v>45611</v>
      </c>
      <c r="AX423" s="2">
        <v>4.16</v>
      </c>
      <c r="AY423" s="3">
        <v>45611</v>
      </c>
      <c r="AZ423" s="2">
        <v>4.1100000000000003</v>
      </c>
      <c r="BB423" s="3">
        <v>45583</v>
      </c>
      <c r="BC423" s="1">
        <v>4.25</v>
      </c>
      <c r="BD423" s="3">
        <v>45586</v>
      </c>
      <c r="BE423" s="1">
        <v>4.12</v>
      </c>
      <c r="BF423" s="3">
        <v>45611</v>
      </c>
      <c r="BG423" s="1">
        <v>3.89</v>
      </c>
      <c r="BH423" s="3">
        <v>45611</v>
      </c>
      <c r="BI423" s="1">
        <v>3.8149999999999999</v>
      </c>
      <c r="BJ423" s="3">
        <v>45611</v>
      </c>
      <c r="BK423" s="1">
        <v>3.69</v>
      </c>
      <c r="BL423" s="3">
        <v>45611</v>
      </c>
      <c r="BM423" s="1">
        <v>3.52</v>
      </c>
      <c r="BN423" s="3">
        <v>45611</v>
      </c>
      <c r="BO423" s="1">
        <v>3.42</v>
      </c>
      <c r="BP423" s="3">
        <v>45611</v>
      </c>
      <c r="BQ423" s="1">
        <v>3.36</v>
      </c>
      <c r="BR423" s="3">
        <v>45611</v>
      </c>
      <c r="BS423" s="1">
        <v>3.3650000000000002</v>
      </c>
      <c r="BT423" s="3">
        <v>45611</v>
      </c>
      <c r="BU423" s="1">
        <v>3.375</v>
      </c>
      <c r="BV423" s="3">
        <v>45611</v>
      </c>
      <c r="BW423" s="1">
        <v>3.4</v>
      </c>
      <c r="BY423" s="3">
        <v>45589</v>
      </c>
      <c r="BZ423" s="1">
        <v>6.5</v>
      </c>
      <c r="CA423" s="3">
        <v>45579</v>
      </c>
      <c r="CB423" s="1">
        <v>6.34</v>
      </c>
      <c r="CC423" s="3">
        <v>45611</v>
      </c>
      <c r="CD423" s="1">
        <v>6.4989999999999997</v>
      </c>
      <c r="CE423" s="3">
        <v>45611</v>
      </c>
      <c r="CF423" s="1">
        <v>6.423</v>
      </c>
      <c r="CG423" s="3">
        <v>45611</v>
      </c>
      <c r="CH423" s="1">
        <v>6.34</v>
      </c>
      <c r="CI423" s="3">
        <v>45611</v>
      </c>
      <c r="CJ423" s="1">
        <v>6.02</v>
      </c>
      <c r="CK423" s="3">
        <v>45611</v>
      </c>
      <c r="CL423" s="1">
        <v>5.74</v>
      </c>
      <c r="CM423" s="3">
        <v>45611</v>
      </c>
      <c r="CN423" s="1">
        <v>5.76</v>
      </c>
      <c r="CO423" s="3">
        <v>45604</v>
      </c>
      <c r="CP423" s="1">
        <v>5.87</v>
      </c>
      <c r="CQ423" s="3">
        <v>45604</v>
      </c>
      <c r="CR423" s="1">
        <v>5.89</v>
      </c>
      <c r="CS423" s="3">
        <v>45604</v>
      </c>
      <c r="CT423" s="1">
        <v>5.92</v>
      </c>
    </row>
    <row r="424" spans="31:98" x14ac:dyDescent="0.2">
      <c r="AE424" s="3">
        <v>45602</v>
      </c>
      <c r="AF424" s="1">
        <v>5.75</v>
      </c>
      <c r="AG424" s="3">
        <v>45582</v>
      </c>
      <c r="AH424" s="1">
        <v>5.85</v>
      </c>
      <c r="AI424" s="3">
        <v>45610</v>
      </c>
      <c r="AJ424" s="2">
        <v>5.8330000000000002</v>
      </c>
      <c r="AK424" s="3">
        <v>45610</v>
      </c>
      <c r="AL424" s="2">
        <v>5.7949999999999999</v>
      </c>
      <c r="AM424" s="3">
        <v>45610</v>
      </c>
      <c r="AN424" s="2">
        <v>5.6950000000000003</v>
      </c>
      <c r="AO424" s="3">
        <v>45610</v>
      </c>
      <c r="AP424" s="2">
        <v>5.165</v>
      </c>
      <c r="AQ424" s="3">
        <v>45610</v>
      </c>
      <c r="AR424" s="2">
        <v>4.7850000000000001</v>
      </c>
      <c r="AS424" s="3">
        <v>45610</v>
      </c>
      <c r="AT424" s="2">
        <v>4.4850000000000003</v>
      </c>
      <c r="AU424" s="3">
        <v>45610</v>
      </c>
      <c r="AV424" s="2">
        <v>4.2949999999999999</v>
      </c>
      <c r="AW424" s="3">
        <v>45610</v>
      </c>
      <c r="AX424" s="2">
        <v>4.1950000000000003</v>
      </c>
      <c r="AY424" s="3">
        <v>45610</v>
      </c>
      <c r="AZ424" s="2">
        <v>4.1349999999999998</v>
      </c>
      <c r="BB424" s="3">
        <v>45582</v>
      </c>
      <c r="BC424" s="1">
        <v>4.25</v>
      </c>
      <c r="BD424" s="3">
        <v>45583</v>
      </c>
      <c r="BE424" s="1">
        <v>4.12</v>
      </c>
      <c r="BF424" s="3">
        <v>45610</v>
      </c>
      <c r="BG424" s="1">
        <v>3.89</v>
      </c>
      <c r="BH424" s="3">
        <v>45610</v>
      </c>
      <c r="BI424" s="1">
        <v>3.81</v>
      </c>
      <c r="BJ424" s="3">
        <v>45610</v>
      </c>
      <c r="BK424" s="1">
        <v>3.69</v>
      </c>
      <c r="BL424" s="3">
        <v>45610</v>
      </c>
      <c r="BM424" s="1">
        <v>3.5</v>
      </c>
      <c r="BN424" s="3">
        <v>45610</v>
      </c>
      <c r="BO424" s="1">
        <v>3.395</v>
      </c>
      <c r="BP424" s="3">
        <v>45610</v>
      </c>
      <c r="BQ424" s="1">
        <v>3.3279999999999998</v>
      </c>
      <c r="BR424" s="3">
        <v>45610</v>
      </c>
      <c r="BS424" s="1">
        <v>3.3330000000000002</v>
      </c>
      <c r="BT424" s="3">
        <v>45610</v>
      </c>
      <c r="BU424" s="1">
        <v>3.343</v>
      </c>
      <c r="BV424" s="3">
        <v>45610</v>
      </c>
      <c r="BW424" s="1">
        <v>3.3650000000000002</v>
      </c>
      <c r="BY424" s="3">
        <v>45588</v>
      </c>
      <c r="BZ424" s="1">
        <v>6.5</v>
      </c>
      <c r="CA424" s="3">
        <v>45576</v>
      </c>
      <c r="CB424" s="1">
        <v>6.32</v>
      </c>
      <c r="CC424" s="3">
        <v>45610</v>
      </c>
      <c r="CD424" s="1">
        <v>6.5110000000000001</v>
      </c>
      <c r="CE424" s="3">
        <v>45610</v>
      </c>
      <c r="CF424" s="1">
        <v>6.4509999999999996</v>
      </c>
      <c r="CG424" s="3">
        <v>45610</v>
      </c>
      <c r="CH424" s="1">
        <v>6.37</v>
      </c>
      <c r="CI424" s="3">
        <v>45610</v>
      </c>
      <c r="CJ424" s="1">
        <v>6.08</v>
      </c>
      <c r="CK424" s="3">
        <v>45610</v>
      </c>
      <c r="CL424" s="1">
        <v>5.83</v>
      </c>
      <c r="CM424" s="3">
        <v>45610</v>
      </c>
      <c r="CN424" s="1">
        <v>5.8274999999999997</v>
      </c>
      <c r="CO424" s="3">
        <v>45603</v>
      </c>
      <c r="CP424" s="1">
        <v>6.01</v>
      </c>
      <c r="CQ424" s="3">
        <v>45603</v>
      </c>
      <c r="CR424" s="1">
        <v>6.0250000000000004</v>
      </c>
      <c r="CS424" s="3">
        <v>45603</v>
      </c>
      <c r="CT424" s="1">
        <v>6.07</v>
      </c>
    </row>
    <row r="425" spans="31:98" x14ac:dyDescent="0.2">
      <c r="AE425" s="3">
        <v>45601</v>
      </c>
      <c r="AF425" s="1">
        <v>5.75</v>
      </c>
      <c r="AG425" s="3">
        <v>45581</v>
      </c>
      <c r="AH425" s="1">
        <v>5.86</v>
      </c>
      <c r="AI425" s="3">
        <v>45609</v>
      </c>
      <c r="AJ425" s="2">
        <v>5.8324999999999996</v>
      </c>
      <c r="AK425" s="3">
        <v>45609</v>
      </c>
      <c r="AL425" s="2">
        <v>5.8</v>
      </c>
      <c r="AM425" s="3">
        <v>45609</v>
      </c>
      <c r="AN425" s="2">
        <v>5.7</v>
      </c>
      <c r="AO425" s="3">
        <v>45609</v>
      </c>
      <c r="AP425" s="2">
        <v>5.2149999999999999</v>
      </c>
      <c r="AQ425" s="3">
        <v>45609</v>
      </c>
      <c r="AR425" s="2">
        <v>4.8724999999999996</v>
      </c>
      <c r="AS425" s="3">
        <v>45609</v>
      </c>
      <c r="AT425" s="2">
        <v>4.5999999999999996</v>
      </c>
      <c r="AU425" s="3">
        <v>45609</v>
      </c>
      <c r="AV425" s="2">
        <v>4.4249999999999998</v>
      </c>
      <c r="AW425" s="3">
        <v>45609</v>
      </c>
      <c r="AX425" s="2">
        <v>4.3049999999999997</v>
      </c>
      <c r="AY425" s="3">
        <v>45609</v>
      </c>
      <c r="AZ425" s="2">
        <v>4.24</v>
      </c>
      <c r="BB425" s="3">
        <v>45581</v>
      </c>
      <c r="BC425" s="1">
        <v>4.25</v>
      </c>
      <c r="BD425" s="3">
        <v>45582</v>
      </c>
      <c r="BE425" s="1">
        <v>4.13</v>
      </c>
      <c r="BF425" s="3">
        <v>45609</v>
      </c>
      <c r="BG425" s="1">
        <v>3.92</v>
      </c>
      <c r="BH425" s="3">
        <v>45609</v>
      </c>
      <c r="BI425" s="1">
        <v>3.8380000000000001</v>
      </c>
      <c r="BJ425" s="3">
        <v>45609</v>
      </c>
      <c r="BK425" s="1">
        <v>3.718</v>
      </c>
      <c r="BL425" s="3">
        <v>45609</v>
      </c>
      <c r="BM425" s="1">
        <v>3.5630000000000002</v>
      </c>
      <c r="BN425" s="3">
        <v>45609</v>
      </c>
      <c r="BO425" s="1">
        <v>3.4380000000000002</v>
      </c>
      <c r="BP425" s="3">
        <v>45609</v>
      </c>
      <c r="BQ425" s="1">
        <v>3.3879999999999999</v>
      </c>
      <c r="BR425" s="3">
        <v>45609</v>
      </c>
      <c r="BS425" s="1">
        <v>3.3879999999999999</v>
      </c>
      <c r="BT425" s="3">
        <v>45609</v>
      </c>
      <c r="BU425" s="1">
        <v>3.39</v>
      </c>
      <c r="BV425" s="3">
        <v>45609</v>
      </c>
      <c r="BW425" s="1">
        <v>3.4049999999999998</v>
      </c>
      <c r="BY425" s="3">
        <v>45587</v>
      </c>
      <c r="BZ425" s="1">
        <v>6.5</v>
      </c>
      <c r="CA425" s="3">
        <v>45575</v>
      </c>
      <c r="CB425" s="1">
        <v>6.31</v>
      </c>
      <c r="CC425" s="3">
        <v>45609</v>
      </c>
      <c r="CD425" s="1">
        <v>6.54</v>
      </c>
      <c r="CE425" s="3">
        <v>45609</v>
      </c>
      <c r="CF425" s="1">
        <v>6.5</v>
      </c>
      <c r="CG425" s="3">
        <v>45609</v>
      </c>
      <c r="CH425" s="1">
        <v>6.46</v>
      </c>
      <c r="CI425" s="3">
        <v>45609</v>
      </c>
      <c r="CJ425" s="1">
        <v>6.24</v>
      </c>
      <c r="CK425" s="3">
        <v>45609</v>
      </c>
      <c r="CL425" s="1">
        <v>5.99</v>
      </c>
      <c r="CM425" s="3">
        <v>45609</v>
      </c>
      <c r="CN425" s="1">
        <v>6.0049999999999999</v>
      </c>
      <c r="CO425" s="3">
        <v>45602</v>
      </c>
      <c r="CP425" s="1">
        <v>6.51</v>
      </c>
      <c r="CQ425" s="3">
        <v>45602</v>
      </c>
      <c r="CR425" s="1">
        <v>6.5250000000000004</v>
      </c>
      <c r="CS425" s="3">
        <v>45602</v>
      </c>
      <c r="CT425" s="1">
        <v>6.5949999999999998</v>
      </c>
    </row>
    <row r="426" spans="31:98" x14ac:dyDescent="0.2">
      <c r="AE426" s="3">
        <v>45600</v>
      </c>
      <c r="AF426" s="1">
        <v>5.75</v>
      </c>
      <c r="AG426" s="3">
        <v>45580</v>
      </c>
      <c r="AH426" s="1">
        <v>5.85</v>
      </c>
      <c r="AI426" s="3">
        <v>45608</v>
      </c>
      <c r="AJ426" s="2">
        <v>5.8345000000000002</v>
      </c>
      <c r="AK426" s="3">
        <v>45608</v>
      </c>
      <c r="AL426" s="2">
        <v>5.7850000000000001</v>
      </c>
      <c r="AM426" s="3">
        <v>45608</v>
      </c>
      <c r="AN426" s="2">
        <v>5.6849999999999996</v>
      </c>
      <c r="AO426" s="3">
        <v>45608</v>
      </c>
      <c r="AP426" s="2">
        <v>5.22</v>
      </c>
      <c r="AQ426" s="3">
        <v>45608</v>
      </c>
      <c r="AR426" s="2">
        <v>4.8849999999999998</v>
      </c>
      <c r="AS426" s="3">
        <v>45608</v>
      </c>
      <c r="AT426" s="2">
        <v>4.6349999999999998</v>
      </c>
      <c r="AU426" s="3">
        <v>45608</v>
      </c>
      <c r="AV426" s="2">
        <v>4.4649999999999999</v>
      </c>
      <c r="AW426" s="3">
        <v>45608</v>
      </c>
      <c r="AX426" s="2">
        <v>4.34</v>
      </c>
      <c r="AY426" s="3">
        <v>45608</v>
      </c>
      <c r="AZ426" s="2">
        <v>4.2850000000000001</v>
      </c>
      <c r="BB426" s="3">
        <v>45580</v>
      </c>
      <c r="BC426" s="1">
        <v>4.25</v>
      </c>
      <c r="BD426" s="3">
        <v>45581</v>
      </c>
      <c r="BE426" s="1">
        <v>4.13</v>
      </c>
      <c r="BF426" s="3">
        <v>45608</v>
      </c>
      <c r="BG426" s="1">
        <v>3.91</v>
      </c>
      <c r="BH426" s="3">
        <v>45608</v>
      </c>
      <c r="BI426" s="1">
        <v>3.8279999999999998</v>
      </c>
      <c r="BJ426" s="3">
        <v>45608</v>
      </c>
      <c r="BK426" s="1">
        <v>3.7280000000000002</v>
      </c>
      <c r="BL426" s="3">
        <v>45608</v>
      </c>
      <c r="BM426" s="1">
        <v>3.5550000000000002</v>
      </c>
      <c r="BN426" s="3">
        <v>45608</v>
      </c>
      <c r="BO426" s="1">
        <v>3.4279999999999999</v>
      </c>
      <c r="BP426" s="3">
        <v>45608</v>
      </c>
      <c r="BQ426" s="1">
        <v>3.3580000000000001</v>
      </c>
      <c r="BR426" s="3">
        <v>45608</v>
      </c>
      <c r="BS426" s="1">
        <v>3.3580000000000001</v>
      </c>
      <c r="BT426" s="3">
        <v>45608</v>
      </c>
      <c r="BU426" s="1">
        <v>3.3650000000000002</v>
      </c>
      <c r="BV426" s="3">
        <v>45608</v>
      </c>
      <c r="BW426" s="1">
        <v>3.383</v>
      </c>
      <c r="BY426" s="3">
        <v>45586</v>
      </c>
      <c r="BZ426" s="1">
        <v>6.5</v>
      </c>
      <c r="CA426" s="3">
        <v>45574</v>
      </c>
      <c r="CB426" s="1">
        <v>6.32</v>
      </c>
      <c r="CC426" s="3">
        <v>45608</v>
      </c>
      <c r="CD426" s="1">
        <v>6.55</v>
      </c>
      <c r="CE426" s="3">
        <v>45608</v>
      </c>
      <c r="CF426" s="1">
        <v>6.5110000000000001</v>
      </c>
      <c r="CG426" s="3">
        <v>45608</v>
      </c>
      <c r="CH426" s="1">
        <v>6.47</v>
      </c>
      <c r="CI426" s="3">
        <v>45608</v>
      </c>
      <c r="CJ426" s="1">
        <v>6.26</v>
      </c>
      <c r="CK426" s="3">
        <v>45608</v>
      </c>
      <c r="CL426" s="1">
        <v>6.04</v>
      </c>
      <c r="CM426" s="3">
        <v>45608</v>
      </c>
      <c r="CN426" s="1">
        <v>6.0274999999999999</v>
      </c>
      <c r="CO426" s="3">
        <v>45601</v>
      </c>
      <c r="CP426" s="1">
        <v>6.3724999999999996</v>
      </c>
      <c r="CQ426" s="3">
        <v>45601</v>
      </c>
      <c r="CR426" s="1">
        <v>6.3875000000000002</v>
      </c>
      <c r="CS426" s="3">
        <v>45601</v>
      </c>
      <c r="CT426" s="1">
        <v>6.4124999999999996</v>
      </c>
    </row>
    <row r="427" spans="31:98" x14ac:dyDescent="0.2">
      <c r="AE427" s="3">
        <v>45597</v>
      </c>
      <c r="AF427" s="1">
        <v>5.75</v>
      </c>
      <c r="AG427" s="3">
        <v>45579</v>
      </c>
      <c r="AH427" s="1">
        <v>5.86</v>
      </c>
      <c r="AI427" s="3">
        <v>45607</v>
      </c>
      <c r="AJ427" s="2">
        <v>5.8209999999999997</v>
      </c>
      <c r="AK427" s="3">
        <v>45607</v>
      </c>
      <c r="AL427" s="2">
        <v>5.7850000000000001</v>
      </c>
      <c r="AM427" s="3">
        <v>45607</v>
      </c>
      <c r="AN427" s="2">
        <v>5.665</v>
      </c>
      <c r="AO427" s="3">
        <v>45607</v>
      </c>
      <c r="AP427" s="2">
        <v>5.18</v>
      </c>
      <c r="AQ427" s="3">
        <v>45607</v>
      </c>
      <c r="AR427" s="2">
        <v>4.83</v>
      </c>
      <c r="AS427" s="3">
        <v>45607</v>
      </c>
      <c r="AT427" s="2">
        <v>4.58</v>
      </c>
      <c r="AU427" s="3">
        <v>45607</v>
      </c>
      <c r="AV427" s="2">
        <v>4.41</v>
      </c>
      <c r="AW427" s="3">
        <v>45607</v>
      </c>
      <c r="AX427" s="2">
        <v>4.29</v>
      </c>
      <c r="AY427" s="3">
        <v>45607</v>
      </c>
      <c r="AZ427" s="2">
        <v>4.21</v>
      </c>
      <c r="BB427" s="3">
        <v>45579</v>
      </c>
      <c r="BC427" s="1">
        <v>4.25</v>
      </c>
      <c r="BD427" s="3">
        <v>45580</v>
      </c>
      <c r="BE427" s="1">
        <v>4.1399999999999997</v>
      </c>
      <c r="BF427" s="3">
        <v>45607</v>
      </c>
      <c r="BG427" s="1">
        <v>3.9</v>
      </c>
      <c r="BH427" s="3">
        <v>45607</v>
      </c>
      <c r="BI427" s="1">
        <v>3.8079999999999998</v>
      </c>
      <c r="BJ427" s="3">
        <v>45607</v>
      </c>
      <c r="BK427" s="1">
        <v>3.71</v>
      </c>
      <c r="BL427" s="3">
        <v>45607</v>
      </c>
      <c r="BM427" s="1">
        <v>3.5049999999999999</v>
      </c>
      <c r="BN427" s="3">
        <v>45607</v>
      </c>
      <c r="BO427" s="1">
        <v>3.37</v>
      </c>
      <c r="BP427" s="3">
        <v>45607</v>
      </c>
      <c r="BQ427" s="1">
        <v>3.2850000000000001</v>
      </c>
      <c r="BR427" s="3">
        <v>45607</v>
      </c>
      <c r="BS427" s="1">
        <v>3.29</v>
      </c>
      <c r="BT427" s="3">
        <v>45607</v>
      </c>
      <c r="BU427" s="1">
        <v>3.3050000000000002</v>
      </c>
      <c r="BV427" s="3">
        <v>45607</v>
      </c>
      <c r="BW427" s="1">
        <v>3.3250000000000002</v>
      </c>
      <c r="BY427" s="3">
        <v>45583</v>
      </c>
      <c r="BZ427" s="1">
        <v>6.5</v>
      </c>
      <c r="CA427" s="3">
        <v>45573</v>
      </c>
      <c r="CB427" s="1">
        <v>6.3</v>
      </c>
      <c r="CC427" s="3">
        <v>45607</v>
      </c>
      <c r="CD427" s="1">
        <v>6.5540000000000003</v>
      </c>
      <c r="CE427" s="3">
        <v>45607</v>
      </c>
      <c r="CF427" s="1">
        <v>6.5259999999999998</v>
      </c>
      <c r="CG427" s="3">
        <v>45607</v>
      </c>
      <c r="CH427" s="1">
        <v>6.48</v>
      </c>
      <c r="CI427" s="3">
        <v>45607</v>
      </c>
      <c r="CJ427" s="1">
        <v>6.3</v>
      </c>
      <c r="CK427" s="3">
        <v>45607</v>
      </c>
      <c r="CL427" s="1">
        <v>6.07</v>
      </c>
      <c r="CM427" s="3">
        <v>45607</v>
      </c>
      <c r="CN427" s="1">
        <v>6.125</v>
      </c>
      <c r="CO427" s="3">
        <v>45600</v>
      </c>
      <c r="CP427" s="1">
        <v>6.3250000000000002</v>
      </c>
      <c r="CQ427" s="3">
        <v>45600</v>
      </c>
      <c r="CR427" s="1">
        <v>6.335</v>
      </c>
      <c r="CS427" s="3">
        <v>45600</v>
      </c>
      <c r="CT427" s="1">
        <v>6.35</v>
      </c>
    </row>
    <row r="428" spans="31:98" x14ac:dyDescent="0.2">
      <c r="AE428" s="3">
        <v>45596</v>
      </c>
      <c r="AF428" s="1">
        <v>5.75</v>
      </c>
      <c r="AG428" s="3">
        <v>45576</v>
      </c>
      <c r="AH428" s="1">
        <v>5.87</v>
      </c>
      <c r="AI428" s="3">
        <v>45604</v>
      </c>
      <c r="AJ428" s="2">
        <v>5.8209999999999997</v>
      </c>
      <c r="AK428" s="3">
        <v>45604</v>
      </c>
      <c r="AL428" s="2">
        <v>5.7850000000000001</v>
      </c>
      <c r="AM428" s="3">
        <v>45604</v>
      </c>
      <c r="AN428" s="2">
        <v>5.665</v>
      </c>
      <c r="AO428" s="3">
        <v>45604</v>
      </c>
      <c r="AP428" s="2">
        <v>5.18</v>
      </c>
      <c r="AQ428" s="3">
        <v>45604</v>
      </c>
      <c r="AR428" s="2">
        <v>4.83</v>
      </c>
      <c r="AS428" s="3">
        <v>45604</v>
      </c>
      <c r="AT428" s="2">
        <v>4.58</v>
      </c>
      <c r="AU428" s="3">
        <v>45604</v>
      </c>
      <c r="AV428" s="2">
        <v>4.41</v>
      </c>
      <c r="AW428" s="3">
        <v>45604</v>
      </c>
      <c r="AX428" s="2">
        <v>4.29</v>
      </c>
      <c r="AY428" s="3">
        <v>45604</v>
      </c>
      <c r="AZ428" s="2">
        <v>4.21</v>
      </c>
      <c r="BB428" s="3">
        <v>45576</v>
      </c>
      <c r="BC428" s="1">
        <v>4.25</v>
      </c>
      <c r="BD428" s="3">
        <v>45579</v>
      </c>
      <c r="BE428" s="1">
        <v>4.1500000000000004</v>
      </c>
      <c r="BF428" s="3">
        <v>45604</v>
      </c>
      <c r="BG428" s="1">
        <v>3.9049999999999998</v>
      </c>
      <c r="BH428" s="3">
        <v>45604</v>
      </c>
      <c r="BI428" s="1">
        <v>3.8050000000000002</v>
      </c>
      <c r="BJ428" s="3">
        <v>45604</v>
      </c>
      <c r="BK428" s="1">
        <v>3.7</v>
      </c>
      <c r="BL428" s="3">
        <v>45604</v>
      </c>
      <c r="BM428" s="1">
        <v>3.5150000000000001</v>
      </c>
      <c r="BN428" s="3">
        <v>45604</v>
      </c>
      <c r="BO428" s="1">
        <v>3.32</v>
      </c>
      <c r="BP428" s="3">
        <v>45604</v>
      </c>
      <c r="BQ428" s="1">
        <v>3.2130000000000001</v>
      </c>
      <c r="BR428" s="3">
        <v>45604</v>
      </c>
      <c r="BS428" s="1">
        <v>3.22</v>
      </c>
      <c r="BT428" s="3">
        <v>45604</v>
      </c>
      <c r="BU428" s="1">
        <v>3.23</v>
      </c>
      <c r="BV428" s="3">
        <v>45604</v>
      </c>
      <c r="BW428" s="1">
        <v>3.25</v>
      </c>
      <c r="BY428" s="3">
        <v>45582</v>
      </c>
      <c r="BZ428" s="1">
        <v>6.5</v>
      </c>
      <c r="CA428" s="3">
        <v>45572</v>
      </c>
      <c r="CB428" s="1">
        <v>6.31</v>
      </c>
      <c r="CC428" s="3">
        <v>45604</v>
      </c>
      <c r="CD428" s="1">
        <v>6.5069999999999997</v>
      </c>
      <c r="CE428" s="3">
        <v>45604</v>
      </c>
      <c r="CF428" s="1">
        <v>6.431</v>
      </c>
      <c r="CG428" s="3">
        <v>45604</v>
      </c>
      <c r="CH428" s="1">
        <v>6.35</v>
      </c>
      <c r="CI428" s="3">
        <v>45604</v>
      </c>
      <c r="CJ428" s="1">
        <v>6.1</v>
      </c>
      <c r="CK428" s="3">
        <v>45604</v>
      </c>
      <c r="CL428" s="1">
        <v>5.84</v>
      </c>
      <c r="CM428" s="3">
        <v>45604</v>
      </c>
      <c r="CN428" s="1">
        <v>5.87</v>
      </c>
      <c r="CO428" s="3">
        <v>45597</v>
      </c>
      <c r="CP428" s="1">
        <v>6.39</v>
      </c>
      <c r="CQ428" s="3">
        <v>45597</v>
      </c>
      <c r="CR428" s="1">
        <v>6.4</v>
      </c>
      <c r="CS428" s="3">
        <v>45597</v>
      </c>
      <c r="CT428" s="1">
        <v>6.415</v>
      </c>
    </row>
    <row r="429" spans="31:98" x14ac:dyDescent="0.2">
      <c r="AE429" s="3">
        <v>45595</v>
      </c>
      <c r="AF429" s="1">
        <v>5.75</v>
      </c>
      <c r="AG429" s="3">
        <v>45575</v>
      </c>
      <c r="AH429" s="1">
        <v>5.85</v>
      </c>
      <c r="AI429" s="3">
        <v>45603</v>
      </c>
      <c r="AJ429" s="2">
        <v>5.8135000000000003</v>
      </c>
      <c r="AK429" s="3">
        <v>45603</v>
      </c>
      <c r="AL429" s="2">
        <v>5.7750000000000004</v>
      </c>
      <c r="AM429" s="3">
        <v>45603</v>
      </c>
      <c r="AN429" s="2">
        <v>5.6550000000000002</v>
      </c>
      <c r="AO429" s="3">
        <v>45603</v>
      </c>
      <c r="AP429" s="2">
        <v>5.1449999999999996</v>
      </c>
      <c r="AQ429" s="3">
        <v>45603</v>
      </c>
      <c r="AR429" s="2">
        <v>4.7850000000000001</v>
      </c>
      <c r="AS429" s="3">
        <v>45603</v>
      </c>
      <c r="AT429" s="2">
        <v>4.53</v>
      </c>
      <c r="AU429" s="3">
        <v>45603</v>
      </c>
      <c r="AV429" s="2">
        <v>4.3650000000000002</v>
      </c>
      <c r="AW429" s="3">
        <v>45603</v>
      </c>
      <c r="AX429" s="2">
        <v>4.2450000000000001</v>
      </c>
      <c r="AY429" s="3">
        <v>45603</v>
      </c>
      <c r="AZ429" s="2">
        <v>4.1849999999999996</v>
      </c>
      <c r="BB429" s="3">
        <v>45575</v>
      </c>
      <c r="BC429" s="1">
        <v>4.25</v>
      </c>
      <c r="BD429" s="3">
        <v>45576</v>
      </c>
      <c r="BE429" s="1">
        <v>4.1500000000000004</v>
      </c>
      <c r="BF429" s="3">
        <v>45603</v>
      </c>
      <c r="BG429" s="1">
        <v>3.9249999999999998</v>
      </c>
      <c r="BH429" s="3">
        <v>45603</v>
      </c>
      <c r="BI429" s="1">
        <v>3.79</v>
      </c>
      <c r="BJ429" s="3">
        <v>45603</v>
      </c>
      <c r="BK429" s="1">
        <v>3.7</v>
      </c>
      <c r="BL429" s="3">
        <v>45603</v>
      </c>
      <c r="BM429" s="1">
        <v>3.5049999999999999</v>
      </c>
      <c r="BN429" s="3">
        <v>45603</v>
      </c>
      <c r="BO429" s="1">
        <v>3.355</v>
      </c>
      <c r="BP429" s="3">
        <v>45603</v>
      </c>
      <c r="BQ429" s="1">
        <v>3.23</v>
      </c>
      <c r="BR429" s="3">
        <v>45603</v>
      </c>
      <c r="BS429" s="1">
        <v>3.2349999999999999</v>
      </c>
      <c r="BT429" s="3">
        <v>45603</v>
      </c>
      <c r="BU429" s="1">
        <v>3.2450000000000001</v>
      </c>
      <c r="BV429" s="3">
        <v>45603</v>
      </c>
      <c r="BW429" s="1">
        <v>3.26</v>
      </c>
      <c r="BY429" s="3">
        <v>45581</v>
      </c>
      <c r="BZ429" s="1">
        <v>6.5</v>
      </c>
      <c r="CA429" s="3">
        <v>45569</v>
      </c>
      <c r="CB429" s="1">
        <v>6.31</v>
      </c>
      <c r="CC429" s="3">
        <v>45603</v>
      </c>
      <c r="CD429" s="1">
        <v>6.556</v>
      </c>
      <c r="CE429" s="3">
        <v>45603</v>
      </c>
      <c r="CF429" s="1">
        <v>6.4870000000000001</v>
      </c>
      <c r="CG429" s="3">
        <v>45603</v>
      </c>
      <c r="CH429" s="1">
        <v>6.41</v>
      </c>
      <c r="CI429" s="3">
        <v>45603</v>
      </c>
      <c r="CJ429" s="1">
        <v>6.18</v>
      </c>
      <c r="CK429" s="3">
        <v>45603</v>
      </c>
      <c r="CL429" s="1">
        <v>5.97</v>
      </c>
      <c r="CM429" s="3">
        <v>45603</v>
      </c>
      <c r="CN429" s="1">
        <v>6.0049999999999999</v>
      </c>
      <c r="CO429" s="3">
        <v>45596</v>
      </c>
      <c r="CP429" s="1">
        <v>6.39</v>
      </c>
      <c r="CQ429" s="3">
        <v>45596</v>
      </c>
      <c r="CR429" s="1">
        <v>6.4</v>
      </c>
      <c r="CS429" s="3">
        <v>45596</v>
      </c>
      <c r="CT429" s="1">
        <v>6.415</v>
      </c>
    </row>
    <row r="430" spans="31:98" x14ac:dyDescent="0.2">
      <c r="AE430" s="3">
        <v>45594</v>
      </c>
      <c r="AF430" s="1">
        <v>5.75</v>
      </c>
      <c r="AG430" s="3">
        <v>45574</v>
      </c>
      <c r="AH430" s="1">
        <v>5.86</v>
      </c>
      <c r="AI430" s="3">
        <v>45602</v>
      </c>
      <c r="AJ430" s="2">
        <v>5.8259999999999996</v>
      </c>
      <c r="AK430" s="3">
        <v>45602</v>
      </c>
      <c r="AL430" s="2">
        <v>5.8049999999999997</v>
      </c>
      <c r="AM430" s="3">
        <v>45602</v>
      </c>
      <c r="AN430" s="2">
        <v>5.6849999999999996</v>
      </c>
      <c r="AO430" s="3">
        <v>45602</v>
      </c>
      <c r="AP430" s="2">
        <v>5.3150000000000004</v>
      </c>
      <c r="AQ430" s="3">
        <v>45602</v>
      </c>
      <c r="AR430" s="2">
        <v>4.9950000000000001</v>
      </c>
      <c r="AS430" s="3">
        <v>45602</v>
      </c>
      <c r="AT430" s="2">
        <v>4.75</v>
      </c>
      <c r="AU430" s="3">
        <v>45602</v>
      </c>
      <c r="AV430" s="2">
        <v>4.59</v>
      </c>
      <c r="AW430" s="3">
        <v>45602</v>
      </c>
      <c r="AX430" s="2">
        <v>4.4749999999999996</v>
      </c>
      <c r="AY430" s="3">
        <v>45602</v>
      </c>
      <c r="AZ430" s="2">
        <v>4.41</v>
      </c>
      <c r="BB430" s="3">
        <v>45574</v>
      </c>
      <c r="BC430" s="1">
        <v>4.25</v>
      </c>
      <c r="BD430" s="3">
        <v>45575</v>
      </c>
      <c r="BE430" s="1">
        <v>4.1500000000000004</v>
      </c>
      <c r="BF430" s="3">
        <v>45602</v>
      </c>
      <c r="BG430" s="1">
        <v>3.9649999999999999</v>
      </c>
      <c r="BH430" s="3">
        <v>45602</v>
      </c>
      <c r="BI430" s="1">
        <v>3.843</v>
      </c>
      <c r="BJ430" s="3">
        <v>45602</v>
      </c>
      <c r="BK430" s="1">
        <v>3.82</v>
      </c>
      <c r="BL430" s="3">
        <v>45602</v>
      </c>
      <c r="BM430" s="1">
        <v>3.62</v>
      </c>
      <c r="BN430" s="3">
        <v>45602</v>
      </c>
      <c r="BO430" s="1">
        <v>3.51</v>
      </c>
      <c r="BP430" s="3">
        <v>45602</v>
      </c>
      <c r="BQ430" s="1">
        <v>3.43</v>
      </c>
      <c r="BR430" s="3">
        <v>45602</v>
      </c>
      <c r="BS430" s="1">
        <v>3.4350000000000001</v>
      </c>
      <c r="BT430" s="3">
        <v>45602</v>
      </c>
      <c r="BU430" s="1">
        <v>3.4449999999999998</v>
      </c>
      <c r="BV430" s="3">
        <v>45602</v>
      </c>
      <c r="BW430" s="1">
        <v>3.46</v>
      </c>
      <c r="BY430" s="3">
        <v>45580</v>
      </c>
      <c r="BZ430" s="1">
        <v>6.5</v>
      </c>
      <c r="CA430" s="3">
        <v>45568</v>
      </c>
      <c r="CB430" s="1">
        <v>6.3</v>
      </c>
      <c r="CC430" s="3">
        <v>45602</v>
      </c>
      <c r="CD430" s="1">
        <v>6.6340000000000003</v>
      </c>
      <c r="CE430" s="3">
        <v>45602</v>
      </c>
      <c r="CF430" s="1">
        <v>6.718</v>
      </c>
      <c r="CG430" s="3">
        <v>45602</v>
      </c>
      <c r="CH430" s="1">
        <v>6.71</v>
      </c>
      <c r="CI430" s="3">
        <v>45602</v>
      </c>
      <c r="CJ430" s="1">
        <v>6.55</v>
      </c>
      <c r="CK430" s="3">
        <v>45602</v>
      </c>
      <c r="CL430" s="1">
        <v>6.46</v>
      </c>
      <c r="CM430" s="3">
        <v>45602</v>
      </c>
      <c r="CN430" s="1">
        <v>6.5</v>
      </c>
      <c r="CO430" s="3">
        <v>45595</v>
      </c>
      <c r="CP430" s="1">
        <v>6.2350000000000003</v>
      </c>
      <c r="CQ430" s="3">
        <v>45595</v>
      </c>
      <c r="CR430" s="1">
        <v>6.2450000000000001</v>
      </c>
      <c r="CS430" s="3">
        <v>45595</v>
      </c>
      <c r="CT430" s="1">
        <v>6.2549999999999999</v>
      </c>
    </row>
    <row r="431" spans="31:98" x14ac:dyDescent="0.2">
      <c r="AE431" s="3">
        <v>45593</v>
      </c>
      <c r="AF431" s="1">
        <v>5.75</v>
      </c>
      <c r="AG431" s="3">
        <v>45573</v>
      </c>
      <c r="AH431" s="1">
        <v>5.85</v>
      </c>
      <c r="AI431" s="3">
        <v>45601</v>
      </c>
      <c r="AJ431" s="2">
        <v>5.8250000000000002</v>
      </c>
      <c r="AK431" s="3">
        <v>45601</v>
      </c>
      <c r="AL431" s="2">
        <v>5.8250000000000002</v>
      </c>
      <c r="AM431" s="3">
        <v>45601</v>
      </c>
      <c r="AN431" s="2">
        <v>5.7</v>
      </c>
      <c r="AO431" s="3">
        <v>45601</v>
      </c>
      <c r="AP431" s="2">
        <v>5.3150000000000004</v>
      </c>
      <c r="AQ431" s="3">
        <v>45601</v>
      </c>
      <c r="AR431" s="2">
        <v>4.9850000000000003</v>
      </c>
      <c r="AS431" s="3">
        <v>45601</v>
      </c>
      <c r="AT431" s="2">
        <v>4.7450000000000001</v>
      </c>
      <c r="AU431" s="3">
        <v>45601</v>
      </c>
      <c r="AV431" s="2">
        <v>4.58</v>
      </c>
      <c r="AW431" s="3">
        <v>45601</v>
      </c>
      <c r="AX431" s="2">
        <v>4.4649999999999999</v>
      </c>
      <c r="AY431" s="3">
        <v>45601</v>
      </c>
      <c r="AZ431" s="2">
        <v>4.3899999999999997</v>
      </c>
      <c r="BB431" s="3">
        <v>45573</v>
      </c>
      <c r="BC431" s="1">
        <v>4.25</v>
      </c>
      <c r="BD431" s="3">
        <v>45574</v>
      </c>
      <c r="BE431" s="1">
        <v>4.17</v>
      </c>
      <c r="BF431" s="3">
        <v>45601</v>
      </c>
      <c r="BG431" s="1">
        <v>3.9649999999999999</v>
      </c>
      <c r="BH431" s="3">
        <v>45601</v>
      </c>
      <c r="BI431" s="1">
        <v>3.85</v>
      </c>
      <c r="BJ431" s="3">
        <v>45601</v>
      </c>
      <c r="BK431" s="1">
        <v>3.8250000000000002</v>
      </c>
      <c r="BL431" s="3">
        <v>45601</v>
      </c>
      <c r="BM431" s="1">
        <v>3.625</v>
      </c>
      <c r="BN431" s="3">
        <v>45601</v>
      </c>
      <c r="BO431" s="1">
        <v>3.51</v>
      </c>
      <c r="BP431" s="3">
        <v>45601</v>
      </c>
      <c r="BQ431" s="1">
        <v>3.45</v>
      </c>
      <c r="BR431" s="3">
        <v>45601</v>
      </c>
      <c r="BS431" s="1">
        <v>3.47</v>
      </c>
      <c r="BT431" s="3">
        <v>45601</v>
      </c>
      <c r="BU431" s="1">
        <v>3.4929999999999999</v>
      </c>
      <c r="BV431" s="3">
        <v>45601</v>
      </c>
      <c r="BW431" s="1">
        <v>3.5179999999999998</v>
      </c>
      <c r="BY431" s="3">
        <v>45579</v>
      </c>
      <c r="BZ431" s="1">
        <v>6.5</v>
      </c>
      <c r="CA431" s="3">
        <v>45567</v>
      </c>
      <c r="CB431" s="1">
        <v>6.3</v>
      </c>
      <c r="CC431" s="3">
        <v>45601</v>
      </c>
      <c r="CD431" s="1">
        <v>6.5570000000000004</v>
      </c>
      <c r="CE431" s="3">
        <v>45601</v>
      </c>
      <c r="CF431" s="1">
        <v>6.6079999999999997</v>
      </c>
      <c r="CG431" s="3">
        <v>45601</v>
      </c>
      <c r="CH431" s="1">
        <v>6.59</v>
      </c>
      <c r="CI431" s="3">
        <v>45601</v>
      </c>
      <c r="CJ431" s="1">
        <v>6.46</v>
      </c>
      <c r="CK431" s="3">
        <v>45601</v>
      </c>
      <c r="CL431" s="1">
        <v>6.35</v>
      </c>
      <c r="CM431" s="3">
        <v>45601</v>
      </c>
      <c r="CN431" s="1">
        <v>6.3624999999999998</v>
      </c>
      <c r="CO431" s="3">
        <v>45594</v>
      </c>
      <c r="CP431" s="1">
        <v>6.1825000000000001</v>
      </c>
      <c r="CQ431" s="3">
        <v>45594</v>
      </c>
      <c r="CR431" s="1">
        <v>6.1974999999999998</v>
      </c>
      <c r="CS431" s="3">
        <v>45594</v>
      </c>
      <c r="CT431" s="1">
        <v>6.2175000000000002</v>
      </c>
    </row>
    <row r="432" spans="31:98" x14ac:dyDescent="0.2">
      <c r="AE432" s="3">
        <v>45590</v>
      </c>
      <c r="AF432" s="1">
        <v>5.75</v>
      </c>
      <c r="AG432" s="3">
        <v>45572</v>
      </c>
      <c r="AH432" s="1">
        <v>5.85</v>
      </c>
      <c r="AI432" s="3">
        <v>45600</v>
      </c>
      <c r="AJ432" s="2">
        <v>5.8330000000000002</v>
      </c>
      <c r="AK432" s="3">
        <v>45600</v>
      </c>
      <c r="AL432" s="2">
        <v>5.82</v>
      </c>
      <c r="AM432" s="3">
        <v>45600</v>
      </c>
      <c r="AN432" s="2">
        <v>5.6950000000000003</v>
      </c>
      <c r="AO432" s="3">
        <v>45600</v>
      </c>
      <c r="AP432" s="2">
        <v>5.28</v>
      </c>
      <c r="AQ432" s="3">
        <v>45600</v>
      </c>
      <c r="AR432" s="2">
        <v>4.9349999999999996</v>
      </c>
      <c r="AS432" s="3">
        <v>45600</v>
      </c>
      <c r="AT432" s="2">
        <v>4.6849999999999996</v>
      </c>
      <c r="AU432" s="3">
        <v>45600</v>
      </c>
      <c r="AV432" s="2">
        <v>4.5149999999999997</v>
      </c>
      <c r="AW432" s="3">
        <v>45600</v>
      </c>
      <c r="AX432" s="2">
        <v>4.4000000000000004</v>
      </c>
      <c r="AY432" s="3">
        <v>45600</v>
      </c>
      <c r="AZ432" s="2">
        <v>4.33</v>
      </c>
      <c r="BB432" s="3">
        <v>45572</v>
      </c>
      <c r="BC432" s="1">
        <v>4.25</v>
      </c>
      <c r="BD432" s="3">
        <v>45573</v>
      </c>
      <c r="BE432" s="1">
        <v>4.17</v>
      </c>
      <c r="BF432" s="3">
        <v>45600</v>
      </c>
      <c r="BG432" s="1">
        <v>3.95</v>
      </c>
      <c r="BH432" s="3">
        <v>45600</v>
      </c>
      <c r="BI432" s="1">
        <v>3.8330000000000002</v>
      </c>
      <c r="BJ432" s="3">
        <v>45600</v>
      </c>
      <c r="BK432" s="1">
        <v>3.8149999999999999</v>
      </c>
      <c r="BL432" s="3">
        <v>45600</v>
      </c>
      <c r="BM432" s="1">
        <v>3.58</v>
      </c>
      <c r="BN432" s="3">
        <v>45600</v>
      </c>
      <c r="BO432" s="1">
        <v>3.45</v>
      </c>
      <c r="BP432" s="3">
        <v>45600</v>
      </c>
      <c r="BQ432" s="1">
        <v>3.355</v>
      </c>
      <c r="BR432" s="3">
        <v>45600</v>
      </c>
      <c r="BS432" s="1">
        <v>3.3650000000000002</v>
      </c>
      <c r="BT432" s="3">
        <v>45600</v>
      </c>
      <c r="BU432" s="1">
        <v>3.375</v>
      </c>
      <c r="BV432" s="3">
        <v>45600</v>
      </c>
      <c r="BW432" s="1">
        <v>3.395</v>
      </c>
      <c r="BY432" s="3">
        <v>45576</v>
      </c>
      <c r="BZ432" s="1">
        <v>6.5</v>
      </c>
      <c r="CA432" s="3">
        <v>45566</v>
      </c>
      <c r="CB432" s="1">
        <v>6.31</v>
      </c>
      <c r="CC432" s="3">
        <v>45600</v>
      </c>
      <c r="CD432" s="1">
        <v>6.5389999999999997</v>
      </c>
      <c r="CE432" s="3">
        <v>45600</v>
      </c>
      <c r="CF432" s="1">
        <v>6.5780000000000003</v>
      </c>
      <c r="CG432" s="3">
        <v>45600</v>
      </c>
      <c r="CH432" s="1">
        <v>6.52</v>
      </c>
      <c r="CI432" s="3">
        <v>45600</v>
      </c>
      <c r="CJ432" s="1">
        <v>6.38</v>
      </c>
      <c r="CK432" s="3">
        <v>45600</v>
      </c>
      <c r="CL432" s="1">
        <v>6.3</v>
      </c>
      <c r="CM432" s="3">
        <v>45600</v>
      </c>
      <c r="CN432" s="1">
        <v>6.32</v>
      </c>
      <c r="CO432" s="3">
        <v>45593</v>
      </c>
      <c r="CP432" s="1">
        <v>6.2125000000000004</v>
      </c>
      <c r="CQ432" s="3">
        <v>45593</v>
      </c>
      <c r="CR432" s="1">
        <v>6.2324999999999999</v>
      </c>
      <c r="CS432" s="3">
        <v>45593</v>
      </c>
      <c r="CT432" s="1">
        <v>6.2575000000000003</v>
      </c>
    </row>
    <row r="433" spans="31:98" x14ac:dyDescent="0.2">
      <c r="AE433" s="3">
        <v>45589</v>
      </c>
      <c r="AF433" s="1">
        <v>5.75</v>
      </c>
      <c r="AG433" s="3">
        <v>45569</v>
      </c>
      <c r="AH433" s="1">
        <v>5.85</v>
      </c>
      <c r="AI433" s="3">
        <v>45597</v>
      </c>
      <c r="AJ433" s="2">
        <v>5.8380000000000001</v>
      </c>
      <c r="AK433" s="3">
        <v>45597</v>
      </c>
      <c r="AL433" s="2">
        <v>5.83</v>
      </c>
      <c r="AM433" s="3">
        <v>45597</v>
      </c>
      <c r="AN433" s="2">
        <v>5.73</v>
      </c>
      <c r="AO433" s="3">
        <v>45597</v>
      </c>
      <c r="AP433" s="2">
        <v>5.37</v>
      </c>
      <c r="AQ433" s="3">
        <v>45597</v>
      </c>
      <c r="AR433" s="2">
        <v>5.0650000000000004</v>
      </c>
      <c r="AS433" s="3">
        <v>45597</v>
      </c>
      <c r="AT433" s="2">
        <v>4.8499999999999996</v>
      </c>
      <c r="AU433" s="3">
        <v>45597</v>
      </c>
      <c r="AV433" s="2">
        <v>4.7</v>
      </c>
      <c r="AW433" s="3">
        <v>45597</v>
      </c>
      <c r="AX433" s="2">
        <v>4.59</v>
      </c>
      <c r="AY433" s="3">
        <v>45597</v>
      </c>
      <c r="AZ433" s="2">
        <v>4.5250000000000004</v>
      </c>
      <c r="BB433" s="3">
        <v>45569</v>
      </c>
      <c r="BC433" s="1">
        <v>4.25</v>
      </c>
      <c r="BD433" s="3">
        <v>45572</v>
      </c>
      <c r="BE433" s="1">
        <v>4.18</v>
      </c>
      <c r="BF433" s="3">
        <v>45597</v>
      </c>
      <c r="BG433" s="1">
        <v>3.9649999999999999</v>
      </c>
      <c r="BH433" s="3">
        <v>45597</v>
      </c>
      <c r="BI433" s="1">
        <v>3.85</v>
      </c>
      <c r="BJ433" s="3">
        <v>45597</v>
      </c>
      <c r="BK433" s="1">
        <v>3.835</v>
      </c>
      <c r="BL433" s="3">
        <v>45597</v>
      </c>
      <c r="BM433" s="1">
        <v>3.5950000000000002</v>
      </c>
      <c r="BN433" s="3">
        <v>45597</v>
      </c>
      <c r="BO433" s="1">
        <v>3.46</v>
      </c>
      <c r="BP433" s="3">
        <v>45597</v>
      </c>
      <c r="BQ433" s="1">
        <v>3.38</v>
      </c>
      <c r="BR433" s="3">
        <v>45597</v>
      </c>
      <c r="BS433" s="1">
        <v>3.39</v>
      </c>
      <c r="BT433" s="3">
        <v>45597</v>
      </c>
      <c r="BU433" s="1">
        <v>3.4</v>
      </c>
      <c r="BV433" s="3">
        <v>45597</v>
      </c>
      <c r="BW433" s="1">
        <v>3.42</v>
      </c>
      <c r="BY433" s="3">
        <v>45575</v>
      </c>
      <c r="BZ433" s="1">
        <v>6.5</v>
      </c>
      <c r="CA433" s="3">
        <v>45565</v>
      </c>
      <c r="CB433" s="1">
        <v>6.32</v>
      </c>
      <c r="CC433" s="3">
        <v>45597</v>
      </c>
      <c r="CD433" s="1">
        <v>6.5246000000000004</v>
      </c>
      <c r="CE433" s="3">
        <v>45597</v>
      </c>
      <c r="CF433" s="1">
        <v>6.5909000000000004</v>
      </c>
      <c r="CG433" s="3">
        <v>45597</v>
      </c>
      <c r="CH433" s="1">
        <v>6.5609000000000002</v>
      </c>
      <c r="CI433" s="3">
        <v>45597</v>
      </c>
      <c r="CJ433" s="1">
        <v>6.4904000000000002</v>
      </c>
      <c r="CK433" s="3">
        <v>45597</v>
      </c>
      <c r="CL433" s="1">
        <v>6.3806000000000003</v>
      </c>
      <c r="CM433" s="3">
        <v>45597</v>
      </c>
      <c r="CN433" s="1">
        <v>6.3849999999999998</v>
      </c>
      <c r="CO433" s="3">
        <v>45590</v>
      </c>
      <c r="CP433" s="1">
        <v>6.08</v>
      </c>
      <c r="CQ433" s="3">
        <v>45590</v>
      </c>
      <c r="CR433" s="1">
        <v>6.09</v>
      </c>
      <c r="CS433" s="3">
        <v>45590</v>
      </c>
      <c r="CT433" s="1">
        <v>6.1050000000000004</v>
      </c>
    </row>
    <row r="434" spans="31:98" x14ac:dyDescent="0.2">
      <c r="AE434" s="3">
        <v>45588</v>
      </c>
      <c r="AF434" s="1">
        <v>5.75</v>
      </c>
      <c r="AG434" s="3">
        <v>45568</v>
      </c>
      <c r="AH434" s="1">
        <v>5.85</v>
      </c>
      <c r="AI434" s="3">
        <v>45596</v>
      </c>
      <c r="AJ434" s="2">
        <v>5.8380000000000001</v>
      </c>
      <c r="AK434" s="3">
        <v>45596</v>
      </c>
      <c r="AL434" s="2">
        <v>5.83</v>
      </c>
      <c r="AM434" s="3">
        <v>45596</v>
      </c>
      <c r="AN434" s="2">
        <v>5.73</v>
      </c>
      <c r="AO434" s="3">
        <v>45596</v>
      </c>
      <c r="AP434" s="2">
        <v>5.37</v>
      </c>
      <c r="AQ434" s="3">
        <v>45596</v>
      </c>
      <c r="AR434" s="2">
        <v>5.0650000000000004</v>
      </c>
      <c r="AS434" s="3">
        <v>45596</v>
      </c>
      <c r="AT434" s="2">
        <v>4.8499999999999996</v>
      </c>
      <c r="AU434" s="3">
        <v>45596</v>
      </c>
      <c r="AV434" s="2">
        <v>4.7</v>
      </c>
      <c r="AW434" s="3">
        <v>45596</v>
      </c>
      <c r="AX434" s="2">
        <v>4.59</v>
      </c>
      <c r="AY434" s="3">
        <v>45596</v>
      </c>
      <c r="AZ434" s="2">
        <v>4.5250000000000004</v>
      </c>
      <c r="BB434" s="3">
        <v>45568</v>
      </c>
      <c r="BC434" s="1">
        <v>4.25</v>
      </c>
      <c r="BD434" s="3">
        <v>45569</v>
      </c>
      <c r="BE434" s="1">
        <v>4.17</v>
      </c>
      <c r="BF434" s="3">
        <v>45596</v>
      </c>
      <c r="BG434" s="1">
        <v>3.9649999999999999</v>
      </c>
      <c r="BH434" s="3">
        <v>45596</v>
      </c>
      <c r="BI434" s="1">
        <v>3.84</v>
      </c>
      <c r="BJ434" s="3">
        <v>45596</v>
      </c>
      <c r="BK434" s="1">
        <v>3.83</v>
      </c>
      <c r="BL434" s="3">
        <v>45596</v>
      </c>
      <c r="BM434" s="1">
        <v>3.56</v>
      </c>
      <c r="BN434" s="3">
        <v>45596</v>
      </c>
      <c r="BO434" s="1">
        <v>3.4</v>
      </c>
      <c r="BP434" s="3">
        <v>45596</v>
      </c>
      <c r="BQ434" s="1">
        <v>3.33</v>
      </c>
      <c r="BR434" s="3">
        <v>45596</v>
      </c>
      <c r="BS434" s="1">
        <v>3.335</v>
      </c>
      <c r="BT434" s="3">
        <v>45596</v>
      </c>
      <c r="BU434" s="1">
        <v>3.35</v>
      </c>
      <c r="BV434" s="3">
        <v>45596</v>
      </c>
      <c r="BW434" s="1">
        <v>3.37</v>
      </c>
      <c r="BY434" s="3">
        <v>45574</v>
      </c>
      <c r="BZ434" s="1">
        <v>6.5</v>
      </c>
      <c r="CA434" s="3">
        <v>45562</v>
      </c>
      <c r="CB434" s="1">
        <v>6.33</v>
      </c>
      <c r="CC434" s="3">
        <v>45596</v>
      </c>
      <c r="CD434" s="1">
        <v>6.5279999999999996</v>
      </c>
      <c r="CE434" s="3">
        <v>45596</v>
      </c>
      <c r="CF434" s="1">
        <v>6.5919999999999996</v>
      </c>
      <c r="CG434" s="3">
        <v>45596</v>
      </c>
      <c r="CH434" s="1">
        <v>6.56</v>
      </c>
      <c r="CI434" s="3">
        <v>45596</v>
      </c>
      <c r="CJ434" s="1">
        <v>6.49</v>
      </c>
      <c r="CK434" s="3">
        <v>45596</v>
      </c>
      <c r="CL434" s="1">
        <v>6.38</v>
      </c>
      <c r="CM434" s="3">
        <v>45596</v>
      </c>
      <c r="CN434" s="1">
        <v>6.3849999999999998</v>
      </c>
      <c r="CO434" s="3">
        <v>45589</v>
      </c>
      <c r="CP434" s="1">
        <v>5.8949999999999996</v>
      </c>
      <c r="CQ434" s="3">
        <v>45589</v>
      </c>
      <c r="CR434" s="1">
        <v>5.9</v>
      </c>
      <c r="CS434" s="3">
        <v>45589</v>
      </c>
      <c r="CT434" s="1">
        <v>5.91</v>
      </c>
    </row>
    <row r="435" spans="31:98" x14ac:dyDescent="0.2">
      <c r="AE435" s="3">
        <v>45587</v>
      </c>
      <c r="AF435" s="1">
        <v>5.75</v>
      </c>
      <c r="AG435" s="3">
        <v>45567</v>
      </c>
      <c r="AH435" s="1">
        <v>5.86</v>
      </c>
      <c r="AI435" s="3">
        <v>45595</v>
      </c>
      <c r="AJ435" s="2">
        <v>5.8315000000000001</v>
      </c>
      <c r="AK435" s="3">
        <v>45595</v>
      </c>
      <c r="AL435" s="2">
        <v>5.8150000000000004</v>
      </c>
      <c r="AM435" s="3">
        <v>45595</v>
      </c>
      <c r="AN435" s="2">
        <v>5.71</v>
      </c>
      <c r="AO435" s="3">
        <v>45595</v>
      </c>
      <c r="AP435" s="2">
        <v>5.31</v>
      </c>
      <c r="AQ435" s="3">
        <v>45595</v>
      </c>
      <c r="AR435" s="2">
        <v>4.9850000000000003</v>
      </c>
      <c r="AS435" s="3">
        <v>45595</v>
      </c>
      <c r="AT435" s="2">
        <v>4.7699999999999996</v>
      </c>
      <c r="AU435" s="3">
        <v>45595</v>
      </c>
      <c r="AV435" s="2">
        <v>4.6150000000000002</v>
      </c>
      <c r="AW435" s="3">
        <v>45595</v>
      </c>
      <c r="AX435" s="2">
        <v>4.51</v>
      </c>
      <c r="AY435" s="3">
        <v>45595</v>
      </c>
      <c r="AZ435" s="2">
        <v>4.4400000000000004</v>
      </c>
      <c r="BB435" s="3">
        <v>45567</v>
      </c>
      <c r="BC435" s="1">
        <v>4.25</v>
      </c>
      <c r="BD435" s="3">
        <v>45568</v>
      </c>
      <c r="BE435" s="1">
        <v>4.18</v>
      </c>
      <c r="BF435" s="3">
        <v>45595</v>
      </c>
      <c r="BG435" s="1">
        <v>3.9449999999999998</v>
      </c>
      <c r="BH435" s="3">
        <v>45595</v>
      </c>
      <c r="BI435" s="1">
        <v>3.8079999999999998</v>
      </c>
      <c r="BJ435" s="3">
        <v>45595</v>
      </c>
      <c r="BK435" s="1">
        <v>3.7879999999999998</v>
      </c>
      <c r="BL435" s="3">
        <v>45595</v>
      </c>
      <c r="BM435" s="1">
        <v>3.5150000000000001</v>
      </c>
      <c r="BN435" s="3">
        <v>45595</v>
      </c>
      <c r="BO435" s="1">
        <v>3.3650000000000002</v>
      </c>
      <c r="BP435" s="3">
        <v>45595</v>
      </c>
      <c r="BQ435" s="1">
        <v>3.3050000000000002</v>
      </c>
      <c r="BR435" s="3">
        <v>45595</v>
      </c>
      <c r="BS435" s="1">
        <v>3.3050000000000002</v>
      </c>
      <c r="BT435" s="3">
        <v>45595</v>
      </c>
      <c r="BU435" s="1">
        <v>3.32</v>
      </c>
      <c r="BV435" s="3">
        <v>45595</v>
      </c>
      <c r="BW435" s="1">
        <v>3.3450000000000002</v>
      </c>
      <c r="BY435" s="3">
        <v>45573</v>
      </c>
      <c r="BZ435" s="1">
        <v>6.5</v>
      </c>
      <c r="CA435" s="3">
        <v>45561</v>
      </c>
      <c r="CB435" s="1">
        <v>6.34</v>
      </c>
      <c r="CC435" s="3">
        <v>45595</v>
      </c>
      <c r="CD435" s="1">
        <v>6.4889999999999999</v>
      </c>
      <c r="CE435" s="3">
        <v>45595</v>
      </c>
      <c r="CF435" s="1">
        <v>6.5209999999999999</v>
      </c>
      <c r="CG435" s="3">
        <v>45595</v>
      </c>
      <c r="CH435" s="1">
        <v>6.49</v>
      </c>
      <c r="CI435" s="3">
        <v>45595</v>
      </c>
      <c r="CJ435" s="1">
        <v>6.37</v>
      </c>
      <c r="CK435" s="3">
        <v>45595</v>
      </c>
      <c r="CL435" s="1">
        <v>6.24</v>
      </c>
      <c r="CM435" s="3">
        <v>45595</v>
      </c>
      <c r="CN435" s="1">
        <v>6.23</v>
      </c>
      <c r="CO435" s="3">
        <v>45588</v>
      </c>
      <c r="CP435" s="1">
        <v>5.835</v>
      </c>
      <c r="CQ435" s="3">
        <v>45588</v>
      </c>
      <c r="CR435" s="1">
        <v>5.8375000000000004</v>
      </c>
      <c r="CS435" s="3">
        <v>45588</v>
      </c>
      <c r="CT435" s="1">
        <v>5.8449999999999998</v>
      </c>
    </row>
    <row r="436" spans="31:98" x14ac:dyDescent="0.2">
      <c r="AE436" s="3">
        <v>45586</v>
      </c>
      <c r="AF436" s="1">
        <v>5.75</v>
      </c>
      <c r="AG436" s="3">
        <v>45566</v>
      </c>
      <c r="AH436" s="1">
        <v>5.84</v>
      </c>
      <c r="AI436" s="3">
        <v>45594</v>
      </c>
      <c r="AJ436" s="2">
        <v>5.8334999999999999</v>
      </c>
      <c r="AK436" s="3">
        <v>45594</v>
      </c>
      <c r="AL436" s="2">
        <v>5.8</v>
      </c>
      <c r="AM436" s="3">
        <v>45594</v>
      </c>
      <c r="AN436" s="2">
        <v>5.71</v>
      </c>
      <c r="AO436" s="3">
        <v>45594</v>
      </c>
      <c r="AP436" s="2">
        <v>5.28</v>
      </c>
      <c r="AQ436" s="3">
        <v>45594</v>
      </c>
      <c r="AR436" s="2">
        <v>4.9349999999999996</v>
      </c>
      <c r="AS436" s="3">
        <v>45594</v>
      </c>
      <c r="AT436" s="2">
        <v>4.7249999999999996</v>
      </c>
      <c r="AU436" s="3">
        <v>45594</v>
      </c>
      <c r="AV436" s="2">
        <v>4.57</v>
      </c>
      <c r="AW436" s="3">
        <v>45594</v>
      </c>
      <c r="AX436" s="2">
        <v>4.4550000000000001</v>
      </c>
      <c r="AY436" s="3">
        <v>45594</v>
      </c>
      <c r="AZ436" s="2">
        <v>4.3899999999999997</v>
      </c>
      <c r="BB436" s="3">
        <v>45566</v>
      </c>
      <c r="BC436" s="1">
        <v>4.25</v>
      </c>
      <c r="BD436" s="3">
        <v>45567</v>
      </c>
      <c r="BE436" s="1">
        <v>4.18</v>
      </c>
      <c r="BF436" s="3">
        <v>45594</v>
      </c>
      <c r="BG436" s="1">
        <v>3.94</v>
      </c>
      <c r="BH436" s="3">
        <v>45594</v>
      </c>
      <c r="BI436" s="1">
        <v>3.8149999999999999</v>
      </c>
      <c r="BJ436" s="3">
        <v>45594</v>
      </c>
      <c r="BK436" s="1">
        <v>3.8</v>
      </c>
      <c r="BL436" s="3">
        <v>45594</v>
      </c>
      <c r="BM436" s="1">
        <v>3.5249999999999999</v>
      </c>
      <c r="BN436" s="3">
        <v>45594</v>
      </c>
      <c r="BO436" s="1">
        <v>3.375</v>
      </c>
      <c r="BP436" s="3">
        <v>45594</v>
      </c>
      <c r="BQ436" s="1">
        <v>3.31</v>
      </c>
      <c r="BR436" s="3">
        <v>45594</v>
      </c>
      <c r="BS436" s="1">
        <v>3.3149999999999999</v>
      </c>
      <c r="BT436" s="3">
        <v>45594</v>
      </c>
      <c r="BU436" s="1">
        <v>3.33</v>
      </c>
      <c r="BV436" s="3">
        <v>45594</v>
      </c>
      <c r="BW436" s="1">
        <v>3.355</v>
      </c>
      <c r="BY436" s="3">
        <v>45572</v>
      </c>
      <c r="BZ436" s="1">
        <v>6.5</v>
      </c>
      <c r="CA436" s="3">
        <v>45560</v>
      </c>
      <c r="CB436" s="1">
        <v>6.35</v>
      </c>
      <c r="CC436" s="3">
        <v>45594</v>
      </c>
      <c r="CD436" s="1">
        <v>6.47</v>
      </c>
      <c r="CE436" s="3">
        <v>45594</v>
      </c>
      <c r="CF436" s="1">
        <v>6.4749999999999996</v>
      </c>
      <c r="CG436" s="3">
        <v>45594</v>
      </c>
      <c r="CH436" s="1">
        <v>6.41</v>
      </c>
      <c r="CI436" s="3">
        <v>45594</v>
      </c>
      <c r="CJ436" s="1">
        <v>6.3</v>
      </c>
      <c r="CK436" s="3">
        <v>45594</v>
      </c>
      <c r="CL436" s="1">
        <v>6.18</v>
      </c>
      <c r="CM436" s="3">
        <v>45594</v>
      </c>
      <c r="CN436" s="1">
        <v>6.1725000000000003</v>
      </c>
      <c r="CO436" s="3">
        <v>45587</v>
      </c>
      <c r="CP436" s="1">
        <v>5.835</v>
      </c>
      <c r="CQ436" s="3">
        <v>45587</v>
      </c>
      <c r="CR436" s="1">
        <v>5.8375000000000004</v>
      </c>
      <c r="CS436" s="3">
        <v>45587</v>
      </c>
      <c r="CT436" s="1">
        <v>5.8449999999999998</v>
      </c>
    </row>
    <row r="437" spans="31:98" x14ac:dyDescent="0.2">
      <c r="AE437" s="3">
        <v>45583</v>
      </c>
      <c r="AF437" s="1">
        <v>5.75</v>
      </c>
      <c r="AG437" s="3">
        <v>45565</v>
      </c>
      <c r="AH437" s="1">
        <v>5.85</v>
      </c>
      <c r="AI437" s="3">
        <v>45593</v>
      </c>
      <c r="AJ437" s="2">
        <v>5.8319999999999999</v>
      </c>
      <c r="AK437" s="3">
        <v>45593</v>
      </c>
      <c r="AL437" s="2">
        <v>5.79</v>
      </c>
      <c r="AM437" s="3">
        <v>45593</v>
      </c>
      <c r="AN437" s="2">
        <v>5.69</v>
      </c>
      <c r="AO437" s="3">
        <v>45593</v>
      </c>
      <c r="AP437" s="2">
        <v>5.25</v>
      </c>
      <c r="AQ437" s="3">
        <v>45593</v>
      </c>
      <c r="AR437" s="2">
        <v>4.8525</v>
      </c>
      <c r="AS437" s="3">
        <v>45593</v>
      </c>
      <c r="AT437" s="2">
        <v>4.6399999999999997</v>
      </c>
      <c r="AU437" s="3">
        <v>45593</v>
      </c>
      <c r="AV437" s="2">
        <v>4.4800000000000004</v>
      </c>
      <c r="AW437" s="3">
        <v>45593</v>
      </c>
      <c r="AX437" s="2">
        <v>4.3600000000000003</v>
      </c>
      <c r="AY437" s="3">
        <v>45593</v>
      </c>
      <c r="AZ437" s="2">
        <v>4.3</v>
      </c>
      <c r="BB437" s="3">
        <v>45565</v>
      </c>
      <c r="BC437" s="1">
        <v>4.25</v>
      </c>
      <c r="BD437" s="3">
        <v>45566</v>
      </c>
      <c r="BE437" s="1">
        <v>4.2</v>
      </c>
      <c r="BF437" s="3">
        <v>45593</v>
      </c>
      <c r="BG437" s="1">
        <v>3.94</v>
      </c>
      <c r="BH437" s="3">
        <v>45593</v>
      </c>
      <c r="BI437" s="1">
        <v>3.8</v>
      </c>
      <c r="BJ437" s="3">
        <v>45593</v>
      </c>
      <c r="BK437" s="1">
        <v>3.778</v>
      </c>
      <c r="BL437" s="3">
        <v>45593</v>
      </c>
      <c r="BM437" s="1">
        <v>3.4929999999999999</v>
      </c>
      <c r="BN437" s="3">
        <v>45593</v>
      </c>
      <c r="BO437" s="1">
        <v>3.3330000000000002</v>
      </c>
      <c r="BP437" s="3">
        <v>45593</v>
      </c>
      <c r="BQ437" s="1">
        <v>3.2650000000000001</v>
      </c>
      <c r="BR437" s="3">
        <v>45593</v>
      </c>
      <c r="BS437" s="1">
        <v>3.2730000000000001</v>
      </c>
      <c r="BT437" s="3">
        <v>45593</v>
      </c>
      <c r="BU437" s="1">
        <v>3.29</v>
      </c>
      <c r="BV437" s="3">
        <v>45593</v>
      </c>
      <c r="BW437" s="1">
        <v>3.323</v>
      </c>
      <c r="BY437" s="3">
        <v>45569</v>
      </c>
      <c r="BZ437" s="1">
        <v>6.5</v>
      </c>
      <c r="CA437" s="3">
        <v>45559</v>
      </c>
      <c r="CB437" s="1">
        <v>6.41</v>
      </c>
      <c r="CC437" s="3">
        <v>45593</v>
      </c>
      <c r="CD437" s="1">
        <v>6.44</v>
      </c>
      <c r="CE437" s="3">
        <v>45593</v>
      </c>
      <c r="CF437" s="1">
        <v>6.4539999999999997</v>
      </c>
      <c r="CG437" s="3">
        <v>45593</v>
      </c>
      <c r="CH437" s="1">
        <v>6.41</v>
      </c>
      <c r="CI437" s="3">
        <v>45593</v>
      </c>
      <c r="CJ437" s="1">
        <v>6.28</v>
      </c>
      <c r="CK437" s="3">
        <v>45593</v>
      </c>
      <c r="CL437" s="1">
        <v>6.15</v>
      </c>
      <c r="CM437" s="3">
        <v>45593</v>
      </c>
      <c r="CN437" s="1">
        <v>6.1974999999999998</v>
      </c>
      <c r="CO437" s="3">
        <v>45586</v>
      </c>
      <c r="CP437" s="1">
        <v>5.92</v>
      </c>
      <c r="CQ437" s="3">
        <v>45586</v>
      </c>
      <c r="CR437" s="1">
        <v>5.915</v>
      </c>
      <c r="CS437" s="3">
        <v>45586</v>
      </c>
      <c r="CT437" s="1">
        <v>5.92</v>
      </c>
    </row>
    <row r="438" spans="31:98" x14ac:dyDescent="0.2">
      <c r="AE438" s="3">
        <v>45582</v>
      </c>
      <c r="AF438" s="1">
        <v>5.75</v>
      </c>
      <c r="AG438" s="3">
        <v>45562</v>
      </c>
      <c r="AH438" s="1">
        <v>5.85</v>
      </c>
      <c r="AI438" s="3">
        <v>45590</v>
      </c>
      <c r="AJ438" s="2">
        <v>5.827</v>
      </c>
      <c r="AK438" s="3">
        <v>45590</v>
      </c>
      <c r="AL438" s="2">
        <v>5.7750000000000004</v>
      </c>
      <c r="AM438" s="3">
        <v>45590</v>
      </c>
      <c r="AN438" s="2">
        <v>5.6725000000000003</v>
      </c>
      <c r="AO438" s="3">
        <v>45590</v>
      </c>
      <c r="AP438" s="2">
        <v>5.2450000000000001</v>
      </c>
      <c r="AQ438" s="3">
        <v>45590</v>
      </c>
      <c r="AR438" s="2">
        <v>4.8250000000000002</v>
      </c>
      <c r="AS438" s="3">
        <v>45590</v>
      </c>
      <c r="AT438" s="2">
        <v>4.6150000000000002</v>
      </c>
      <c r="AU438" s="3">
        <v>45590</v>
      </c>
      <c r="AV438" s="2">
        <v>4.4424999999999999</v>
      </c>
      <c r="AW438" s="3">
        <v>45590</v>
      </c>
      <c r="AX438" s="2">
        <v>4.3125</v>
      </c>
      <c r="AY438" s="3">
        <v>45590</v>
      </c>
      <c r="AZ438" s="2">
        <v>4.2374999999999998</v>
      </c>
      <c r="BB438" s="3">
        <v>45562</v>
      </c>
      <c r="BC438" s="1">
        <v>4.25</v>
      </c>
      <c r="BD438" s="3">
        <v>45565</v>
      </c>
      <c r="BE438" s="1">
        <v>4.2</v>
      </c>
      <c r="BF438" s="3">
        <v>45590</v>
      </c>
      <c r="BG438" s="1">
        <v>3.94</v>
      </c>
      <c r="BH438" s="3">
        <v>45590</v>
      </c>
      <c r="BI438" s="1">
        <v>3.8</v>
      </c>
      <c r="BJ438" s="3">
        <v>45590</v>
      </c>
      <c r="BK438" s="1">
        <v>3.778</v>
      </c>
      <c r="BL438" s="3">
        <v>45590</v>
      </c>
      <c r="BM438" s="1">
        <v>3.4929999999999999</v>
      </c>
      <c r="BN438" s="3">
        <v>45590</v>
      </c>
      <c r="BO438" s="1">
        <v>3.3330000000000002</v>
      </c>
      <c r="BP438" s="3">
        <v>45590</v>
      </c>
      <c r="BQ438" s="1">
        <v>3.2650000000000001</v>
      </c>
      <c r="BR438" s="3">
        <v>45590</v>
      </c>
      <c r="BS438" s="1">
        <v>3.2730000000000001</v>
      </c>
      <c r="BT438" s="3">
        <v>45590</v>
      </c>
      <c r="BU438" s="1">
        <v>3.29</v>
      </c>
      <c r="BV438" s="3">
        <v>45590</v>
      </c>
      <c r="BW438" s="1">
        <v>3.323</v>
      </c>
      <c r="BY438" s="3">
        <v>45568</v>
      </c>
      <c r="BZ438" s="1">
        <v>6.5</v>
      </c>
      <c r="CA438" s="3">
        <v>45558</v>
      </c>
      <c r="CB438" s="1">
        <v>6.43</v>
      </c>
      <c r="CC438" s="3">
        <v>45590</v>
      </c>
      <c r="CD438" s="1">
        <v>6.4340000000000002</v>
      </c>
      <c r="CE438" s="3">
        <v>45590</v>
      </c>
      <c r="CF438" s="1">
        <v>6.4509999999999996</v>
      </c>
      <c r="CG438" s="3">
        <v>45590</v>
      </c>
      <c r="CH438" s="1">
        <v>6.4</v>
      </c>
      <c r="CI438" s="3">
        <v>45590</v>
      </c>
      <c r="CJ438" s="1">
        <v>6.24</v>
      </c>
      <c r="CK438" s="3">
        <v>45590</v>
      </c>
      <c r="CL438" s="1">
        <v>6.08</v>
      </c>
      <c r="CM438" s="3">
        <v>45590</v>
      </c>
      <c r="CN438" s="1">
        <v>6.0750000000000002</v>
      </c>
      <c r="CO438" s="3">
        <v>45583</v>
      </c>
      <c r="CP438" s="1">
        <v>5.63</v>
      </c>
      <c r="CQ438" s="3">
        <v>45583</v>
      </c>
      <c r="CR438" s="1">
        <v>5.625</v>
      </c>
      <c r="CS438" s="3">
        <v>45583</v>
      </c>
      <c r="CT438" s="1">
        <v>5.63</v>
      </c>
    </row>
    <row r="439" spans="31:98" x14ac:dyDescent="0.2">
      <c r="AE439" s="3">
        <v>45581</v>
      </c>
      <c r="AF439" s="1">
        <v>5.75</v>
      </c>
      <c r="AG439" s="3">
        <v>45561</v>
      </c>
      <c r="AH439" s="1">
        <v>5.85</v>
      </c>
      <c r="AI439" s="3">
        <v>45589</v>
      </c>
      <c r="AJ439" s="2">
        <v>5.8289999999999997</v>
      </c>
      <c r="AK439" s="3">
        <v>45589</v>
      </c>
      <c r="AL439" s="2">
        <v>5.77</v>
      </c>
      <c r="AM439" s="3">
        <v>45589</v>
      </c>
      <c r="AN439" s="2">
        <v>5.6749999999999998</v>
      </c>
      <c r="AO439" s="3">
        <v>45589</v>
      </c>
      <c r="AP439" s="2">
        <v>5.2450000000000001</v>
      </c>
      <c r="AQ439" s="3">
        <v>45589</v>
      </c>
      <c r="AR439" s="2">
        <v>4.7850000000000001</v>
      </c>
      <c r="AS439" s="3">
        <v>45589</v>
      </c>
      <c r="AT439" s="2">
        <v>4.5949999999999998</v>
      </c>
      <c r="AU439" s="3">
        <v>45589</v>
      </c>
      <c r="AV439" s="2">
        <v>4.42</v>
      </c>
      <c r="AW439" s="3">
        <v>45589</v>
      </c>
      <c r="AX439" s="2">
        <v>4.2850000000000001</v>
      </c>
      <c r="AY439" s="3">
        <v>45589</v>
      </c>
      <c r="AZ439" s="2">
        <v>4.2050000000000001</v>
      </c>
      <c r="BB439" s="3">
        <v>45561</v>
      </c>
      <c r="BC439" s="1">
        <v>4.25</v>
      </c>
      <c r="BD439" s="3">
        <v>45562</v>
      </c>
      <c r="BE439" s="1">
        <v>4.1900000000000004</v>
      </c>
      <c r="BF439" s="3">
        <v>45589</v>
      </c>
      <c r="BG439" s="1">
        <v>3.9350000000000001</v>
      </c>
      <c r="BH439" s="3">
        <v>45589</v>
      </c>
      <c r="BI439" s="1">
        <v>3.7850000000000001</v>
      </c>
      <c r="BJ439" s="3">
        <v>45589</v>
      </c>
      <c r="BK439" s="1">
        <v>3.7349999999999999</v>
      </c>
      <c r="BL439" s="3">
        <v>45589</v>
      </c>
      <c r="BM439" s="1">
        <v>3.4580000000000002</v>
      </c>
      <c r="BN439" s="3">
        <v>45589</v>
      </c>
      <c r="BO439" s="1">
        <v>3.3149999999999999</v>
      </c>
      <c r="BP439" s="3">
        <v>45589</v>
      </c>
      <c r="BQ439" s="1">
        <v>3.2330000000000001</v>
      </c>
      <c r="BR439" s="3">
        <v>45589</v>
      </c>
      <c r="BS439" s="1">
        <v>3.238</v>
      </c>
      <c r="BT439" s="3">
        <v>45589</v>
      </c>
      <c r="BU439" s="1">
        <v>3.2429999999999999</v>
      </c>
      <c r="BV439" s="3">
        <v>45589</v>
      </c>
      <c r="BW439" s="1">
        <v>3.25</v>
      </c>
      <c r="BY439" s="3">
        <v>45567</v>
      </c>
      <c r="BZ439" s="1">
        <v>6.5</v>
      </c>
      <c r="CA439" s="3">
        <v>45555</v>
      </c>
      <c r="CB439" s="1">
        <v>6.44</v>
      </c>
      <c r="CC439" s="3">
        <v>45589</v>
      </c>
      <c r="CD439" s="1">
        <v>6.42</v>
      </c>
      <c r="CE439" s="3">
        <v>45589</v>
      </c>
      <c r="CF439" s="1">
        <v>6.43</v>
      </c>
      <c r="CG439" s="3">
        <v>45589</v>
      </c>
      <c r="CH439" s="1">
        <v>6.36</v>
      </c>
      <c r="CI439" s="3">
        <v>45589</v>
      </c>
      <c r="CJ439" s="1">
        <v>6.14</v>
      </c>
      <c r="CK439" s="3">
        <v>45589</v>
      </c>
      <c r="CL439" s="1">
        <v>5.94</v>
      </c>
      <c r="CM439" s="3">
        <v>45589</v>
      </c>
      <c r="CN439" s="1">
        <v>5.8949999999999996</v>
      </c>
      <c r="CO439" s="3">
        <v>45582</v>
      </c>
      <c r="CP439" s="1">
        <v>5.5549999999999997</v>
      </c>
      <c r="CQ439" s="3">
        <v>45582</v>
      </c>
      <c r="CR439" s="1">
        <v>5.5549999999999997</v>
      </c>
      <c r="CS439" s="3">
        <v>45582</v>
      </c>
      <c r="CT439" s="1">
        <v>5.56</v>
      </c>
    </row>
    <row r="440" spans="31:98" x14ac:dyDescent="0.2">
      <c r="AE440" s="3">
        <v>45580</v>
      </c>
      <c r="AF440" s="1">
        <v>5.75</v>
      </c>
      <c r="AG440" s="3">
        <v>45560</v>
      </c>
      <c r="AH440" s="1">
        <v>5.86</v>
      </c>
      <c r="AI440" s="3">
        <v>45588</v>
      </c>
      <c r="AJ440" s="2">
        <v>5.8334999999999999</v>
      </c>
      <c r="AK440" s="3">
        <v>45588</v>
      </c>
      <c r="AL440" s="2">
        <v>5.78</v>
      </c>
      <c r="AM440" s="3">
        <v>45588</v>
      </c>
      <c r="AN440" s="2">
        <v>5.6924999999999999</v>
      </c>
      <c r="AO440" s="3">
        <v>45588</v>
      </c>
      <c r="AP440" s="2">
        <v>5.3</v>
      </c>
      <c r="AQ440" s="3">
        <v>45588</v>
      </c>
      <c r="AR440" s="2">
        <v>4.8650000000000002</v>
      </c>
      <c r="AS440" s="3">
        <v>45588</v>
      </c>
      <c r="AT440" s="2">
        <v>4.665</v>
      </c>
      <c r="AU440" s="3">
        <v>45588</v>
      </c>
      <c r="AV440" s="2">
        <v>4.5</v>
      </c>
      <c r="AW440" s="3">
        <v>45588</v>
      </c>
      <c r="AX440" s="2">
        <v>4.3499999999999996</v>
      </c>
      <c r="AY440" s="3">
        <v>45588</v>
      </c>
      <c r="AZ440" s="2">
        <v>4.2649999999999997</v>
      </c>
      <c r="BB440" s="3">
        <v>45560</v>
      </c>
      <c r="BC440" s="1">
        <v>4.5</v>
      </c>
      <c r="BD440" s="3">
        <v>45561</v>
      </c>
      <c r="BE440" s="1">
        <v>4.1900000000000004</v>
      </c>
      <c r="BF440" s="3">
        <v>45588</v>
      </c>
      <c r="BG440" s="1">
        <v>3.9449999999999998</v>
      </c>
      <c r="BH440" s="3">
        <v>45588</v>
      </c>
      <c r="BI440" s="1">
        <v>3.8149999999999999</v>
      </c>
      <c r="BJ440" s="3">
        <v>45588</v>
      </c>
      <c r="BK440" s="1">
        <v>3.79</v>
      </c>
      <c r="BL440" s="3">
        <v>45588</v>
      </c>
      <c r="BM440" s="1">
        <v>3.548</v>
      </c>
      <c r="BN440" s="3">
        <v>45588</v>
      </c>
      <c r="BO440" s="1">
        <v>3.4079999999999999</v>
      </c>
      <c r="BP440" s="3">
        <v>45588</v>
      </c>
      <c r="BQ440" s="1">
        <v>3.3580000000000001</v>
      </c>
      <c r="BR440" s="3">
        <v>45588</v>
      </c>
      <c r="BS440" s="1">
        <v>3.3679999999999999</v>
      </c>
      <c r="BT440" s="3">
        <v>45588</v>
      </c>
      <c r="BU440" s="1">
        <v>3.383</v>
      </c>
      <c r="BV440" s="3">
        <v>45588</v>
      </c>
      <c r="BW440" s="1">
        <v>3.403</v>
      </c>
      <c r="BY440" s="3">
        <v>45566</v>
      </c>
      <c r="BZ440" s="1">
        <v>6.5</v>
      </c>
      <c r="CA440" s="3">
        <v>45554</v>
      </c>
      <c r="CB440" s="1">
        <v>6.45</v>
      </c>
      <c r="CC440" s="3">
        <v>45588</v>
      </c>
      <c r="CD440" s="1">
        <v>6.41</v>
      </c>
      <c r="CE440" s="3">
        <v>45588</v>
      </c>
      <c r="CF440" s="1">
        <v>6.41</v>
      </c>
      <c r="CG440" s="3">
        <v>45588</v>
      </c>
      <c r="CH440" s="1">
        <v>6.36</v>
      </c>
      <c r="CI440" s="3">
        <v>45588</v>
      </c>
      <c r="CJ440" s="1">
        <v>6.1</v>
      </c>
      <c r="CK440" s="3">
        <v>45588</v>
      </c>
      <c r="CL440" s="1">
        <v>5.89</v>
      </c>
      <c r="CM440" s="3">
        <v>45588</v>
      </c>
      <c r="CN440" s="1">
        <v>5.84</v>
      </c>
      <c r="CO440" s="3">
        <v>45581</v>
      </c>
      <c r="CP440" s="1">
        <v>5.4050000000000002</v>
      </c>
      <c r="CQ440" s="3">
        <v>45581</v>
      </c>
      <c r="CR440" s="1">
        <v>5.4050000000000002</v>
      </c>
      <c r="CS440" s="3">
        <v>45581</v>
      </c>
      <c r="CT440" s="1">
        <v>5.42</v>
      </c>
    </row>
    <row r="441" spans="31:98" x14ac:dyDescent="0.2">
      <c r="AE441" s="3">
        <v>45579</v>
      </c>
      <c r="AF441" s="1">
        <v>5.75</v>
      </c>
      <c r="AG441" s="3">
        <v>45559</v>
      </c>
      <c r="AH441" s="1">
        <v>5.85</v>
      </c>
      <c r="AI441" s="3">
        <v>45587</v>
      </c>
      <c r="AJ441" s="2">
        <v>5.84</v>
      </c>
      <c r="AK441" s="3">
        <v>45587</v>
      </c>
      <c r="AL441" s="2">
        <v>5.81</v>
      </c>
      <c r="AM441" s="3">
        <v>45587</v>
      </c>
      <c r="AN441" s="2">
        <v>5.7549999999999999</v>
      </c>
      <c r="AO441" s="3">
        <v>45587</v>
      </c>
      <c r="AP441" s="2">
        <v>5.3550000000000004</v>
      </c>
      <c r="AQ441" s="3">
        <v>45587</v>
      </c>
      <c r="AR441" s="2">
        <v>4.9000000000000004</v>
      </c>
      <c r="AS441" s="3">
        <v>45587</v>
      </c>
      <c r="AT441" s="2">
        <v>4.68</v>
      </c>
      <c r="AU441" s="3">
        <v>45587</v>
      </c>
      <c r="AV441" s="2">
        <v>4.4800000000000004</v>
      </c>
      <c r="AW441" s="3">
        <v>45587</v>
      </c>
      <c r="AX441" s="2">
        <v>4.33</v>
      </c>
      <c r="AY441" s="3">
        <v>45587</v>
      </c>
      <c r="AZ441" s="2">
        <v>4.2050000000000001</v>
      </c>
      <c r="BB441" s="3">
        <v>45559</v>
      </c>
      <c r="BC441" s="1">
        <v>4.5</v>
      </c>
      <c r="BD441" s="3">
        <v>45560</v>
      </c>
      <c r="BE441" s="1">
        <v>4.2699999999999996</v>
      </c>
      <c r="BF441" s="3">
        <v>45587</v>
      </c>
      <c r="BG441" s="1">
        <v>3.95</v>
      </c>
      <c r="BH441" s="3">
        <v>45587</v>
      </c>
      <c r="BI441" s="1">
        <v>3.8050000000000002</v>
      </c>
      <c r="BJ441" s="3">
        <v>45587</v>
      </c>
      <c r="BK441" s="1">
        <v>3.7749999999999999</v>
      </c>
      <c r="BL441" s="3">
        <v>45587</v>
      </c>
      <c r="BM441" s="1">
        <v>3.5150000000000001</v>
      </c>
      <c r="BN441" s="3">
        <v>45587</v>
      </c>
      <c r="BO441" s="1">
        <v>3.36</v>
      </c>
      <c r="BP441" s="3">
        <v>45587</v>
      </c>
      <c r="BQ441" s="1">
        <v>3.29</v>
      </c>
      <c r="BR441" s="3">
        <v>45587</v>
      </c>
      <c r="BS441" s="1">
        <v>3.3050000000000002</v>
      </c>
      <c r="BT441" s="3">
        <v>45587</v>
      </c>
      <c r="BU441" s="1">
        <v>3.32</v>
      </c>
      <c r="BV441" s="3">
        <v>45587</v>
      </c>
      <c r="BW441" s="1">
        <v>3.33</v>
      </c>
      <c r="BY441" s="3">
        <v>45565</v>
      </c>
      <c r="BZ441" s="1">
        <v>6.5</v>
      </c>
      <c r="CA441" s="3">
        <v>45553</v>
      </c>
      <c r="CB441" s="1">
        <v>6.46</v>
      </c>
      <c r="CC441" s="3">
        <v>45587</v>
      </c>
      <c r="CD441" s="1">
        <v>6.41</v>
      </c>
      <c r="CE441" s="3">
        <v>45587</v>
      </c>
      <c r="CF441" s="1">
        <v>6.41</v>
      </c>
      <c r="CG441" s="3">
        <v>45587</v>
      </c>
      <c r="CH441" s="1">
        <v>6.36</v>
      </c>
      <c r="CI441" s="3">
        <v>45587</v>
      </c>
      <c r="CJ441" s="1">
        <v>6.1</v>
      </c>
      <c r="CK441" s="3">
        <v>45587</v>
      </c>
      <c r="CL441" s="1">
        <v>5.89</v>
      </c>
      <c r="CM441" s="3">
        <v>45587</v>
      </c>
      <c r="CN441" s="1">
        <v>5.84</v>
      </c>
      <c r="CO441" s="3">
        <v>45580</v>
      </c>
      <c r="CP441" s="1">
        <v>5.4</v>
      </c>
      <c r="CQ441" s="3">
        <v>45580</v>
      </c>
      <c r="CR441" s="1">
        <v>5.4</v>
      </c>
      <c r="CS441" s="3">
        <v>45580</v>
      </c>
      <c r="CT441" s="1">
        <v>5.415</v>
      </c>
    </row>
    <row r="442" spans="31:98" x14ac:dyDescent="0.2">
      <c r="AE442" s="3">
        <v>45576</v>
      </c>
      <c r="AF442" s="1">
        <v>5.75</v>
      </c>
      <c r="AG442" s="3">
        <v>45558</v>
      </c>
      <c r="AH442" s="1">
        <v>5.85</v>
      </c>
      <c r="AI442" s="3">
        <v>45586</v>
      </c>
      <c r="AJ442" s="2">
        <v>5.8494999999999999</v>
      </c>
      <c r="AK442" s="3">
        <v>45586</v>
      </c>
      <c r="AL442" s="2">
        <v>5.8274999999999997</v>
      </c>
      <c r="AM442" s="3">
        <v>45586</v>
      </c>
      <c r="AN442" s="2">
        <v>5.7850000000000001</v>
      </c>
      <c r="AO442" s="3">
        <v>45586</v>
      </c>
      <c r="AP442" s="2">
        <v>5.4450000000000003</v>
      </c>
      <c r="AQ442" s="3">
        <v>45586</v>
      </c>
      <c r="AR442" s="2">
        <v>5.0175000000000001</v>
      </c>
      <c r="AS442" s="3">
        <v>45586</v>
      </c>
      <c r="AT442" s="2">
        <v>4.7850000000000001</v>
      </c>
      <c r="AU442" s="3">
        <v>45586</v>
      </c>
      <c r="AV442" s="2">
        <v>4.5674999999999999</v>
      </c>
      <c r="AW442" s="3">
        <v>45586</v>
      </c>
      <c r="AX442" s="2">
        <v>4.4124999999999996</v>
      </c>
      <c r="AY442" s="3">
        <v>45586</v>
      </c>
      <c r="AZ442" s="2">
        <v>4.2975000000000003</v>
      </c>
      <c r="BB442" s="3">
        <v>45558</v>
      </c>
      <c r="BC442" s="1">
        <v>4.5</v>
      </c>
      <c r="BD442" s="3">
        <v>45559</v>
      </c>
      <c r="BE442" s="1">
        <v>4.28</v>
      </c>
      <c r="BF442" s="3">
        <v>45586</v>
      </c>
      <c r="BG442" s="1">
        <v>3.93</v>
      </c>
      <c r="BH442" s="3">
        <v>45586</v>
      </c>
      <c r="BI442" s="1">
        <v>3.88</v>
      </c>
      <c r="BJ442" s="3">
        <v>45586</v>
      </c>
      <c r="BK442" s="1">
        <v>3.78</v>
      </c>
      <c r="BL442" s="3">
        <v>45586</v>
      </c>
      <c r="BM442" s="1">
        <v>3.5</v>
      </c>
      <c r="BN442" s="3">
        <v>45586</v>
      </c>
      <c r="BO442" s="1">
        <v>3.3149999999999999</v>
      </c>
      <c r="BP442" s="3">
        <v>45586</v>
      </c>
      <c r="BQ442" s="1">
        <v>3.24</v>
      </c>
      <c r="BR442" s="3">
        <v>45586</v>
      </c>
      <c r="BS442" s="1">
        <v>3.258</v>
      </c>
      <c r="BT442" s="3">
        <v>45586</v>
      </c>
      <c r="BU442" s="1">
        <v>3.278</v>
      </c>
      <c r="BV442" s="3">
        <v>45586</v>
      </c>
      <c r="BW442" s="1">
        <v>3.3079999999999998</v>
      </c>
      <c r="BY442" s="3">
        <v>45562</v>
      </c>
      <c r="BZ442" s="1">
        <v>6.5</v>
      </c>
      <c r="CA442" s="3">
        <v>45552</v>
      </c>
      <c r="CB442" s="1">
        <v>6.46</v>
      </c>
      <c r="CC442" s="3">
        <v>45586</v>
      </c>
      <c r="CD442" s="1">
        <v>6.4</v>
      </c>
      <c r="CE442" s="3">
        <v>45586</v>
      </c>
      <c r="CF442" s="1">
        <v>6.4</v>
      </c>
      <c r="CG442" s="3">
        <v>45586</v>
      </c>
      <c r="CH442" s="1">
        <v>6.4</v>
      </c>
      <c r="CI442" s="3">
        <v>45586</v>
      </c>
      <c r="CJ442" s="1">
        <v>6.24</v>
      </c>
      <c r="CK442" s="3">
        <v>45586</v>
      </c>
      <c r="CL442" s="1">
        <v>6.07</v>
      </c>
      <c r="CM442" s="3">
        <v>45586</v>
      </c>
      <c r="CN442" s="1">
        <v>5.9450000000000003</v>
      </c>
      <c r="CO442" s="3">
        <v>45579</v>
      </c>
      <c r="CP442" s="1">
        <v>5.58</v>
      </c>
      <c r="CQ442" s="3">
        <v>45579</v>
      </c>
      <c r="CR442" s="1">
        <v>5.585</v>
      </c>
      <c r="CS442" s="3">
        <v>45579</v>
      </c>
      <c r="CT442" s="1">
        <v>5.6</v>
      </c>
    </row>
    <row r="443" spans="31:98" x14ac:dyDescent="0.2">
      <c r="AE443" s="3">
        <v>45575</v>
      </c>
      <c r="AF443" s="1">
        <v>5.75</v>
      </c>
      <c r="AG443" s="3">
        <v>45555</v>
      </c>
      <c r="AH443" s="1">
        <v>5.85</v>
      </c>
      <c r="AI443" s="3">
        <v>45583</v>
      </c>
      <c r="AJ443" s="2">
        <v>5.8475000000000001</v>
      </c>
      <c r="AK443" s="3">
        <v>45583</v>
      </c>
      <c r="AL443" s="2">
        <v>5.83</v>
      </c>
      <c r="AM443" s="3">
        <v>45583</v>
      </c>
      <c r="AN443" s="2">
        <v>5.7949999999999999</v>
      </c>
      <c r="AO443" s="3">
        <v>45583</v>
      </c>
      <c r="AP443" s="2">
        <v>5.4325000000000001</v>
      </c>
      <c r="AQ443" s="3">
        <v>45583</v>
      </c>
      <c r="AR443" s="2">
        <v>4.9625000000000004</v>
      </c>
      <c r="AS443" s="3">
        <v>45583</v>
      </c>
      <c r="AT443" s="2">
        <v>4.7175000000000002</v>
      </c>
      <c r="AU443" s="3">
        <v>45583</v>
      </c>
      <c r="AV443" s="2">
        <v>4.4974999999999996</v>
      </c>
      <c r="AW443" s="3">
        <v>45583</v>
      </c>
      <c r="AX443" s="2">
        <v>4.3375000000000004</v>
      </c>
      <c r="AY443" s="3">
        <v>45583</v>
      </c>
      <c r="AZ443" s="2">
        <v>4.2374999999999998</v>
      </c>
      <c r="BB443" s="3">
        <v>45555</v>
      </c>
      <c r="BC443" s="1">
        <v>4.5</v>
      </c>
      <c r="BD443" s="3">
        <v>45558</v>
      </c>
      <c r="BE443" s="1">
        <v>4.28</v>
      </c>
      <c r="BF443" s="3">
        <v>45583</v>
      </c>
      <c r="BG443" s="1">
        <v>3.915</v>
      </c>
      <c r="BH443" s="3">
        <v>45583</v>
      </c>
      <c r="BI443" s="1">
        <v>3.8650000000000002</v>
      </c>
      <c r="BJ443" s="3">
        <v>45583</v>
      </c>
      <c r="BK443" s="1">
        <v>3.7549999999999999</v>
      </c>
      <c r="BL443" s="3">
        <v>45583</v>
      </c>
      <c r="BM443" s="1">
        <v>3.4350000000000001</v>
      </c>
      <c r="BN443" s="3">
        <v>45583</v>
      </c>
      <c r="BO443" s="1">
        <v>3.24</v>
      </c>
      <c r="BP443" s="3">
        <v>45583</v>
      </c>
      <c r="BQ443" s="1">
        <v>3.1179999999999999</v>
      </c>
      <c r="BR443" s="3">
        <v>45583</v>
      </c>
      <c r="BS443" s="1">
        <v>3.1230000000000002</v>
      </c>
      <c r="BT443" s="3">
        <v>45583</v>
      </c>
      <c r="BU443" s="1">
        <v>3.133</v>
      </c>
      <c r="BV443" s="3">
        <v>45583</v>
      </c>
      <c r="BW443" s="1">
        <v>3.145</v>
      </c>
      <c r="BY443" s="3">
        <v>45561</v>
      </c>
      <c r="BZ443" s="1">
        <v>6.5</v>
      </c>
      <c r="CA443" s="3">
        <v>45551</v>
      </c>
      <c r="CB443" s="1">
        <v>6.47</v>
      </c>
      <c r="CC443" s="3">
        <v>45583</v>
      </c>
      <c r="CD443" s="1">
        <v>6.367</v>
      </c>
      <c r="CE443" s="3">
        <v>45583</v>
      </c>
      <c r="CF443" s="1">
        <v>6.3710000000000004</v>
      </c>
      <c r="CG443" s="3">
        <v>45583</v>
      </c>
      <c r="CH443" s="1">
        <v>6.3</v>
      </c>
      <c r="CI443" s="3">
        <v>45583</v>
      </c>
      <c r="CJ443" s="1">
        <v>6.02</v>
      </c>
      <c r="CK443" s="3">
        <v>45583</v>
      </c>
      <c r="CL443" s="1">
        <v>5.76</v>
      </c>
      <c r="CM443" s="3">
        <v>45583</v>
      </c>
      <c r="CN443" s="1">
        <v>5.64</v>
      </c>
      <c r="CO443" s="3">
        <v>45576</v>
      </c>
      <c r="CP443" s="1">
        <v>5.4349999999999996</v>
      </c>
      <c r="CQ443" s="3">
        <v>45576</v>
      </c>
      <c r="CR443" s="1">
        <v>5.4375</v>
      </c>
      <c r="CS443" s="3">
        <v>45576</v>
      </c>
      <c r="CT443" s="1">
        <v>5.4574999999999996</v>
      </c>
    </row>
    <row r="444" spans="31:98" x14ac:dyDescent="0.2">
      <c r="AE444" s="3">
        <v>45574</v>
      </c>
      <c r="AF444" s="1">
        <v>5.75</v>
      </c>
      <c r="AG444" s="3">
        <v>45554</v>
      </c>
      <c r="AH444" s="1">
        <v>5.85</v>
      </c>
      <c r="AI444" s="3">
        <v>45582</v>
      </c>
      <c r="AJ444" s="2">
        <v>5.8460000000000001</v>
      </c>
      <c r="AK444" s="3">
        <v>45582</v>
      </c>
      <c r="AL444" s="2">
        <v>5.8375000000000004</v>
      </c>
      <c r="AM444" s="3">
        <v>45582</v>
      </c>
      <c r="AN444" s="2">
        <v>5.8025000000000002</v>
      </c>
      <c r="AO444" s="3">
        <v>45582</v>
      </c>
      <c r="AP444" s="2">
        <v>5.5324999999999998</v>
      </c>
      <c r="AQ444" s="3">
        <v>45582</v>
      </c>
      <c r="AR444" s="2">
        <v>5.0750000000000002</v>
      </c>
      <c r="AS444" s="3">
        <v>45582</v>
      </c>
      <c r="AT444" s="2">
        <v>4.8600000000000003</v>
      </c>
      <c r="AU444" s="3">
        <v>45582</v>
      </c>
      <c r="AV444" s="2">
        <v>4.6550000000000002</v>
      </c>
      <c r="AW444" s="3">
        <v>45582</v>
      </c>
      <c r="AX444" s="2">
        <v>4.5025000000000004</v>
      </c>
      <c r="AY444" s="3">
        <v>45582</v>
      </c>
      <c r="AZ444" s="2">
        <v>4.3925000000000001</v>
      </c>
      <c r="BB444" s="3">
        <v>45554</v>
      </c>
      <c r="BC444" s="1">
        <v>4.5</v>
      </c>
      <c r="BD444" s="3">
        <v>45555</v>
      </c>
      <c r="BE444" s="1">
        <v>4.29</v>
      </c>
      <c r="BF444" s="3">
        <v>45582</v>
      </c>
      <c r="BG444" s="1">
        <v>3.9249999999999998</v>
      </c>
      <c r="BH444" s="3">
        <v>45582</v>
      </c>
      <c r="BI444" s="1">
        <v>3.89</v>
      </c>
      <c r="BJ444" s="3">
        <v>45582</v>
      </c>
      <c r="BK444" s="1">
        <v>3.78</v>
      </c>
      <c r="BL444" s="3">
        <v>45582</v>
      </c>
      <c r="BM444" s="1">
        <v>3.49</v>
      </c>
      <c r="BN444" s="3">
        <v>45582</v>
      </c>
      <c r="BO444" s="1">
        <v>3.3</v>
      </c>
      <c r="BP444" s="3">
        <v>45582</v>
      </c>
      <c r="BQ444" s="1">
        <v>3.22</v>
      </c>
      <c r="BR444" s="3">
        <v>45582</v>
      </c>
      <c r="BS444" s="1">
        <v>3.23</v>
      </c>
      <c r="BT444" s="3">
        <v>45582</v>
      </c>
      <c r="BU444" s="1">
        <v>3.2450000000000001</v>
      </c>
      <c r="BV444" s="3">
        <v>45582</v>
      </c>
      <c r="BW444" s="1">
        <v>3.26</v>
      </c>
      <c r="BY444" s="3">
        <v>45560</v>
      </c>
      <c r="BZ444" s="1">
        <v>6.5</v>
      </c>
      <c r="CA444" s="3">
        <v>45548</v>
      </c>
      <c r="CB444" s="1">
        <v>6.48</v>
      </c>
      <c r="CC444" s="3">
        <v>45582</v>
      </c>
      <c r="CD444" s="1">
        <v>6.3620000000000001</v>
      </c>
      <c r="CE444" s="3">
        <v>45582</v>
      </c>
      <c r="CF444" s="1">
        <v>6.3570000000000002</v>
      </c>
      <c r="CG444" s="3">
        <v>45582</v>
      </c>
      <c r="CH444" s="1">
        <v>6.29</v>
      </c>
      <c r="CI444" s="3">
        <v>45582</v>
      </c>
      <c r="CJ444" s="1">
        <v>5.97</v>
      </c>
      <c r="CK444" s="3">
        <v>45582</v>
      </c>
      <c r="CL444" s="1">
        <v>5.72</v>
      </c>
      <c r="CM444" s="3">
        <v>45582</v>
      </c>
      <c r="CN444" s="1">
        <v>5.5650000000000004</v>
      </c>
      <c r="CO444" s="3">
        <v>45575</v>
      </c>
      <c r="CP444" s="1">
        <v>5.2949999999999999</v>
      </c>
      <c r="CQ444" s="3">
        <v>45575</v>
      </c>
      <c r="CR444" s="1">
        <v>5.2949999999999999</v>
      </c>
      <c r="CS444" s="3">
        <v>45575</v>
      </c>
      <c r="CT444" s="1">
        <v>5.3049999999999997</v>
      </c>
    </row>
    <row r="445" spans="31:98" x14ac:dyDescent="0.2">
      <c r="AE445" s="3">
        <v>45573</v>
      </c>
      <c r="AF445" s="1">
        <v>5.75</v>
      </c>
      <c r="AG445" s="3">
        <v>45553</v>
      </c>
      <c r="AH445" s="1">
        <v>5.86</v>
      </c>
      <c r="AI445" s="3">
        <v>45581</v>
      </c>
      <c r="AJ445" s="2">
        <v>5.8513000000000002</v>
      </c>
      <c r="AK445" s="3">
        <v>45581</v>
      </c>
      <c r="AL445" s="2">
        <v>5.8250000000000002</v>
      </c>
      <c r="AM445" s="3">
        <v>45581</v>
      </c>
      <c r="AN445" s="2">
        <v>5.7949999999999999</v>
      </c>
      <c r="AO445" s="3">
        <v>45581</v>
      </c>
      <c r="AP445" s="2">
        <v>5.4424999999999999</v>
      </c>
      <c r="AQ445" s="3">
        <v>45581</v>
      </c>
      <c r="AR445" s="2">
        <v>5</v>
      </c>
      <c r="AS445" s="3">
        <v>45581</v>
      </c>
      <c r="AT445" s="2">
        <v>4.76</v>
      </c>
      <c r="AU445" s="3">
        <v>45581</v>
      </c>
      <c r="AV445" s="2">
        <v>4.54</v>
      </c>
      <c r="AW445" s="3">
        <v>45581</v>
      </c>
      <c r="AX445" s="2">
        <v>4.38</v>
      </c>
      <c r="AY445" s="3">
        <v>45581</v>
      </c>
      <c r="AZ445" s="2">
        <v>4.2625000000000002</v>
      </c>
      <c r="BB445" s="3">
        <v>45553</v>
      </c>
      <c r="BC445" s="1">
        <v>4.5</v>
      </c>
      <c r="BD445" s="3">
        <v>45554</v>
      </c>
      <c r="BE445" s="1">
        <v>4.3</v>
      </c>
      <c r="BF445" s="3">
        <v>45581</v>
      </c>
      <c r="BG445" s="1">
        <v>3.9249999999999998</v>
      </c>
      <c r="BH445" s="3">
        <v>45581</v>
      </c>
      <c r="BI445" s="1">
        <v>3.8650000000000002</v>
      </c>
      <c r="BJ445" s="3">
        <v>45581</v>
      </c>
      <c r="BK445" s="1">
        <v>3.7480000000000002</v>
      </c>
      <c r="BL445" s="3">
        <v>45581</v>
      </c>
      <c r="BM445" s="1">
        <v>3.4580000000000002</v>
      </c>
      <c r="BN445" s="3">
        <v>45581</v>
      </c>
      <c r="BO445" s="1">
        <v>3.2629999999999999</v>
      </c>
      <c r="BP445" s="3">
        <v>45581</v>
      </c>
      <c r="BQ445" s="1">
        <v>3.153</v>
      </c>
      <c r="BR445" s="3">
        <v>45581</v>
      </c>
      <c r="BS445" s="1">
        <v>3.16</v>
      </c>
      <c r="BT445" s="3">
        <v>45581</v>
      </c>
      <c r="BU445" s="1">
        <v>3.18</v>
      </c>
      <c r="BV445" s="3">
        <v>45581</v>
      </c>
      <c r="BW445" s="1">
        <v>3.1949999999999998</v>
      </c>
      <c r="BY445" s="3">
        <v>45559</v>
      </c>
      <c r="BZ445" s="1">
        <v>6.75</v>
      </c>
      <c r="CA445" s="3">
        <v>45547</v>
      </c>
      <c r="CB445" s="1">
        <v>6.49</v>
      </c>
      <c r="CC445" s="3">
        <v>45581</v>
      </c>
      <c r="CD445" s="1">
        <v>6.31</v>
      </c>
      <c r="CE445" s="3">
        <v>45581</v>
      </c>
      <c r="CF445" s="1">
        <v>6.27</v>
      </c>
      <c r="CG445" s="3">
        <v>45581</v>
      </c>
      <c r="CH445" s="1">
        <v>6.14</v>
      </c>
      <c r="CI445" s="3">
        <v>45581</v>
      </c>
      <c r="CJ445" s="1">
        <v>5.82</v>
      </c>
      <c r="CK445" s="3">
        <v>45581</v>
      </c>
      <c r="CL445" s="1">
        <v>5.55</v>
      </c>
      <c r="CM445" s="3">
        <v>45581</v>
      </c>
      <c r="CN445" s="1">
        <v>5.4249999999999998</v>
      </c>
      <c r="CO445" s="3">
        <v>45574</v>
      </c>
      <c r="CP445" s="1">
        <v>5.2975000000000003</v>
      </c>
      <c r="CQ445" s="3">
        <v>45574</v>
      </c>
      <c r="CR445" s="1">
        <v>5.3025000000000002</v>
      </c>
      <c r="CS445" s="3">
        <v>45574</v>
      </c>
      <c r="CT445" s="1">
        <v>5.3174999999999999</v>
      </c>
    </row>
    <row r="446" spans="31:98" x14ac:dyDescent="0.2">
      <c r="AE446" s="3">
        <v>45572</v>
      </c>
      <c r="AF446" s="1">
        <v>5.75</v>
      </c>
      <c r="AG446" s="3">
        <v>45552</v>
      </c>
      <c r="AH446" s="1">
        <v>5.85</v>
      </c>
      <c r="AI446" s="3">
        <v>45580</v>
      </c>
      <c r="AJ446" s="2">
        <v>5.8445</v>
      </c>
      <c r="AK446" s="3">
        <v>45580</v>
      </c>
      <c r="AL446" s="2">
        <v>5.8150000000000004</v>
      </c>
      <c r="AM446" s="3">
        <v>45580</v>
      </c>
      <c r="AN446" s="2">
        <v>5.76</v>
      </c>
      <c r="AO446" s="3">
        <v>45580</v>
      </c>
      <c r="AP446" s="2">
        <v>5.4</v>
      </c>
      <c r="AQ446" s="3">
        <v>45580</v>
      </c>
      <c r="AR446" s="2">
        <v>4.9349999999999996</v>
      </c>
      <c r="AS446" s="3">
        <v>45580</v>
      </c>
      <c r="AT446" s="2">
        <v>4.6875</v>
      </c>
      <c r="AU446" s="3">
        <v>45580</v>
      </c>
      <c r="AV446" s="2">
        <v>4.4625000000000004</v>
      </c>
      <c r="AW446" s="3">
        <v>45580</v>
      </c>
      <c r="AX446" s="2">
        <v>4.3125</v>
      </c>
      <c r="AY446" s="3">
        <v>45580</v>
      </c>
      <c r="AZ446" s="2">
        <v>4.2024999999999997</v>
      </c>
      <c r="BB446" s="3">
        <v>45552</v>
      </c>
      <c r="BC446" s="1">
        <v>4.5</v>
      </c>
      <c r="BD446" s="3">
        <v>45553</v>
      </c>
      <c r="BE446" s="1">
        <v>4.3099999999999996</v>
      </c>
      <c r="BF446" s="3">
        <v>45580</v>
      </c>
      <c r="BG446" s="1">
        <v>3.9249999999999998</v>
      </c>
      <c r="BH446" s="3">
        <v>45580</v>
      </c>
      <c r="BI446" s="1">
        <v>3.87</v>
      </c>
      <c r="BJ446" s="3">
        <v>45580</v>
      </c>
      <c r="BK446" s="1">
        <v>3.75</v>
      </c>
      <c r="BL446" s="3">
        <v>45580</v>
      </c>
      <c r="BM446" s="1">
        <v>3.46</v>
      </c>
      <c r="BN446" s="3">
        <v>45580</v>
      </c>
      <c r="BO446" s="1">
        <v>3.3149999999999999</v>
      </c>
      <c r="BP446" s="3">
        <v>45580</v>
      </c>
      <c r="BQ446" s="1">
        <v>3.1829999999999998</v>
      </c>
      <c r="BR446" s="3">
        <v>45580</v>
      </c>
      <c r="BS446" s="1">
        <v>3.1829999999999998</v>
      </c>
      <c r="BT446" s="3">
        <v>45580</v>
      </c>
      <c r="BU446" s="1">
        <v>3.1930000000000001</v>
      </c>
      <c r="BV446" s="3">
        <v>45580</v>
      </c>
      <c r="BW446" s="1">
        <v>3.2029999999999998</v>
      </c>
      <c r="BY446" s="3">
        <v>45558</v>
      </c>
      <c r="BZ446" s="1">
        <v>6.75</v>
      </c>
      <c r="CA446" s="3">
        <v>45546</v>
      </c>
      <c r="CB446" s="1">
        <v>6.49</v>
      </c>
      <c r="CC446" s="3">
        <v>45580</v>
      </c>
      <c r="CD446" s="1">
        <v>6.2839999999999998</v>
      </c>
      <c r="CE446" s="3">
        <v>45580</v>
      </c>
      <c r="CF446" s="1">
        <v>6.2270000000000003</v>
      </c>
      <c r="CG446" s="3">
        <v>45580</v>
      </c>
      <c r="CH446" s="1">
        <v>6.1</v>
      </c>
      <c r="CI446" s="3">
        <v>45580</v>
      </c>
      <c r="CJ446" s="1">
        <v>5.78</v>
      </c>
      <c r="CK446" s="3">
        <v>45580</v>
      </c>
      <c r="CL446" s="1">
        <v>5.52</v>
      </c>
      <c r="CM446" s="3">
        <v>45580</v>
      </c>
      <c r="CN446" s="1">
        <v>5.42</v>
      </c>
      <c r="CO446" s="3">
        <v>45573</v>
      </c>
      <c r="CP446" s="1">
        <v>5.44</v>
      </c>
      <c r="CQ446" s="3">
        <v>45573</v>
      </c>
      <c r="CR446" s="1">
        <v>5.42</v>
      </c>
      <c r="CS446" s="3">
        <v>45573</v>
      </c>
      <c r="CT446" s="1">
        <v>5.41</v>
      </c>
    </row>
    <row r="447" spans="31:98" x14ac:dyDescent="0.2">
      <c r="AE447" s="3">
        <v>45569</v>
      </c>
      <c r="AF447" s="1">
        <v>5.75</v>
      </c>
      <c r="AG447" s="3">
        <v>45551</v>
      </c>
      <c r="AH447" s="1">
        <v>5.87</v>
      </c>
      <c r="AI447" s="3">
        <v>45579</v>
      </c>
      <c r="AJ447" s="2">
        <v>5.8464999999999998</v>
      </c>
      <c r="AK447" s="3">
        <v>45579</v>
      </c>
      <c r="AL447" s="2">
        <v>5.82</v>
      </c>
      <c r="AM447" s="3">
        <v>45579</v>
      </c>
      <c r="AN447" s="2">
        <v>5.7649999999999997</v>
      </c>
      <c r="AO447" s="3">
        <v>45579</v>
      </c>
      <c r="AP447" s="2">
        <v>5.46</v>
      </c>
      <c r="AQ447" s="3">
        <v>45579</v>
      </c>
      <c r="AR447" s="2">
        <v>5.0250000000000004</v>
      </c>
      <c r="AS447" s="3">
        <v>45579</v>
      </c>
      <c r="AT447" s="2">
        <v>4.8</v>
      </c>
      <c r="AU447" s="3">
        <v>45579</v>
      </c>
      <c r="AV447" s="2">
        <v>4.59</v>
      </c>
      <c r="AW447" s="3">
        <v>45579</v>
      </c>
      <c r="AX447" s="2">
        <v>4.4349999999999996</v>
      </c>
      <c r="AY447" s="3">
        <v>45579</v>
      </c>
      <c r="AZ447" s="2">
        <v>4.3250000000000002</v>
      </c>
      <c r="BB447" s="3">
        <v>45551</v>
      </c>
      <c r="BC447" s="1">
        <v>4.5</v>
      </c>
      <c r="BD447" s="3">
        <v>45552</v>
      </c>
      <c r="BE447" s="1">
        <v>4.3099999999999996</v>
      </c>
      <c r="BF447" s="3">
        <v>45579</v>
      </c>
      <c r="BG447" s="1">
        <v>3.9550000000000001</v>
      </c>
      <c r="BH447" s="3">
        <v>45579</v>
      </c>
      <c r="BI447" s="1">
        <v>3.895</v>
      </c>
      <c r="BJ447" s="3">
        <v>45579</v>
      </c>
      <c r="BK447" s="1">
        <v>3.7850000000000001</v>
      </c>
      <c r="BL447" s="3">
        <v>45579</v>
      </c>
      <c r="BM447" s="1">
        <v>3.5249999999999999</v>
      </c>
      <c r="BN447" s="3">
        <v>45579</v>
      </c>
      <c r="BO447" s="1">
        <v>3.3849999999999998</v>
      </c>
      <c r="BP447" s="3">
        <v>45579</v>
      </c>
      <c r="BQ447" s="1">
        <v>3.3050000000000002</v>
      </c>
      <c r="BR447" s="3">
        <v>45579</v>
      </c>
      <c r="BS447" s="1">
        <v>3.32</v>
      </c>
      <c r="BT447" s="3">
        <v>45579</v>
      </c>
      <c r="BU447" s="1">
        <v>3.3450000000000002</v>
      </c>
      <c r="BV447" s="3">
        <v>45579</v>
      </c>
      <c r="BW447" s="1">
        <v>3.38</v>
      </c>
      <c r="BY447" s="3">
        <v>45555</v>
      </c>
      <c r="BZ447" s="1">
        <v>6.75</v>
      </c>
      <c r="CA447" s="3">
        <v>45545</v>
      </c>
      <c r="CB447" s="1">
        <v>6.49</v>
      </c>
      <c r="CC447" s="3">
        <v>45579</v>
      </c>
      <c r="CD447" s="1">
        <v>6.3250000000000002</v>
      </c>
      <c r="CE447" s="3">
        <v>45579</v>
      </c>
      <c r="CF447" s="1">
        <v>6.31</v>
      </c>
      <c r="CG447" s="3">
        <v>45579</v>
      </c>
      <c r="CH447" s="1">
        <v>6.23</v>
      </c>
      <c r="CI447" s="3">
        <v>45579</v>
      </c>
      <c r="CJ447" s="1">
        <v>5.96</v>
      </c>
      <c r="CK447" s="3">
        <v>45579</v>
      </c>
      <c r="CL447" s="1">
        <v>5.74</v>
      </c>
      <c r="CM447" s="3">
        <v>45579</v>
      </c>
      <c r="CN447" s="1">
        <v>5.6</v>
      </c>
      <c r="CO447" s="3">
        <v>45572</v>
      </c>
      <c r="CP447" s="1">
        <v>5.4424999999999999</v>
      </c>
      <c r="CQ447" s="3">
        <v>45572</v>
      </c>
      <c r="CR447" s="1">
        <v>5.4225000000000003</v>
      </c>
      <c r="CS447" s="3">
        <v>45572</v>
      </c>
      <c r="CT447" s="1">
        <v>5.4225000000000003</v>
      </c>
    </row>
    <row r="448" spans="31:98" x14ac:dyDescent="0.2">
      <c r="AE448" s="3">
        <v>45568</v>
      </c>
      <c r="AF448" s="1">
        <v>5.75</v>
      </c>
      <c r="AG448" s="3">
        <v>45548</v>
      </c>
      <c r="AH448" s="1">
        <v>5.85</v>
      </c>
      <c r="AI448" s="3">
        <v>45576</v>
      </c>
      <c r="AJ448" s="2">
        <v>5.8507999999999996</v>
      </c>
      <c r="AK448" s="3">
        <v>45576</v>
      </c>
      <c r="AL448" s="2">
        <v>5.82</v>
      </c>
      <c r="AM448" s="3">
        <v>45576</v>
      </c>
      <c r="AN448" s="2">
        <v>5.7774999999999999</v>
      </c>
      <c r="AO448" s="3">
        <v>45576</v>
      </c>
      <c r="AP448" s="2">
        <v>5.48</v>
      </c>
      <c r="AQ448" s="3">
        <v>45576</v>
      </c>
      <c r="AR448" s="2">
        <v>5.05</v>
      </c>
      <c r="AS448" s="3">
        <v>45576</v>
      </c>
      <c r="AT448" s="2">
        <v>4.7975000000000003</v>
      </c>
      <c r="AU448" s="3">
        <v>45576</v>
      </c>
      <c r="AV448" s="2">
        <v>4.5625</v>
      </c>
      <c r="AW448" s="3">
        <v>45576</v>
      </c>
      <c r="AX448" s="2">
        <v>4.4074999999999998</v>
      </c>
      <c r="AY448" s="3">
        <v>45576</v>
      </c>
      <c r="AZ448" s="2">
        <v>4.3025000000000002</v>
      </c>
      <c r="BB448" s="3">
        <v>45548</v>
      </c>
      <c r="BC448" s="1">
        <v>4.5</v>
      </c>
      <c r="BD448" s="3">
        <v>45551</v>
      </c>
      <c r="BE448" s="1">
        <v>4.32</v>
      </c>
      <c r="BF448" s="3">
        <v>45576</v>
      </c>
      <c r="BG448" s="1">
        <v>3.95</v>
      </c>
      <c r="BH448" s="3">
        <v>45576</v>
      </c>
      <c r="BI448" s="1">
        <v>3.89</v>
      </c>
      <c r="BJ448" s="3">
        <v>45576</v>
      </c>
      <c r="BK448" s="1">
        <v>3.78</v>
      </c>
      <c r="BL448" s="3">
        <v>45576</v>
      </c>
      <c r="BM448" s="1">
        <v>3.4849999999999999</v>
      </c>
      <c r="BN448" s="3">
        <v>45576</v>
      </c>
      <c r="BO448" s="1">
        <v>3.33</v>
      </c>
      <c r="BP448" s="3">
        <v>45576</v>
      </c>
      <c r="BQ448" s="1">
        <v>3.2250000000000001</v>
      </c>
      <c r="BR448" s="3">
        <v>45576</v>
      </c>
      <c r="BS448" s="1">
        <v>3.24</v>
      </c>
      <c r="BT448" s="3">
        <v>45576</v>
      </c>
      <c r="BU448" s="1">
        <v>3.26</v>
      </c>
      <c r="BV448" s="3">
        <v>45576</v>
      </c>
      <c r="BW448" s="1">
        <v>3.28</v>
      </c>
      <c r="BY448" s="3">
        <v>45554</v>
      </c>
      <c r="BZ448" s="1">
        <v>6.75</v>
      </c>
      <c r="CA448" s="3">
        <v>45544</v>
      </c>
      <c r="CB448" s="1">
        <v>6.49</v>
      </c>
      <c r="CC448" s="3">
        <v>45576</v>
      </c>
      <c r="CD448" s="1">
        <v>6.2889999999999997</v>
      </c>
      <c r="CE448" s="3">
        <v>45576</v>
      </c>
      <c r="CF448" s="1">
        <v>6.25</v>
      </c>
      <c r="CG448" s="3">
        <v>45576</v>
      </c>
      <c r="CH448" s="1">
        <v>6.15</v>
      </c>
      <c r="CI448" s="3">
        <v>45576</v>
      </c>
      <c r="CJ448" s="1">
        <v>5.84</v>
      </c>
      <c r="CK448" s="3">
        <v>45576</v>
      </c>
      <c r="CL448" s="1">
        <v>5.57</v>
      </c>
      <c r="CM448" s="3">
        <v>45576</v>
      </c>
      <c r="CN448" s="1">
        <v>5.4649999999999999</v>
      </c>
      <c r="CO448" s="3">
        <v>45569</v>
      </c>
      <c r="CP448" s="1">
        <v>5.2850000000000001</v>
      </c>
      <c r="CQ448" s="3">
        <v>45569</v>
      </c>
      <c r="CR448" s="1">
        <v>5.26</v>
      </c>
      <c r="CS448" s="3">
        <v>45569</v>
      </c>
      <c r="CT448" s="1">
        <v>5.26</v>
      </c>
    </row>
    <row r="449" spans="31:98" x14ac:dyDescent="0.2">
      <c r="AE449" s="3">
        <v>45567</v>
      </c>
      <c r="AF449" s="1">
        <v>5.75</v>
      </c>
      <c r="AG449" s="3">
        <v>45547</v>
      </c>
      <c r="AH449" s="1">
        <v>5.85</v>
      </c>
      <c r="AI449" s="3">
        <v>45575</v>
      </c>
      <c r="AJ449" s="2">
        <v>5.8440000000000003</v>
      </c>
      <c r="AK449" s="3">
        <v>45575</v>
      </c>
      <c r="AL449" s="2">
        <v>5.8174999999999999</v>
      </c>
      <c r="AM449" s="3">
        <v>45575</v>
      </c>
      <c r="AN449" s="2">
        <v>5.77</v>
      </c>
      <c r="AO449" s="3">
        <v>45575</v>
      </c>
      <c r="AP449" s="2">
        <v>5.4349999999999996</v>
      </c>
      <c r="AQ449" s="3">
        <v>45575</v>
      </c>
      <c r="AR449" s="2">
        <v>4.9974999999999996</v>
      </c>
      <c r="AS449" s="3">
        <v>45575</v>
      </c>
      <c r="AT449" s="2">
        <v>4.7374999999999998</v>
      </c>
      <c r="AU449" s="3">
        <v>45575</v>
      </c>
      <c r="AV449" s="2">
        <v>4.5125000000000002</v>
      </c>
      <c r="AW449" s="3">
        <v>45575</v>
      </c>
      <c r="AX449" s="2">
        <v>4.37</v>
      </c>
      <c r="AY449" s="3">
        <v>45575</v>
      </c>
      <c r="AZ449" s="2">
        <v>4.2675000000000001</v>
      </c>
      <c r="BB449" s="3">
        <v>45547</v>
      </c>
      <c r="BC449" s="1">
        <v>4.5</v>
      </c>
      <c r="BD449" s="3">
        <v>45548</v>
      </c>
      <c r="BE449" s="1">
        <v>4.32</v>
      </c>
      <c r="BF449" s="3">
        <v>45575</v>
      </c>
      <c r="BG449" s="1">
        <v>3.96</v>
      </c>
      <c r="BH449" s="3">
        <v>45575</v>
      </c>
      <c r="BI449" s="1">
        <v>3.895</v>
      </c>
      <c r="BJ449" s="3">
        <v>45575</v>
      </c>
      <c r="BK449" s="1">
        <v>3.7749999999999999</v>
      </c>
      <c r="BL449" s="3">
        <v>45575</v>
      </c>
      <c r="BM449" s="1">
        <v>3.47</v>
      </c>
      <c r="BN449" s="3">
        <v>45575</v>
      </c>
      <c r="BO449" s="1">
        <v>3.2930000000000001</v>
      </c>
      <c r="BP449" s="3">
        <v>45575</v>
      </c>
      <c r="BQ449" s="1">
        <v>3.173</v>
      </c>
      <c r="BR449" s="3">
        <v>45575</v>
      </c>
      <c r="BS449" s="1">
        <v>3.1829999999999998</v>
      </c>
      <c r="BT449" s="3">
        <v>45575</v>
      </c>
      <c r="BU449" s="1">
        <v>3.1930000000000001</v>
      </c>
      <c r="BV449" s="3">
        <v>45575</v>
      </c>
      <c r="BW449" s="1">
        <v>3.2130000000000001</v>
      </c>
      <c r="BY449" s="3">
        <v>45553</v>
      </c>
      <c r="BZ449" s="1">
        <v>6.75</v>
      </c>
      <c r="CA449" s="3">
        <v>45541</v>
      </c>
      <c r="CB449" s="1">
        <v>6.5</v>
      </c>
      <c r="CC449" s="3">
        <v>45575</v>
      </c>
      <c r="CD449" s="1">
        <v>6.2779999999999996</v>
      </c>
      <c r="CE449" s="3">
        <v>45575</v>
      </c>
      <c r="CF449" s="1">
        <v>6.2279999999999998</v>
      </c>
      <c r="CG449" s="3">
        <v>45575</v>
      </c>
      <c r="CH449" s="1">
        <v>6.12</v>
      </c>
      <c r="CI449" s="3">
        <v>45575</v>
      </c>
      <c r="CJ449" s="1">
        <v>5.79</v>
      </c>
      <c r="CK449" s="3">
        <v>45575</v>
      </c>
      <c r="CL449" s="1">
        <v>5.5</v>
      </c>
      <c r="CM449" s="3">
        <v>45575</v>
      </c>
      <c r="CN449" s="1">
        <v>5.3150000000000004</v>
      </c>
      <c r="CO449" s="3">
        <v>45568</v>
      </c>
      <c r="CP449" s="1">
        <v>5.1224999999999996</v>
      </c>
      <c r="CQ449" s="3">
        <v>45568</v>
      </c>
      <c r="CR449" s="1">
        <v>5.0975000000000001</v>
      </c>
      <c r="CS449" s="3">
        <v>45568</v>
      </c>
      <c r="CT449" s="1">
        <v>5.0975000000000001</v>
      </c>
    </row>
    <row r="450" spans="31:98" x14ac:dyDescent="0.2">
      <c r="AE450" s="3">
        <v>45566</v>
      </c>
      <c r="AF450" s="1">
        <v>5.75</v>
      </c>
      <c r="AG450" s="3">
        <v>45546</v>
      </c>
      <c r="AH450" s="1">
        <v>5.85</v>
      </c>
      <c r="AI450" s="3">
        <v>45574</v>
      </c>
      <c r="AJ450" s="2">
        <v>5.8418000000000001</v>
      </c>
      <c r="AK450" s="3">
        <v>45574</v>
      </c>
      <c r="AL450" s="2">
        <v>5.8125</v>
      </c>
      <c r="AM450" s="3">
        <v>45574</v>
      </c>
      <c r="AN450" s="2">
        <v>5.7374999999999998</v>
      </c>
      <c r="AO450" s="3">
        <v>45574</v>
      </c>
      <c r="AP450" s="2">
        <v>5.43</v>
      </c>
      <c r="AQ450" s="3">
        <v>45574</v>
      </c>
      <c r="AR450" s="2">
        <v>4.9175000000000004</v>
      </c>
      <c r="AS450" s="3">
        <v>45574</v>
      </c>
      <c r="AT450" s="2">
        <v>4.6449999999999996</v>
      </c>
      <c r="AU450" s="3">
        <v>45574</v>
      </c>
      <c r="AV450" s="2">
        <v>4.42</v>
      </c>
      <c r="AW450" s="3">
        <v>45574</v>
      </c>
      <c r="AX450" s="2">
        <v>4.2575000000000003</v>
      </c>
      <c r="AY450" s="3">
        <v>45574</v>
      </c>
      <c r="AZ450" s="2">
        <v>4.165</v>
      </c>
      <c r="BB450" s="3">
        <v>45546</v>
      </c>
      <c r="BC450" s="1">
        <v>4.5</v>
      </c>
      <c r="BD450" s="3">
        <v>45547</v>
      </c>
      <c r="BE450" s="1">
        <v>4.33</v>
      </c>
      <c r="BF450" s="3">
        <v>45574</v>
      </c>
      <c r="BG450" s="1">
        <v>4.07</v>
      </c>
      <c r="BH450" s="3">
        <v>45574</v>
      </c>
      <c r="BI450" s="1">
        <v>3.8849999999999998</v>
      </c>
      <c r="BJ450" s="3">
        <v>45574</v>
      </c>
      <c r="BK450" s="1">
        <v>3.758</v>
      </c>
      <c r="BL450" s="3">
        <v>45574</v>
      </c>
      <c r="BM450" s="1">
        <v>3.45</v>
      </c>
      <c r="BN450" s="3">
        <v>45574</v>
      </c>
      <c r="BO450" s="1">
        <v>3.278</v>
      </c>
      <c r="BP450" s="3">
        <v>45574</v>
      </c>
      <c r="BQ450" s="1">
        <v>3.1379999999999999</v>
      </c>
      <c r="BR450" s="3">
        <v>45574</v>
      </c>
      <c r="BS450" s="1">
        <v>3.15</v>
      </c>
      <c r="BT450" s="3">
        <v>45574</v>
      </c>
      <c r="BU450" s="1">
        <v>3.165</v>
      </c>
      <c r="BV450" s="3">
        <v>45574</v>
      </c>
      <c r="BW450" s="1">
        <v>3.18</v>
      </c>
      <c r="BY450" s="3">
        <v>45552</v>
      </c>
      <c r="BZ450" s="1">
        <v>6.75</v>
      </c>
      <c r="CA450" s="3">
        <v>45540</v>
      </c>
      <c r="CB450" s="1">
        <v>6.5</v>
      </c>
      <c r="CC450" s="3">
        <v>45574</v>
      </c>
      <c r="CD450" s="1">
        <v>6.2880000000000003</v>
      </c>
      <c r="CE450" s="3">
        <v>45574</v>
      </c>
      <c r="CF450" s="1">
        <v>6.234</v>
      </c>
      <c r="CG450" s="3">
        <v>45574</v>
      </c>
      <c r="CH450" s="1">
        <v>6.12</v>
      </c>
      <c r="CI450" s="3">
        <v>45574</v>
      </c>
      <c r="CJ450" s="1">
        <v>5.81</v>
      </c>
      <c r="CK450" s="3">
        <v>45574</v>
      </c>
      <c r="CL450" s="1">
        <v>5.54</v>
      </c>
      <c r="CM450" s="3">
        <v>45574</v>
      </c>
      <c r="CN450" s="1">
        <v>5.3274999999999997</v>
      </c>
      <c r="CO450" s="3">
        <v>45567</v>
      </c>
      <c r="CP450" s="1">
        <v>4.9450000000000003</v>
      </c>
      <c r="CQ450" s="3">
        <v>45567</v>
      </c>
      <c r="CR450" s="1">
        <v>4.9349999999999996</v>
      </c>
      <c r="CS450" s="3">
        <v>45567</v>
      </c>
      <c r="CT450" s="1">
        <v>4.9450000000000003</v>
      </c>
    </row>
    <row r="451" spans="31:98" x14ac:dyDescent="0.2">
      <c r="AE451" s="3">
        <v>45565</v>
      </c>
      <c r="AF451" s="1">
        <v>5.75</v>
      </c>
      <c r="AG451" s="3">
        <v>45545</v>
      </c>
      <c r="AH451" s="1">
        <v>5.85</v>
      </c>
      <c r="AI451" s="3">
        <v>45573</v>
      </c>
      <c r="AJ451" s="2">
        <v>5.8388</v>
      </c>
      <c r="AK451" s="3">
        <v>45573</v>
      </c>
      <c r="AL451" s="2">
        <v>5.8125</v>
      </c>
      <c r="AM451" s="3">
        <v>45573</v>
      </c>
      <c r="AN451" s="2">
        <v>5.7525000000000004</v>
      </c>
      <c r="AO451" s="3">
        <v>45573</v>
      </c>
      <c r="AP451" s="2">
        <v>5.43</v>
      </c>
      <c r="AQ451" s="3">
        <v>45573</v>
      </c>
      <c r="AR451" s="2">
        <v>4.91</v>
      </c>
      <c r="AS451" s="3">
        <v>45573</v>
      </c>
      <c r="AT451" s="2">
        <v>4.6399999999999997</v>
      </c>
      <c r="AU451" s="3">
        <v>45573</v>
      </c>
      <c r="AV451" s="2">
        <v>4.4074999999999998</v>
      </c>
      <c r="AW451" s="3">
        <v>45573</v>
      </c>
      <c r="AX451" s="2">
        <v>4.2450000000000001</v>
      </c>
      <c r="AY451" s="3">
        <v>45573</v>
      </c>
      <c r="AZ451" s="2">
        <v>4.1524999999999999</v>
      </c>
      <c r="BB451" s="3">
        <v>45545</v>
      </c>
      <c r="BC451" s="1">
        <v>4.5</v>
      </c>
      <c r="BD451" s="3">
        <v>45546</v>
      </c>
      <c r="BE451" s="1">
        <v>4.33</v>
      </c>
      <c r="BF451" s="3">
        <v>45573</v>
      </c>
      <c r="BG451" s="1">
        <v>4.085</v>
      </c>
      <c r="BH451" s="3">
        <v>45573</v>
      </c>
      <c r="BI451" s="1">
        <v>3.895</v>
      </c>
      <c r="BJ451" s="3">
        <v>45573</v>
      </c>
      <c r="BK451" s="1">
        <v>3.7549999999999999</v>
      </c>
      <c r="BL451" s="3">
        <v>45573</v>
      </c>
      <c r="BM451" s="1">
        <v>3.45</v>
      </c>
      <c r="BN451" s="3">
        <v>45573</v>
      </c>
      <c r="BO451" s="1">
        <v>3.2930000000000001</v>
      </c>
      <c r="BP451" s="3">
        <v>45573</v>
      </c>
      <c r="BQ451" s="1">
        <v>3.153</v>
      </c>
      <c r="BR451" s="3">
        <v>45573</v>
      </c>
      <c r="BS451" s="1">
        <v>3.165</v>
      </c>
      <c r="BT451" s="3">
        <v>45573</v>
      </c>
      <c r="BU451" s="1">
        <v>3.1749999999999998</v>
      </c>
      <c r="BV451" s="3">
        <v>45573</v>
      </c>
      <c r="BW451" s="1">
        <v>3.19</v>
      </c>
      <c r="BY451" s="3">
        <v>45551</v>
      </c>
      <c r="BZ451" s="1">
        <v>6.75</v>
      </c>
      <c r="CA451" s="3">
        <v>45539</v>
      </c>
      <c r="CB451" s="1">
        <v>6.5</v>
      </c>
      <c r="CC451" s="3">
        <v>45573</v>
      </c>
      <c r="CD451" s="1">
        <v>6.29</v>
      </c>
      <c r="CE451" s="3">
        <v>45573</v>
      </c>
      <c r="CF451" s="1">
        <v>6.234</v>
      </c>
      <c r="CG451" s="3">
        <v>45573</v>
      </c>
      <c r="CH451" s="1">
        <v>6.15</v>
      </c>
      <c r="CI451" s="3">
        <v>45573</v>
      </c>
      <c r="CJ451" s="1">
        <v>5.87</v>
      </c>
      <c r="CK451" s="3">
        <v>45573</v>
      </c>
      <c r="CL451" s="1">
        <v>5.62</v>
      </c>
      <c r="CM451" s="3">
        <v>45573</v>
      </c>
      <c r="CN451" s="1">
        <v>5.47</v>
      </c>
      <c r="CO451" s="3">
        <v>45566</v>
      </c>
      <c r="CP451" s="1">
        <v>4.76</v>
      </c>
      <c r="CQ451" s="3">
        <v>45566</v>
      </c>
      <c r="CR451" s="1">
        <v>4.75</v>
      </c>
      <c r="CS451" s="3">
        <v>45566</v>
      </c>
      <c r="CT451" s="1">
        <v>4.76</v>
      </c>
    </row>
    <row r="452" spans="31:98" x14ac:dyDescent="0.2">
      <c r="AE452" s="3">
        <v>45562</v>
      </c>
      <c r="AF452" s="1">
        <v>5.75</v>
      </c>
      <c r="AG452" s="3">
        <v>45544</v>
      </c>
      <c r="AH452" s="1">
        <v>5.86</v>
      </c>
      <c r="AI452" s="3">
        <v>45572</v>
      </c>
      <c r="AJ452" s="2">
        <v>5.8368000000000002</v>
      </c>
      <c r="AK452" s="3">
        <v>45572</v>
      </c>
      <c r="AL452" s="2">
        <v>5.8125</v>
      </c>
      <c r="AM452" s="3">
        <v>45572</v>
      </c>
      <c r="AN452" s="2">
        <v>5.77</v>
      </c>
      <c r="AO452" s="3">
        <v>45572</v>
      </c>
      <c r="AP452" s="2">
        <v>5.4550000000000001</v>
      </c>
      <c r="AQ452" s="3">
        <v>45572</v>
      </c>
      <c r="AR452" s="2">
        <v>4.9074999999999998</v>
      </c>
      <c r="AS452" s="3">
        <v>45572</v>
      </c>
      <c r="AT452" s="2">
        <v>4.6349999999999998</v>
      </c>
      <c r="AU452" s="3">
        <v>45572</v>
      </c>
      <c r="AV452" s="2">
        <v>4.3875000000000002</v>
      </c>
      <c r="AW452" s="3">
        <v>45572</v>
      </c>
      <c r="AX452" s="2">
        <v>4.2374999999999998</v>
      </c>
      <c r="AY452" s="3">
        <v>45572</v>
      </c>
      <c r="AZ452" s="2">
        <v>4.1449999999999996</v>
      </c>
      <c r="BB452" s="3">
        <v>45544</v>
      </c>
      <c r="BC452" s="1">
        <v>4.5</v>
      </c>
      <c r="BD452" s="3">
        <v>45545</v>
      </c>
      <c r="BE452" s="1">
        <v>4.33</v>
      </c>
      <c r="BF452" s="3">
        <v>45572</v>
      </c>
      <c r="BG452" s="1">
        <v>4.0999999999999996</v>
      </c>
      <c r="BH452" s="3">
        <v>45572</v>
      </c>
      <c r="BI452" s="1">
        <v>3.8929999999999998</v>
      </c>
      <c r="BJ452" s="3">
        <v>45572</v>
      </c>
      <c r="BK452" s="1">
        <v>3.7450000000000001</v>
      </c>
      <c r="BL452" s="3">
        <v>45572</v>
      </c>
      <c r="BM452" s="1">
        <v>3.4649999999999999</v>
      </c>
      <c r="BN452" s="3">
        <v>45572</v>
      </c>
      <c r="BO452" s="1">
        <v>3.3450000000000002</v>
      </c>
      <c r="BP452" s="3">
        <v>45572</v>
      </c>
      <c r="BQ452" s="1">
        <v>3.2250000000000001</v>
      </c>
      <c r="BR452" s="3">
        <v>45572</v>
      </c>
      <c r="BS452" s="1">
        <v>3.2349999999999999</v>
      </c>
      <c r="BT452" s="3">
        <v>45572</v>
      </c>
      <c r="BU452" s="1">
        <v>3.2450000000000001</v>
      </c>
      <c r="BV452" s="3">
        <v>45572</v>
      </c>
      <c r="BW452" s="1">
        <v>3.2549999999999999</v>
      </c>
      <c r="BY452" s="3">
        <v>45548</v>
      </c>
      <c r="BZ452" s="1">
        <v>6.75</v>
      </c>
      <c r="CA452" s="3">
        <v>45538</v>
      </c>
      <c r="CB452" s="1">
        <v>6.5</v>
      </c>
      <c r="CC452" s="3">
        <v>45572</v>
      </c>
      <c r="CD452" s="1">
        <v>6.2389999999999999</v>
      </c>
      <c r="CE452" s="3">
        <v>45572</v>
      </c>
      <c r="CF452" s="1">
        <v>6.1669999999999998</v>
      </c>
      <c r="CG452" s="3">
        <v>45572</v>
      </c>
      <c r="CH452" s="1">
        <v>6.1</v>
      </c>
      <c r="CI452" s="3">
        <v>45572</v>
      </c>
      <c r="CJ452" s="1">
        <v>5.89</v>
      </c>
      <c r="CK452" s="3">
        <v>45572</v>
      </c>
      <c r="CL452" s="1">
        <v>5.66</v>
      </c>
      <c r="CM452" s="3">
        <v>45572</v>
      </c>
      <c r="CN452" s="1">
        <v>5.5125000000000002</v>
      </c>
      <c r="CO452" s="3">
        <v>45565</v>
      </c>
      <c r="CP452" s="1">
        <v>4.6974999999999998</v>
      </c>
      <c r="CQ452" s="3">
        <v>45565</v>
      </c>
      <c r="CR452" s="1">
        <v>4.6875</v>
      </c>
      <c r="CS452" s="3">
        <v>45565</v>
      </c>
      <c r="CT452" s="1">
        <v>4.6974999999999998</v>
      </c>
    </row>
    <row r="453" spans="31:98" x14ac:dyDescent="0.2">
      <c r="AE453" s="3">
        <v>45561</v>
      </c>
      <c r="AF453" s="1">
        <v>5.75</v>
      </c>
      <c r="AG453" s="3">
        <v>45541</v>
      </c>
      <c r="AH453" s="1">
        <v>5.86</v>
      </c>
      <c r="AI453" s="3">
        <v>45569</v>
      </c>
      <c r="AJ453" s="2">
        <v>5.8354999999999997</v>
      </c>
      <c r="AK453" s="3">
        <v>45569</v>
      </c>
      <c r="AL453" s="2">
        <v>5.81</v>
      </c>
      <c r="AM453" s="3">
        <v>45569</v>
      </c>
      <c r="AN453" s="2">
        <v>5.7649999999999997</v>
      </c>
      <c r="AO453" s="3">
        <v>45569</v>
      </c>
      <c r="AP453" s="2">
        <v>5.4325000000000001</v>
      </c>
      <c r="AQ453" s="3">
        <v>45569</v>
      </c>
      <c r="AR453" s="2">
        <v>4.8499999999999996</v>
      </c>
      <c r="AS453" s="3">
        <v>45569</v>
      </c>
      <c r="AT453" s="2">
        <v>4.55</v>
      </c>
      <c r="AU453" s="3">
        <v>45569</v>
      </c>
      <c r="AV453" s="2">
        <v>4.2824999999999998</v>
      </c>
      <c r="AW453" s="3">
        <v>45569</v>
      </c>
      <c r="AX453" s="2">
        <v>4.1325000000000003</v>
      </c>
      <c r="AY453" s="3">
        <v>45569</v>
      </c>
      <c r="AZ453" s="2">
        <v>4.04</v>
      </c>
      <c r="BB453" s="3">
        <v>45541</v>
      </c>
      <c r="BC453" s="1">
        <v>4.5</v>
      </c>
      <c r="BD453" s="3">
        <v>45544</v>
      </c>
      <c r="BE453" s="1">
        <v>4.32</v>
      </c>
      <c r="BF453" s="3">
        <v>45569</v>
      </c>
      <c r="BG453" s="1">
        <v>4.0999999999999996</v>
      </c>
      <c r="BH453" s="3">
        <v>45569</v>
      </c>
      <c r="BI453" s="1">
        <v>3.89</v>
      </c>
      <c r="BJ453" s="3">
        <v>45569</v>
      </c>
      <c r="BK453" s="1">
        <v>3.71</v>
      </c>
      <c r="BL453" s="3">
        <v>45569</v>
      </c>
      <c r="BM453" s="1">
        <v>3.4</v>
      </c>
      <c r="BN453" s="3">
        <v>45569</v>
      </c>
      <c r="BO453" s="1">
        <v>3.25</v>
      </c>
      <c r="BP453" s="3">
        <v>45569</v>
      </c>
      <c r="BQ453" s="1">
        <v>3.125</v>
      </c>
      <c r="BR453" s="3">
        <v>45569</v>
      </c>
      <c r="BS453" s="1">
        <v>3.14</v>
      </c>
      <c r="BT453" s="3">
        <v>45569</v>
      </c>
      <c r="BU453" s="1">
        <v>3.16</v>
      </c>
      <c r="BV453" s="3">
        <v>45569</v>
      </c>
      <c r="BW453" s="1">
        <v>3.18</v>
      </c>
      <c r="BY453" s="3">
        <v>45547</v>
      </c>
      <c r="BZ453" s="1">
        <v>6.75</v>
      </c>
      <c r="CA453" s="3">
        <v>45537</v>
      </c>
      <c r="CB453" s="1">
        <v>6.51</v>
      </c>
      <c r="CC453" s="3">
        <v>45569</v>
      </c>
      <c r="CD453" s="1">
        <v>6.2380000000000004</v>
      </c>
      <c r="CE453" s="3">
        <v>45569</v>
      </c>
      <c r="CF453" s="1">
        <v>6.1349999999999998</v>
      </c>
      <c r="CG453" s="3">
        <v>45569</v>
      </c>
      <c r="CH453" s="1">
        <v>6.08</v>
      </c>
      <c r="CI453" s="3">
        <v>45569</v>
      </c>
      <c r="CJ453" s="1">
        <v>5.83</v>
      </c>
      <c r="CK453" s="3">
        <v>45569</v>
      </c>
      <c r="CL453" s="1">
        <v>5.52</v>
      </c>
      <c r="CM453" s="3">
        <v>45569</v>
      </c>
      <c r="CN453" s="1">
        <v>5.3650000000000002</v>
      </c>
      <c r="CO453" s="3">
        <v>45562</v>
      </c>
      <c r="CP453" s="1">
        <v>4.6100000000000003</v>
      </c>
      <c r="CQ453" s="3">
        <v>45562</v>
      </c>
      <c r="CR453" s="1">
        <v>4.6050000000000004</v>
      </c>
      <c r="CS453" s="3">
        <v>45562</v>
      </c>
      <c r="CT453" s="1">
        <v>4.6224999999999996</v>
      </c>
    </row>
    <row r="454" spans="31:98" x14ac:dyDescent="0.2">
      <c r="AE454" s="3">
        <v>45560</v>
      </c>
      <c r="AF454" s="1">
        <v>5.75</v>
      </c>
      <c r="AG454" s="3">
        <v>45540</v>
      </c>
      <c r="AH454" s="1">
        <v>5.85</v>
      </c>
      <c r="AI454" s="3">
        <v>45568</v>
      </c>
      <c r="AJ454" s="2">
        <v>5.8265000000000002</v>
      </c>
      <c r="AK454" s="3">
        <v>45568</v>
      </c>
      <c r="AL454" s="2">
        <v>5.7850000000000001</v>
      </c>
      <c r="AM454" s="3">
        <v>45568</v>
      </c>
      <c r="AN454" s="2">
        <v>5.7350000000000003</v>
      </c>
      <c r="AO454" s="3">
        <v>45568</v>
      </c>
      <c r="AP454" s="2">
        <v>5.38</v>
      </c>
      <c r="AQ454" s="3">
        <v>45568</v>
      </c>
      <c r="AR454" s="2">
        <v>4.7300000000000004</v>
      </c>
      <c r="AS454" s="3">
        <v>45568</v>
      </c>
      <c r="AT454" s="2">
        <v>4.37</v>
      </c>
      <c r="AU454" s="3">
        <v>45568</v>
      </c>
      <c r="AV454" s="2">
        <v>4.09</v>
      </c>
      <c r="AW454" s="3">
        <v>45568</v>
      </c>
      <c r="AX454" s="2">
        <v>3.9249999999999998</v>
      </c>
      <c r="AY454" s="3">
        <v>45568</v>
      </c>
      <c r="AZ454" s="2">
        <v>3.8250000000000002</v>
      </c>
      <c r="BB454" s="3">
        <v>45540</v>
      </c>
      <c r="BC454" s="1">
        <v>4.5</v>
      </c>
      <c r="BD454" s="3">
        <v>45541</v>
      </c>
      <c r="BE454" s="1">
        <v>4.33</v>
      </c>
      <c r="BF454" s="3">
        <v>45568</v>
      </c>
      <c r="BG454" s="1">
        <v>4.085</v>
      </c>
      <c r="BH454" s="3">
        <v>45568</v>
      </c>
      <c r="BI454" s="1">
        <v>3.8679999999999999</v>
      </c>
      <c r="BJ454" s="3">
        <v>45568</v>
      </c>
      <c r="BK454" s="1">
        <v>3.6779999999999999</v>
      </c>
      <c r="BL454" s="3">
        <v>45568</v>
      </c>
      <c r="BM454" s="1">
        <v>3.3279999999999998</v>
      </c>
      <c r="BN454" s="3">
        <v>45568</v>
      </c>
      <c r="BO454" s="1">
        <v>3.1179999999999999</v>
      </c>
      <c r="BP454" s="3">
        <v>45568</v>
      </c>
      <c r="BQ454" s="1">
        <v>2.988</v>
      </c>
      <c r="BR454" s="3">
        <v>45568</v>
      </c>
      <c r="BS454" s="1">
        <v>3.0129999999999999</v>
      </c>
      <c r="BT454" s="3">
        <v>45568</v>
      </c>
      <c r="BU454" s="1">
        <v>3.0249999999999999</v>
      </c>
      <c r="BV454" s="3">
        <v>45568</v>
      </c>
      <c r="BW454" s="1">
        <v>3.04</v>
      </c>
      <c r="BY454" s="3">
        <v>45546</v>
      </c>
      <c r="BZ454" s="1">
        <v>6.75</v>
      </c>
      <c r="CA454" s="3">
        <v>45534</v>
      </c>
      <c r="CB454" s="1">
        <v>6.51</v>
      </c>
      <c r="CC454" s="3">
        <v>45568</v>
      </c>
      <c r="CD454" s="1">
        <v>6.2270000000000003</v>
      </c>
      <c r="CE454" s="3">
        <v>45568</v>
      </c>
      <c r="CF454" s="1">
        <v>6.11</v>
      </c>
      <c r="CG454" s="3">
        <v>45568</v>
      </c>
      <c r="CH454" s="1">
        <v>6.06</v>
      </c>
      <c r="CI454" s="3">
        <v>45568</v>
      </c>
      <c r="CJ454" s="1">
        <v>5.78</v>
      </c>
      <c r="CK454" s="3">
        <v>45568</v>
      </c>
      <c r="CL454" s="1">
        <v>5.39</v>
      </c>
      <c r="CM454" s="3">
        <v>45568</v>
      </c>
      <c r="CN454" s="1">
        <v>5.2024999999999997</v>
      </c>
      <c r="CO454" s="3">
        <v>45561</v>
      </c>
      <c r="CP454" s="1">
        <v>4.6875</v>
      </c>
      <c r="CQ454" s="3">
        <v>45561</v>
      </c>
      <c r="CR454" s="1">
        <v>4.6675000000000004</v>
      </c>
      <c r="CS454" s="3">
        <v>45561</v>
      </c>
      <c r="CT454" s="1">
        <v>4.6825000000000001</v>
      </c>
    </row>
    <row r="455" spans="31:98" x14ac:dyDescent="0.2">
      <c r="AE455" s="3">
        <v>45559</v>
      </c>
      <c r="AF455" s="1">
        <v>5.75</v>
      </c>
      <c r="AG455" s="3">
        <v>45539</v>
      </c>
      <c r="AH455" s="1">
        <v>5.86</v>
      </c>
      <c r="AI455" s="3">
        <v>45567</v>
      </c>
      <c r="AJ455" s="2">
        <v>5.8404999999999996</v>
      </c>
      <c r="AK455" s="3">
        <v>45567</v>
      </c>
      <c r="AL455" s="2">
        <v>5.8150000000000004</v>
      </c>
      <c r="AM455" s="3">
        <v>45567</v>
      </c>
      <c r="AN455" s="2">
        <v>5.7649999999999997</v>
      </c>
      <c r="AO455" s="3">
        <v>45567</v>
      </c>
      <c r="AP455" s="2">
        <v>5.4249999999999998</v>
      </c>
      <c r="AQ455" s="3">
        <v>45567</v>
      </c>
      <c r="AR455" s="2">
        <v>4.8099999999999996</v>
      </c>
      <c r="AS455" s="3">
        <v>45567</v>
      </c>
      <c r="AT455" s="2">
        <v>4.45</v>
      </c>
      <c r="AU455" s="3">
        <v>45567</v>
      </c>
      <c r="AV455" s="2">
        <v>4.165</v>
      </c>
      <c r="AW455" s="3">
        <v>45567</v>
      </c>
      <c r="AX455" s="2">
        <v>4</v>
      </c>
      <c r="AY455" s="3">
        <v>45567</v>
      </c>
      <c r="AZ455" s="2">
        <v>3.895</v>
      </c>
      <c r="BB455" s="3">
        <v>45539</v>
      </c>
      <c r="BC455" s="1">
        <v>4.5</v>
      </c>
      <c r="BD455" s="3">
        <v>45540</v>
      </c>
      <c r="BE455" s="1">
        <v>4.34</v>
      </c>
      <c r="BF455" s="3">
        <v>45567</v>
      </c>
      <c r="BG455" s="1">
        <v>4.085</v>
      </c>
      <c r="BH455" s="3">
        <v>45567</v>
      </c>
      <c r="BI455" s="1">
        <v>3.8650000000000002</v>
      </c>
      <c r="BJ455" s="3">
        <v>45567</v>
      </c>
      <c r="BK455" s="1">
        <v>3.6549999999999998</v>
      </c>
      <c r="BL455" s="3">
        <v>45567</v>
      </c>
      <c r="BM455" s="1">
        <v>3.28</v>
      </c>
      <c r="BN455" s="3">
        <v>45567</v>
      </c>
      <c r="BO455" s="1">
        <v>3.03</v>
      </c>
      <c r="BP455" s="3">
        <v>45567</v>
      </c>
      <c r="BQ455" s="1">
        <v>2.9</v>
      </c>
      <c r="BR455" s="3">
        <v>45567</v>
      </c>
      <c r="BS455" s="1">
        <v>2.8980000000000001</v>
      </c>
      <c r="BT455" s="3">
        <v>45567</v>
      </c>
      <c r="BU455" s="1">
        <v>2.903</v>
      </c>
      <c r="BV455" s="3">
        <v>45567</v>
      </c>
      <c r="BW455" s="1">
        <v>2.9079999999999999</v>
      </c>
      <c r="BY455" s="3">
        <v>45545</v>
      </c>
      <c r="BZ455" s="1">
        <v>6.75</v>
      </c>
      <c r="CA455" s="3">
        <v>45533</v>
      </c>
      <c r="CB455" s="1">
        <v>6.52</v>
      </c>
      <c r="CC455" s="3">
        <v>45567</v>
      </c>
      <c r="CD455" s="1">
        <v>6.2</v>
      </c>
      <c r="CE455" s="3">
        <v>45567</v>
      </c>
      <c r="CF455" s="1">
        <v>6.06</v>
      </c>
      <c r="CG455" s="3">
        <v>45567</v>
      </c>
      <c r="CH455" s="1">
        <v>5.98</v>
      </c>
      <c r="CI455" s="3">
        <v>45567</v>
      </c>
      <c r="CJ455" s="1">
        <v>5.63</v>
      </c>
      <c r="CK455" s="3">
        <v>45567</v>
      </c>
      <c r="CL455" s="1">
        <v>5.19</v>
      </c>
      <c r="CM455" s="3">
        <v>45567</v>
      </c>
      <c r="CN455" s="1">
        <v>5.0199999999999996</v>
      </c>
      <c r="CO455" s="3">
        <v>45560</v>
      </c>
      <c r="CP455" s="1">
        <v>4.7949999999999999</v>
      </c>
      <c r="CQ455" s="3">
        <v>45560</v>
      </c>
      <c r="CR455" s="1">
        <v>4.7750000000000004</v>
      </c>
      <c r="CS455" s="3">
        <v>45560</v>
      </c>
      <c r="CT455" s="1">
        <v>4.79</v>
      </c>
    </row>
    <row r="456" spans="31:98" x14ac:dyDescent="0.2">
      <c r="AE456" s="3">
        <v>45558</v>
      </c>
      <c r="AF456" s="1">
        <v>5.75</v>
      </c>
      <c r="AG456" s="3">
        <v>45538</v>
      </c>
      <c r="AH456" s="1">
        <v>5.87</v>
      </c>
      <c r="AI456" s="3">
        <v>45566</v>
      </c>
      <c r="AJ456" s="2">
        <v>5.827</v>
      </c>
      <c r="AK456" s="3">
        <v>45566</v>
      </c>
      <c r="AL456" s="2">
        <v>5.8125</v>
      </c>
      <c r="AM456" s="3">
        <v>45566</v>
      </c>
      <c r="AN456" s="2">
        <v>5.76</v>
      </c>
      <c r="AO456" s="3">
        <v>45566</v>
      </c>
      <c r="AP456" s="2">
        <v>5.38</v>
      </c>
      <c r="AQ456" s="3">
        <v>45566</v>
      </c>
      <c r="AR456" s="2">
        <v>4.72</v>
      </c>
      <c r="AS456" s="3">
        <v>45566</v>
      </c>
      <c r="AT456" s="2">
        <v>4.3425000000000002</v>
      </c>
      <c r="AU456" s="3">
        <v>45566</v>
      </c>
      <c r="AV456" s="2">
        <v>4.0599999999999996</v>
      </c>
      <c r="AW456" s="3">
        <v>45566</v>
      </c>
      <c r="AX456" s="2">
        <v>3.8925000000000001</v>
      </c>
      <c r="AY456" s="3">
        <v>45566</v>
      </c>
      <c r="AZ456" s="2">
        <v>3.7925</v>
      </c>
      <c r="BB456" s="3">
        <v>45538</v>
      </c>
      <c r="BC456" s="1">
        <v>4.5</v>
      </c>
      <c r="BD456" s="3">
        <v>45539</v>
      </c>
      <c r="BE456" s="1">
        <v>4.3499999999999996</v>
      </c>
      <c r="BF456" s="3">
        <v>45566</v>
      </c>
      <c r="BG456" s="1">
        <v>4.08</v>
      </c>
      <c r="BH456" s="3">
        <v>45566</v>
      </c>
      <c r="BI456" s="1">
        <v>3.85</v>
      </c>
      <c r="BJ456" s="3">
        <v>45566</v>
      </c>
      <c r="BK456" s="1">
        <v>3.6349999999999998</v>
      </c>
      <c r="BL456" s="3">
        <v>45566</v>
      </c>
      <c r="BM456" s="1">
        <v>3.25</v>
      </c>
      <c r="BN456" s="3">
        <v>45566</v>
      </c>
      <c r="BO456" s="1">
        <v>2.98</v>
      </c>
      <c r="BP456" s="3">
        <v>45566</v>
      </c>
      <c r="BQ456" s="1">
        <v>2.835</v>
      </c>
      <c r="BR456" s="3">
        <v>45566</v>
      </c>
      <c r="BS456" s="1">
        <v>2.8279999999999998</v>
      </c>
      <c r="BT456" s="3">
        <v>45566</v>
      </c>
      <c r="BU456" s="1">
        <v>2.8279999999999998</v>
      </c>
      <c r="BV456" s="3">
        <v>45566</v>
      </c>
      <c r="BW456" s="1">
        <v>2.83</v>
      </c>
      <c r="BY456" s="3">
        <v>45544</v>
      </c>
      <c r="BZ456" s="1">
        <v>6.75</v>
      </c>
      <c r="CA456" s="3">
        <v>45532</v>
      </c>
      <c r="CB456" s="1">
        <v>6.52</v>
      </c>
      <c r="CC456" s="3">
        <v>45566</v>
      </c>
      <c r="CD456" s="1">
        <v>6.12</v>
      </c>
      <c r="CE456" s="3">
        <v>45566</v>
      </c>
      <c r="CF456" s="1">
        <v>5.9530000000000003</v>
      </c>
      <c r="CG456" s="3">
        <v>45566</v>
      </c>
      <c r="CH456" s="1">
        <v>5.84</v>
      </c>
      <c r="CI456" s="3">
        <v>45566</v>
      </c>
      <c r="CJ456" s="1">
        <v>5.47</v>
      </c>
      <c r="CK456" s="3">
        <v>45566</v>
      </c>
      <c r="CL456" s="1">
        <v>5.01</v>
      </c>
      <c r="CM456" s="3">
        <v>45566</v>
      </c>
      <c r="CN456" s="1">
        <v>4.835</v>
      </c>
      <c r="CO456" s="3">
        <v>45559</v>
      </c>
      <c r="CP456" s="1">
        <v>4.8574999999999999</v>
      </c>
      <c r="CQ456" s="3">
        <v>45559</v>
      </c>
      <c r="CR456" s="1">
        <v>4.8250000000000002</v>
      </c>
      <c r="CS456" s="3">
        <v>45559</v>
      </c>
      <c r="CT456" s="1">
        <v>4.835</v>
      </c>
    </row>
    <row r="457" spans="31:98" x14ac:dyDescent="0.2">
      <c r="AE457" s="3">
        <v>45555</v>
      </c>
      <c r="AF457" s="1">
        <v>5.75</v>
      </c>
      <c r="AG457" s="3">
        <v>45537</v>
      </c>
      <c r="AH457" s="1">
        <v>5.85</v>
      </c>
      <c r="AI457" s="3">
        <v>45565</v>
      </c>
      <c r="AJ457" s="2">
        <v>5.8244999999999996</v>
      </c>
      <c r="AK457" s="3">
        <v>45565</v>
      </c>
      <c r="AL457" s="2">
        <v>5.8049999999999997</v>
      </c>
      <c r="AM457" s="3">
        <v>45565</v>
      </c>
      <c r="AN457" s="2">
        <v>5.7450000000000001</v>
      </c>
      <c r="AO457" s="3">
        <v>45565</v>
      </c>
      <c r="AP457" s="2">
        <v>5.3574999999999999</v>
      </c>
      <c r="AQ457" s="3">
        <v>45565</v>
      </c>
      <c r="AR457" s="2">
        <v>4.67</v>
      </c>
      <c r="AS457" s="3">
        <v>45565</v>
      </c>
      <c r="AT457" s="2">
        <v>4.2699999999999996</v>
      </c>
      <c r="AU457" s="3">
        <v>45565</v>
      </c>
      <c r="AV457" s="2">
        <v>3.9824999999999999</v>
      </c>
      <c r="AW457" s="3">
        <v>45565</v>
      </c>
      <c r="AX457" s="2">
        <v>3.7949999999999999</v>
      </c>
      <c r="AY457" s="3">
        <v>45565</v>
      </c>
      <c r="AZ457" s="2">
        <v>3.6949999999999998</v>
      </c>
      <c r="BB457" s="3">
        <v>45537</v>
      </c>
      <c r="BC457" s="1">
        <v>4.5</v>
      </c>
      <c r="BD457" s="3">
        <v>45538</v>
      </c>
      <c r="BE457" s="1">
        <v>4.3600000000000003</v>
      </c>
      <c r="BF457" s="3">
        <v>45565</v>
      </c>
      <c r="BG457" s="1">
        <v>4.08</v>
      </c>
      <c r="BH457" s="3">
        <v>45565</v>
      </c>
      <c r="BI457" s="1">
        <v>3.855</v>
      </c>
      <c r="BJ457" s="3">
        <v>45565</v>
      </c>
      <c r="BK457" s="1">
        <v>3.645</v>
      </c>
      <c r="BL457" s="3">
        <v>45565</v>
      </c>
      <c r="BM457" s="1">
        <v>3.26</v>
      </c>
      <c r="BN457" s="3">
        <v>45565</v>
      </c>
      <c r="BO457" s="1">
        <v>3</v>
      </c>
      <c r="BP457" s="3">
        <v>45565</v>
      </c>
      <c r="BQ457" s="1">
        <v>2.8450000000000002</v>
      </c>
      <c r="BR457" s="3">
        <v>45565</v>
      </c>
      <c r="BS457" s="1">
        <v>2.84</v>
      </c>
      <c r="BT457" s="3">
        <v>45565</v>
      </c>
      <c r="BU457" s="1">
        <v>2.835</v>
      </c>
      <c r="BV457" s="3">
        <v>45565</v>
      </c>
      <c r="BW457" s="1">
        <v>2.83</v>
      </c>
      <c r="BY457" s="3">
        <v>45541</v>
      </c>
      <c r="BZ457" s="1">
        <v>6.75</v>
      </c>
      <c r="CA457" s="3">
        <v>45531</v>
      </c>
      <c r="CB457" s="1">
        <v>6.52</v>
      </c>
      <c r="CC457" s="3">
        <v>45565</v>
      </c>
      <c r="CD457" s="1">
        <v>6.12</v>
      </c>
      <c r="CE457" s="3">
        <v>45565</v>
      </c>
      <c r="CF457" s="1">
        <v>5.95</v>
      </c>
      <c r="CG457" s="3">
        <v>45565</v>
      </c>
      <c r="CH457" s="1">
        <v>5.83</v>
      </c>
      <c r="CI457" s="3">
        <v>45565</v>
      </c>
      <c r="CJ457" s="1">
        <v>5.44</v>
      </c>
      <c r="CK457" s="3">
        <v>45565</v>
      </c>
      <c r="CL457" s="1">
        <v>4.96</v>
      </c>
      <c r="CM457" s="3">
        <v>45565</v>
      </c>
      <c r="CN457" s="1">
        <v>4.7774999999999999</v>
      </c>
      <c r="CO457" s="3">
        <v>45558</v>
      </c>
      <c r="CP457" s="1">
        <v>4.9249999999999998</v>
      </c>
      <c r="CQ457" s="3">
        <v>45558</v>
      </c>
      <c r="CR457" s="1">
        <v>4.8875000000000002</v>
      </c>
      <c r="CS457" s="3">
        <v>45558</v>
      </c>
      <c r="CT457" s="1">
        <v>4.8975</v>
      </c>
    </row>
    <row r="458" spans="31:98" x14ac:dyDescent="0.2">
      <c r="AE458" s="3">
        <v>45554</v>
      </c>
      <c r="AF458" s="1">
        <v>5.75</v>
      </c>
      <c r="AG458" s="3">
        <v>45534</v>
      </c>
      <c r="AH458" s="1">
        <v>5.85</v>
      </c>
      <c r="AI458" s="3">
        <v>45562</v>
      </c>
      <c r="AJ458" s="2">
        <v>5.8239999999999998</v>
      </c>
      <c r="AK458" s="3">
        <v>45562</v>
      </c>
      <c r="AL458" s="2">
        <v>5.7949999999999999</v>
      </c>
      <c r="AM458" s="3">
        <v>45562</v>
      </c>
      <c r="AN458" s="2">
        <v>5.74</v>
      </c>
      <c r="AO458" s="3">
        <v>45562</v>
      </c>
      <c r="AP458" s="2">
        <v>5.3525</v>
      </c>
      <c r="AQ458" s="3">
        <v>45562</v>
      </c>
      <c r="AR458" s="2">
        <v>4.6624999999999996</v>
      </c>
      <c r="AS458" s="3">
        <v>45562</v>
      </c>
      <c r="AT458" s="2">
        <v>4.2450000000000001</v>
      </c>
      <c r="AU458" s="3">
        <v>45562</v>
      </c>
      <c r="AV458" s="2">
        <v>3.9575</v>
      </c>
      <c r="AW458" s="3">
        <v>45562</v>
      </c>
      <c r="AX458" s="2">
        <v>3.7725</v>
      </c>
      <c r="AY458" s="3">
        <v>45562</v>
      </c>
      <c r="AZ458" s="2">
        <v>3.6749999999999998</v>
      </c>
      <c r="BB458" s="3">
        <v>45534</v>
      </c>
      <c r="BC458" s="1">
        <v>4.5</v>
      </c>
      <c r="BD458" s="3">
        <v>45537</v>
      </c>
      <c r="BE458" s="1">
        <v>4.3600000000000003</v>
      </c>
      <c r="BF458" s="3">
        <v>45562</v>
      </c>
      <c r="BG458" s="1">
        <v>4.0750000000000002</v>
      </c>
      <c r="BH458" s="3">
        <v>45562</v>
      </c>
      <c r="BI458" s="1">
        <v>3.8380000000000001</v>
      </c>
      <c r="BJ458" s="3">
        <v>45562</v>
      </c>
      <c r="BK458" s="1">
        <v>3.6379999999999999</v>
      </c>
      <c r="BL458" s="3">
        <v>45562</v>
      </c>
      <c r="BM458" s="1">
        <v>3.2629999999999999</v>
      </c>
      <c r="BN458" s="3">
        <v>45562</v>
      </c>
      <c r="BO458" s="1">
        <v>2.9750000000000001</v>
      </c>
      <c r="BP458" s="3">
        <v>45562</v>
      </c>
      <c r="BQ458" s="1">
        <v>2.8050000000000002</v>
      </c>
      <c r="BR458" s="3">
        <v>45562</v>
      </c>
      <c r="BS458" s="1">
        <v>2.798</v>
      </c>
      <c r="BT458" s="3">
        <v>45562</v>
      </c>
      <c r="BU458" s="1">
        <v>2.7949999999999999</v>
      </c>
      <c r="BV458" s="3">
        <v>45562</v>
      </c>
      <c r="BW458" s="1">
        <v>2.7879999999999998</v>
      </c>
      <c r="BY458" s="3">
        <v>45540</v>
      </c>
      <c r="BZ458" s="1">
        <v>6.75</v>
      </c>
      <c r="CA458" s="3">
        <v>45530</v>
      </c>
      <c r="CB458" s="1">
        <v>6.53</v>
      </c>
      <c r="CC458" s="3">
        <v>45562</v>
      </c>
      <c r="CD458" s="1">
        <v>6.12</v>
      </c>
      <c r="CE458" s="3">
        <v>45562</v>
      </c>
      <c r="CF458" s="1">
        <v>5.94</v>
      </c>
      <c r="CG458" s="3">
        <v>45562</v>
      </c>
      <c r="CH458" s="1">
        <v>5.81</v>
      </c>
      <c r="CI458" s="3">
        <v>45562</v>
      </c>
      <c r="CJ458" s="1">
        <v>5.4</v>
      </c>
      <c r="CK458" s="3">
        <v>45562</v>
      </c>
      <c r="CL458" s="1">
        <v>4.91</v>
      </c>
      <c r="CM458" s="3">
        <v>45562</v>
      </c>
      <c r="CN458" s="1">
        <v>4.6900000000000004</v>
      </c>
      <c r="CO458" s="3">
        <v>45555</v>
      </c>
      <c r="CP458" s="1">
        <v>5.0125000000000002</v>
      </c>
      <c r="CQ458" s="3">
        <v>45555</v>
      </c>
      <c r="CR458" s="1">
        <v>4.9749999999999996</v>
      </c>
      <c r="CS458" s="3">
        <v>45555</v>
      </c>
      <c r="CT458" s="1">
        <v>4.9850000000000003</v>
      </c>
    </row>
    <row r="459" spans="31:98" x14ac:dyDescent="0.2">
      <c r="AE459" s="3">
        <v>45553</v>
      </c>
      <c r="AF459" s="1">
        <v>5.75</v>
      </c>
      <c r="AG459" s="3">
        <v>45533</v>
      </c>
      <c r="AH459" s="1">
        <v>5.85</v>
      </c>
      <c r="AI459" s="3">
        <v>45561</v>
      </c>
      <c r="AJ459" s="2">
        <v>5.8262999999999998</v>
      </c>
      <c r="AK459" s="3">
        <v>45561</v>
      </c>
      <c r="AL459" s="2">
        <v>5.8</v>
      </c>
      <c r="AM459" s="3">
        <v>45561</v>
      </c>
      <c r="AN459" s="2">
        <v>5.75</v>
      </c>
      <c r="AO459" s="3">
        <v>45561</v>
      </c>
      <c r="AP459" s="2">
        <v>5.35</v>
      </c>
      <c r="AQ459" s="3">
        <v>45561</v>
      </c>
      <c r="AR459" s="2">
        <v>4.68</v>
      </c>
      <c r="AS459" s="3">
        <v>45561</v>
      </c>
      <c r="AT459" s="2">
        <v>4.29</v>
      </c>
      <c r="AU459" s="3">
        <v>45561</v>
      </c>
      <c r="AV459" s="2">
        <v>4.0049999999999999</v>
      </c>
      <c r="AW459" s="3">
        <v>45561</v>
      </c>
      <c r="AX459" s="2">
        <v>3.82</v>
      </c>
      <c r="AY459" s="3">
        <v>45561</v>
      </c>
      <c r="AZ459" s="2">
        <v>3.7225000000000001</v>
      </c>
      <c r="BB459" s="3">
        <v>45533</v>
      </c>
      <c r="BC459" s="1">
        <v>4.5</v>
      </c>
      <c r="BD459" s="3">
        <v>45534</v>
      </c>
      <c r="BE459" s="1">
        <v>4.3600000000000003</v>
      </c>
      <c r="BF459" s="3">
        <v>45561</v>
      </c>
      <c r="BG459" s="1">
        <v>4.085</v>
      </c>
      <c r="BH459" s="3">
        <v>45561</v>
      </c>
      <c r="BI459" s="1">
        <v>3.86</v>
      </c>
      <c r="BJ459" s="3">
        <v>45561</v>
      </c>
      <c r="BK459" s="1">
        <v>3.67</v>
      </c>
      <c r="BL459" s="3">
        <v>45561</v>
      </c>
      <c r="BM459" s="1">
        <v>3.355</v>
      </c>
      <c r="BN459" s="3">
        <v>45561</v>
      </c>
      <c r="BO459" s="1">
        <v>3.0649999999999999</v>
      </c>
      <c r="BP459" s="3">
        <v>45561</v>
      </c>
      <c r="BQ459" s="1">
        <v>2.8879999999999999</v>
      </c>
      <c r="BR459" s="3">
        <v>45561</v>
      </c>
      <c r="BS459" s="1">
        <v>2.863</v>
      </c>
      <c r="BT459" s="3">
        <v>45561</v>
      </c>
      <c r="BU459" s="1">
        <v>2.8530000000000002</v>
      </c>
      <c r="BV459" s="3">
        <v>45561</v>
      </c>
      <c r="BW459" s="1">
        <v>2.8530000000000002</v>
      </c>
      <c r="BY459" s="3">
        <v>45539</v>
      </c>
      <c r="BZ459" s="1">
        <v>6.75</v>
      </c>
      <c r="CA459" s="3">
        <v>45527</v>
      </c>
      <c r="CB459" s="1">
        <v>6.54</v>
      </c>
      <c r="CC459" s="3">
        <v>45561</v>
      </c>
      <c r="CD459" s="1">
        <v>6.14</v>
      </c>
      <c r="CE459" s="3">
        <v>45561</v>
      </c>
      <c r="CF459" s="1">
        <v>5.97</v>
      </c>
      <c r="CG459" s="3">
        <v>45561</v>
      </c>
      <c r="CH459" s="1">
        <v>5.85</v>
      </c>
      <c r="CI459" s="3">
        <v>45561</v>
      </c>
      <c r="CJ459" s="1">
        <v>5.46</v>
      </c>
      <c r="CK459" s="3">
        <v>45561</v>
      </c>
      <c r="CL459" s="1">
        <v>4.9800000000000004</v>
      </c>
      <c r="CM459" s="3">
        <v>45561</v>
      </c>
      <c r="CN459" s="1">
        <v>4.7675000000000001</v>
      </c>
      <c r="CO459" s="3">
        <v>45554</v>
      </c>
      <c r="CP459" s="1">
        <v>4.9474999999999998</v>
      </c>
      <c r="CQ459" s="3">
        <v>45554</v>
      </c>
      <c r="CR459" s="1">
        <v>4.91</v>
      </c>
      <c r="CS459" s="3">
        <v>45554</v>
      </c>
      <c r="CT459" s="1">
        <v>4.92</v>
      </c>
    </row>
    <row r="460" spans="31:98" x14ac:dyDescent="0.2">
      <c r="AE460" s="3">
        <v>45552</v>
      </c>
      <c r="AF460" s="1">
        <v>5.75</v>
      </c>
      <c r="AG460" s="3">
        <v>45532</v>
      </c>
      <c r="AH460" s="1">
        <v>5.85</v>
      </c>
      <c r="AI460" s="3">
        <v>45560</v>
      </c>
      <c r="AJ460" s="2">
        <v>5.8295000000000003</v>
      </c>
      <c r="AK460" s="3">
        <v>45560</v>
      </c>
      <c r="AL460" s="2">
        <v>5.8</v>
      </c>
      <c r="AM460" s="3">
        <v>45560</v>
      </c>
      <c r="AN460" s="2">
        <v>5.75</v>
      </c>
      <c r="AO460" s="3">
        <v>45560</v>
      </c>
      <c r="AP460" s="2">
        <v>5.3650000000000002</v>
      </c>
      <c r="AQ460" s="3">
        <v>45560</v>
      </c>
      <c r="AR460" s="2">
        <v>4.7050000000000001</v>
      </c>
      <c r="AS460" s="3">
        <v>45560</v>
      </c>
      <c r="AT460" s="2">
        <v>4.3250000000000002</v>
      </c>
      <c r="AU460" s="3">
        <v>45560</v>
      </c>
      <c r="AV460" s="2">
        <v>4.0449999999999999</v>
      </c>
      <c r="AW460" s="3">
        <v>45560</v>
      </c>
      <c r="AX460" s="2">
        <v>3.8650000000000002</v>
      </c>
      <c r="AY460" s="3">
        <v>45560</v>
      </c>
      <c r="AZ460" s="2">
        <v>3.7650000000000001</v>
      </c>
      <c r="BB460" s="3">
        <v>45532</v>
      </c>
      <c r="BC460" s="1">
        <v>4.5</v>
      </c>
      <c r="BD460" s="3">
        <v>45533</v>
      </c>
      <c r="BE460" s="1">
        <v>4.37</v>
      </c>
      <c r="BF460" s="3">
        <v>45560</v>
      </c>
      <c r="BG460" s="1">
        <v>4.09</v>
      </c>
      <c r="BH460" s="3">
        <v>45560</v>
      </c>
      <c r="BI460" s="1">
        <v>3.855</v>
      </c>
      <c r="BJ460" s="3">
        <v>45560</v>
      </c>
      <c r="BK460" s="1">
        <v>3.6749999999999998</v>
      </c>
      <c r="BL460" s="3">
        <v>45560</v>
      </c>
      <c r="BM460" s="1">
        <v>3.3780000000000001</v>
      </c>
      <c r="BN460" s="3">
        <v>45560</v>
      </c>
      <c r="BO460" s="1">
        <v>3.073</v>
      </c>
      <c r="BP460" s="3">
        <v>45560</v>
      </c>
      <c r="BQ460" s="1">
        <v>2.903</v>
      </c>
      <c r="BR460" s="3">
        <v>45560</v>
      </c>
      <c r="BS460" s="1">
        <v>2.8730000000000002</v>
      </c>
      <c r="BT460" s="3">
        <v>45560</v>
      </c>
      <c r="BU460" s="1">
        <v>2.8650000000000002</v>
      </c>
      <c r="BV460" s="3">
        <v>45560</v>
      </c>
      <c r="BW460" s="1">
        <v>2.8650000000000002</v>
      </c>
      <c r="BY460" s="3">
        <v>45538</v>
      </c>
      <c r="BZ460" s="1">
        <v>6.75</v>
      </c>
      <c r="CA460" s="3">
        <v>45526</v>
      </c>
      <c r="CB460" s="1">
        <v>6.54</v>
      </c>
      <c r="CC460" s="3">
        <v>45560</v>
      </c>
      <c r="CD460" s="1">
        <v>6.1840000000000002</v>
      </c>
      <c r="CE460" s="3">
        <v>45560</v>
      </c>
      <c r="CF460" s="1">
        <v>6.01</v>
      </c>
      <c r="CG460" s="3">
        <v>45560</v>
      </c>
      <c r="CH460" s="1">
        <v>5.9</v>
      </c>
      <c r="CI460" s="3">
        <v>45560</v>
      </c>
      <c r="CJ460" s="1">
        <v>5.49</v>
      </c>
      <c r="CK460" s="3">
        <v>45560</v>
      </c>
      <c r="CL460" s="1">
        <v>5.03</v>
      </c>
      <c r="CM460" s="3">
        <v>45560</v>
      </c>
      <c r="CN460" s="1">
        <v>4.8250000000000002</v>
      </c>
      <c r="CO460" s="3">
        <v>45553</v>
      </c>
      <c r="CP460" s="1">
        <v>4.8724999999999996</v>
      </c>
      <c r="CQ460" s="3">
        <v>45553</v>
      </c>
      <c r="CR460" s="1">
        <v>4.8375000000000004</v>
      </c>
      <c r="CS460" s="3">
        <v>45553</v>
      </c>
      <c r="CT460" s="1">
        <v>4.8499999999999996</v>
      </c>
    </row>
    <row r="461" spans="31:98" x14ac:dyDescent="0.2">
      <c r="AE461" s="3">
        <v>45551</v>
      </c>
      <c r="AF461" s="1">
        <v>5.75</v>
      </c>
      <c r="AG461" s="3">
        <v>45531</v>
      </c>
      <c r="AH461" s="1">
        <v>5.85</v>
      </c>
      <c r="AI461" s="3">
        <v>45559</v>
      </c>
      <c r="AJ461" s="2">
        <v>5.8232999999999997</v>
      </c>
      <c r="AK461" s="3">
        <v>45559</v>
      </c>
      <c r="AL461" s="2">
        <v>5.7949999999999999</v>
      </c>
      <c r="AM461" s="3">
        <v>45559</v>
      </c>
      <c r="AN461" s="2">
        <v>5.7350000000000003</v>
      </c>
      <c r="AO461" s="3">
        <v>45559</v>
      </c>
      <c r="AP461" s="2">
        <v>5.3425000000000002</v>
      </c>
      <c r="AQ461" s="3">
        <v>45559</v>
      </c>
      <c r="AR461" s="2">
        <v>4.6950000000000003</v>
      </c>
      <c r="AS461" s="3">
        <v>45559</v>
      </c>
      <c r="AT461" s="2">
        <v>4.3274999999999997</v>
      </c>
      <c r="AU461" s="3">
        <v>45559</v>
      </c>
      <c r="AV461" s="2">
        <v>4.0525000000000002</v>
      </c>
      <c r="AW461" s="3">
        <v>45559</v>
      </c>
      <c r="AX461" s="2">
        <v>3.8725000000000001</v>
      </c>
      <c r="AY461" s="3">
        <v>45559</v>
      </c>
      <c r="AZ461" s="2">
        <v>3.7749999999999999</v>
      </c>
      <c r="BB461" s="3">
        <v>45531</v>
      </c>
      <c r="BC461" s="1">
        <v>4.5</v>
      </c>
      <c r="BD461" s="3">
        <v>45532</v>
      </c>
      <c r="BE461" s="1">
        <v>4.37</v>
      </c>
      <c r="BF461" s="3">
        <v>45559</v>
      </c>
      <c r="BG461" s="1">
        <v>4.0949999999999998</v>
      </c>
      <c r="BH461" s="3">
        <v>45559</v>
      </c>
      <c r="BI461" s="1">
        <v>3.84</v>
      </c>
      <c r="BJ461" s="3">
        <v>45559</v>
      </c>
      <c r="BK461" s="1">
        <v>3.653</v>
      </c>
      <c r="BL461" s="3">
        <v>45559</v>
      </c>
      <c r="BM461" s="1">
        <v>3.3580000000000001</v>
      </c>
      <c r="BN461" s="3">
        <v>45559</v>
      </c>
      <c r="BO461" s="1">
        <v>3.048</v>
      </c>
      <c r="BP461" s="3">
        <v>45559</v>
      </c>
      <c r="BQ461" s="1">
        <v>2.8929999999999998</v>
      </c>
      <c r="BR461" s="3">
        <v>45559</v>
      </c>
      <c r="BS461" s="1">
        <v>2.863</v>
      </c>
      <c r="BT461" s="3">
        <v>45559</v>
      </c>
      <c r="BU461" s="1">
        <v>2.863</v>
      </c>
      <c r="BV461" s="3">
        <v>45559</v>
      </c>
      <c r="BW461" s="1">
        <v>2.8580000000000001</v>
      </c>
      <c r="BY461" s="3">
        <v>45537</v>
      </c>
      <c r="BZ461" s="1">
        <v>6.75</v>
      </c>
      <c r="CA461" s="3">
        <v>45525</v>
      </c>
      <c r="CB461" s="1">
        <v>6.54</v>
      </c>
      <c r="CC461" s="3">
        <v>45559</v>
      </c>
      <c r="CD461" s="1">
        <v>6.1879999999999997</v>
      </c>
      <c r="CE461" s="3">
        <v>45559</v>
      </c>
      <c r="CF461" s="1">
        <v>6.0279999999999996</v>
      </c>
      <c r="CG461" s="3">
        <v>45559</v>
      </c>
      <c r="CH461" s="1">
        <v>5.92</v>
      </c>
      <c r="CI461" s="3">
        <v>45559</v>
      </c>
      <c r="CJ461" s="1">
        <v>5.54</v>
      </c>
      <c r="CK461" s="3">
        <v>45559</v>
      </c>
      <c r="CL461" s="1">
        <v>5.0999999999999996</v>
      </c>
      <c r="CM461" s="3">
        <v>45559</v>
      </c>
      <c r="CN461" s="1">
        <v>4.8975</v>
      </c>
      <c r="CO461" s="3">
        <v>45552</v>
      </c>
      <c r="CP461" s="1">
        <v>4.8724999999999996</v>
      </c>
      <c r="CQ461" s="3">
        <v>45552</v>
      </c>
      <c r="CR461" s="1">
        <v>4.8375000000000004</v>
      </c>
      <c r="CS461" s="3">
        <v>45552</v>
      </c>
      <c r="CT461" s="1">
        <v>4.8499999999999996</v>
      </c>
    </row>
    <row r="462" spans="31:98" x14ac:dyDescent="0.2">
      <c r="AE462" s="3">
        <v>45548</v>
      </c>
      <c r="AF462" s="1">
        <v>5.75</v>
      </c>
      <c r="AG462" s="3">
        <v>45530</v>
      </c>
      <c r="AH462" s="1">
        <v>5.85</v>
      </c>
      <c r="AI462" s="3">
        <v>45558</v>
      </c>
      <c r="AJ462" s="2">
        <v>5.8262999999999998</v>
      </c>
      <c r="AK462" s="3">
        <v>45558</v>
      </c>
      <c r="AL462" s="2">
        <v>5.7949999999999999</v>
      </c>
      <c r="AM462" s="3">
        <v>45558</v>
      </c>
      <c r="AN462" s="2">
        <v>5.7350000000000003</v>
      </c>
      <c r="AO462" s="3">
        <v>45558</v>
      </c>
      <c r="AP462" s="2">
        <v>5.35</v>
      </c>
      <c r="AQ462" s="3">
        <v>45558</v>
      </c>
      <c r="AR462" s="2">
        <v>4.71</v>
      </c>
      <c r="AS462" s="3">
        <v>45558</v>
      </c>
      <c r="AT462" s="2">
        <v>4.3449999999999998</v>
      </c>
      <c r="AU462" s="3">
        <v>45558</v>
      </c>
      <c r="AV462" s="2">
        <v>4.0650000000000004</v>
      </c>
      <c r="AW462" s="3">
        <v>45558</v>
      </c>
      <c r="AX462" s="2">
        <v>3.88</v>
      </c>
      <c r="AY462" s="3">
        <v>45558</v>
      </c>
      <c r="AZ462" s="2">
        <v>3.78</v>
      </c>
      <c r="BB462" s="3">
        <v>45530</v>
      </c>
      <c r="BC462" s="1">
        <v>4.5</v>
      </c>
      <c r="BD462" s="3">
        <v>45531</v>
      </c>
      <c r="BE462" s="1">
        <v>4.38</v>
      </c>
      <c r="BF462" s="3">
        <v>45558</v>
      </c>
      <c r="BG462" s="1">
        <v>4.0999999999999996</v>
      </c>
      <c r="BH462" s="3">
        <v>45558</v>
      </c>
      <c r="BI462" s="1">
        <v>3.8580000000000001</v>
      </c>
      <c r="BJ462" s="3">
        <v>45558</v>
      </c>
      <c r="BK462" s="1">
        <v>3.6829999999999998</v>
      </c>
      <c r="BL462" s="3">
        <v>45558</v>
      </c>
      <c r="BM462" s="1">
        <v>3.39</v>
      </c>
      <c r="BN462" s="3">
        <v>45558</v>
      </c>
      <c r="BO462" s="1">
        <v>3.085</v>
      </c>
      <c r="BP462" s="3">
        <v>45558</v>
      </c>
      <c r="BQ462" s="1">
        <v>2.915</v>
      </c>
      <c r="BR462" s="3">
        <v>45558</v>
      </c>
      <c r="BS462" s="1">
        <v>2.8849999999999998</v>
      </c>
      <c r="BT462" s="3">
        <v>45558</v>
      </c>
      <c r="BU462" s="1">
        <v>2.883</v>
      </c>
      <c r="BV462" s="3">
        <v>45558</v>
      </c>
      <c r="BW462" s="1">
        <v>2.88</v>
      </c>
      <c r="BY462" s="3">
        <v>45534</v>
      </c>
      <c r="BZ462" s="1">
        <v>6.75</v>
      </c>
      <c r="CA462" s="3">
        <v>45520</v>
      </c>
      <c r="CB462" s="1">
        <v>6.54</v>
      </c>
      <c r="CC462" s="3">
        <v>45558</v>
      </c>
      <c r="CD462" s="1">
        <v>6.2709999999999999</v>
      </c>
      <c r="CE462" s="3">
        <v>45558</v>
      </c>
      <c r="CF462" s="1">
        <v>6.0609999999999999</v>
      </c>
      <c r="CG462" s="3">
        <v>45558</v>
      </c>
      <c r="CH462" s="1">
        <v>5.96</v>
      </c>
      <c r="CI462" s="3">
        <v>45558</v>
      </c>
      <c r="CJ462" s="1">
        <v>5.59</v>
      </c>
      <c r="CK462" s="3">
        <v>45558</v>
      </c>
      <c r="CL462" s="1">
        <v>5.15</v>
      </c>
      <c r="CM462" s="3">
        <v>45558</v>
      </c>
      <c r="CN462" s="1">
        <v>4.9649999999999999</v>
      </c>
      <c r="CO462" s="3">
        <v>45551</v>
      </c>
      <c r="CP462" s="1">
        <v>4.7675000000000001</v>
      </c>
      <c r="CQ462" s="3">
        <v>45551</v>
      </c>
      <c r="CR462" s="1">
        <v>4.7324999999999999</v>
      </c>
      <c r="CS462" s="3">
        <v>45551</v>
      </c>
      <c r="CT462" s="1">
        <v>4.7450000000000001</v>
      </c>
    </row>
    <row r="463" spans="31:98" x14ac:dyDescent="0.2">
      <c r="AE463" s="3">
        <v>45547</v>
      </c>
      <c r="AF463" s="1">
        <v>5.75</v>
      </c>
      <c r="AG463" s="3">
        <v>45527</v>
      </c>
      <c r="AH463" s="1">
        <v>5.85</v>
      </c>
      <c r="AI463" s="3">
        <v>45555</v>
      </c>
      <c r="AJ463" s="2">
        <v>5.8244999999999996</v>
      </c>
      <c r="AK463" s="3">
        <v>45555</v>
      </c>
      <c r="AL463" s="2">
        <v>5.7949999999999999</v>
      </c>
      <c r="AM463" s="3">
        <v>45555</v>
      </c>
      <c r="AN463" s="2">
        <v>5.74</v>
      </c>
      <c r="AO463" s="3">
        <v>45555</v>
      </c>
      <c r="AP463" s="2">
        <v>5.3775000000000004</v>
      </c>
      <c r="AQ463" s="3">
        <v>45555</v>
      </c>
      <c r="AR463" s="2">
        <v>4.7249999999999996</v>
      </c>
      <c r="AS463" s="3">
        <v>45555</v>
      </c>
      <c r="AT463" s="2">
        <v>4.37</v>
      </c>
      <c r="AU463" s="3">
        <v>45555</v>
      </c>
      <c r="AV463" s="2">
        <v>4.08</v>
      </c>
      <c r="AW463" s="3">
        <v>45555</v>
      </c>
      <c r="AX463" s="2">
        <v>3.89</v>
      </c>
      <c r="AY463" s="3">
        <v>45555</v>
      </c>
      <c r="AZ463" s="2">
        <v>3.7850000000000001</v>
      </c>
      <c r="BB463" s="3">
        <v>45527</v>
      </c>
      <c r="BC463" s="1">
        <v>4.5</v>
      </c>
      <c r="BD463" s="3">
        <v>45530</v>
      </c>
      <c r="BE463" s="1">
        <v>4.4000000000000004</v>
      </c>
      <c r="BF463" s="3">
        <v>45555</v>
      </c>
      <c r="BG463" s="1">
        <v>4.1050000000000004</v>
      </c>
      <c r="BH463" s="3">
        <v>45555</v>
      </c>
      <c r="BI463" s="1">
        <v>3.86</v>
      </c>
      <c r="BJ463" s="3">
        <v>45555</v>
      </c>
      <c r="BK463" s="1">
        <v>3.69</v>
      </c>
      <c r="BL463" s="3">
        <v>45555</v>
      </c>
      <c r="BM463" s="1">
        <v>3.4129999999999998</v>
      </c>
      <c r="BN463" s="3">
        <v>45555</v>
      </c>
      <c r="BO463" s="1">
        <v>3.113</v>
      </c>
      <c r="BP463" s="3">
        <v>45555</v>
      </c>
      <c r="BQ463" s="1">
        <v>2.948</v>
      </c>
      <c r="BR463" s="3">
        <v>45555</v>
      </c>
      <c r="BS463" s="1">
        <v>2.9180000000000001</v>
      </c>
      <c r="BT463" s="3">
        <v>45555</v>
      </c>
      <c r="BU463" s="1">
        <v>2.9180000000000001</v>
      </c>
      <c r="BV463" s="3">
        <v>45555</v>
      </c>
      <c r="BW463" s="1">
        <v>2.9180000000000001</v>
      </c>
      <c r="BY463" s="3">
        <v>45533</v>
      </c>
      <c r="BZ463" s="1">
        <v>6.75</v>
      </c>
      <c r="CA463" s="3">
        <v>45519</v>
      </c>
      <c r="CB463" s="1">
        <v>6.54</v>
      </c>
      <c r="CC463" s="3">
        <v>45555</v>
      </c>
      <c r="CD463" s="1">
        <v>6.31</v>
      </c>
      <c r="CE463" s="3">
        <v>45555</v>
      </c>
      <c r="CF463" s="1">
        <v>6.11</v>
      </c>
      <c r="CG463" s="3">
        <v>45555</v>
      </c>
      <c r="CH463" s="1">
        <v>6.04</v>
      </c>
      <c r="CI463" s="3">
        <v>45555</v>
      </c>
      <c r="CJ463" s="1">
        <v>5.68</v>
      </c>
      <c r="CK463" s="3">
        <v>45555</v>
      </c>
      <c r="CL463" s="1">
        <v>5.24</v>
      </c>
      <c r="CM463" s="3">
        <v>45555</v>
      </c>
      <c r="CN463" s="1">
        <v>5.0525000000000002</v>
      </c>
      <c r="CO463" s="3">
        <v>45548</v>
      </c>
      <c r="CP463" s="1">
        <v>4.8250000000000002</v>
      </c>
      <c r="CQ463" s="3">
        <v>45548</v>
      </c>
      <c r="CR463" s="1">
        <v>4.79</v>
      </c>
      <c r="CS463" s="3">
        <v>45548</v>
      </c>
      <c r="CT463" s="1">
        <v>4.8025000000000002</v>
      </c>
    </row>
    <row r="464" spans="31:98" x14ac:dyDescent="0.2">
      <c r="AE464" s="3">
        <v>45546</v>
      </c>
      <c r="AF464" s="1">
        <v>5.75</v>
      </c>
      <c r="AG464" s="3">
        <v>45526</v>
      </c>
      <c r="AH464" s="1">
        <v>5.85</v>
      </c>
      <c r="AI464" s="3">
        <v>45554</v>
      </c>
      <c r="AJ464" s="2">
        <v>5.8250000000000002</v>
      </c>
      <c r="AK464" s="3">
        <v>45554</v>
      </c>
      <c r="AL464" s="2">
        <v>5.79</v>
      </c>
      <c r="AM464" s="3">
        <v>45554</v>
      </c>
      <c r="AN464" s="2">
        <v>5.73</v>
      </c>
      <c r="AO464" s="3">
        <v>45554</v>
      </c>
      <c r="AP464" s="2">
        <v>5.29</v>
      </c>
      <c r="AQ464" s="3">
        <v>45554</v>
      </c>
      <c r="AR464" s="2">
        <v>4.6449999999999996</v>
      </c>
      <c r="AS464" s="3">
        <v>45554</v>
      </c>
      <c r="AT464" s="2">
        <v>4.2549999999999999</v>
      </c>
      <c r="AU464" s="3">
        <v>45554</v>
      </c>
      <c r="AV464" s="2">
        <v>3.95</v>
      </c>
      <c r="AW464" s="3">
        <v>45554</v>
      </c>
      <c r="AX464" s="2">
        <v>3.7549999999999999</v>
      </c>
      <c r="AY464" s="3">
        <v>45554</v>
      </c>
      <c r="AZ464" s="2">
        <v>3.63</v>
      </c>
      <c r="BB464" s="3">
        <v>45526</v>
      </c>
      <c r="BC464" s="1">
        <v>4.5</v>
      </c>
      <c r="BD464" s="3">
        <v>45527</v>
      </c>
      <c r="BE464" s="1">
        <v>4.4000000000000004</v>
      </c>
      <c r="BF464" s="3">
        <v>45554</v>
      </c>
      <c r="BG464" s="1">
        <v>4.1050000000000004</v>
      </c>
      <c r="BH464" s="3">
        <v>45554</v>
      </c>
      <c r="BI464" s="1">
        <v>3.855</v>
      </c>
      <c r="BJ464" s="3">
        <v>45554</v>
      </c>
      <c r="BK464" s="1">
        <v>3.778</v>
      </c>
      <c r="BL464" s="3">
        <v>45554</v>
      </c>
      <c r="BM464" s="1">
        <v>3.3879999999999999</v>
      </c>
      <c r="BN464" s="3">
        <v>45554</v>
      </c>
      <c r="BO464" s="1">
        <v>3.073</v>
      </c>
      <c r="BP464" s="3">
        <v>45554</v>
      </c>
      <c r="BQ464" s="1">
        <v>2.88</v>
      </c>
      <c r="BR464" s="3">
        <v>45554</v>
      </c>
      <c r="BS464" s="1">
        <v>2.85</v>
      </c>
      <c r="BT464" s="3">
        <v>45554</v>
      </c>
      <c r="BU464" s="1">
        <v>2.8479999999999999</v>
      </c>
      <c r="BV464" s="3">
        <v>45554</v>
      </c>
      <c r="BW464" s="1">
        <v>2.843</v>
      </c>
      <c r="BY464" s="3">
        <v>45532</v>
      </c>
      <c r="BZ464" s="1">
        <v>6.75</v>
      </c>
      <c r="CA464" s="3">
        <v>45518</v>
      </c>
      <c r="CB464" s="1">
        <v>6.55</v>
      </c>
      <c r="CC464" s="3">
        <v>45554</v>
      </c>
      <c r="CD464" s="1">
        <v>6.3179999999999996</v>
      </c>
      <c r="CE464" s="3">
        <v>45554</v>
      </c>
      <c r="CF464" s="1">
        <v>6.1269999999999998</v>
      </c>
      <c r="CG464" s="3">
        <v>45554</v>
      </c>
      <c r="CH464" s="1">
        <v>6.04</v>
      </c>
      <c r="CI464" s="3">
        <v>45554</v>
      </c>
      <c r="CJ464" s="1">
        <v>5.66</v>
      </c>
      <c r="CK464" s="3">
        <v>45554</v>
      </c>
      <c r="CL464" s="1">
        <v>5.2</v>
      </c>
      <c r="CM464" s="3">
        <v>45554</v>
      </c>
      <c r="CN464" s="1">
        <v>4.9874999999999998</v>
      </c>
      <c r="CO464" s="3">
        <v>45547</v>
      </c>
      <c r="CP464" s="1">
        <v>4.7824999999999998</v>
      </c>
      <c r="CQ464" s="3">
        <v>45547</v>
      </c>
      <c r="CR464" s="1">
        <v>4.7474999999999996</v>
      </c>
      <c r="CS464" s="3">
        <v>45547</v>
      </c>
      <c r="CT464" s="1">
        <v>4.7549999999999999</v>
      </c>
    </row>
    <row r="465" spans="31:98" x14ac:dyDescent="0.2">
      <c r="AE465" s="3">
        <v>45545</v>
      </c>
      <c r="AF465" s="1">
        <v>5.75</v>
      </c>
      <c r="AG465" s="3">
        <v>45525</v>
      </c>
      <c r="AH465" s="1">
        <v>5.85</v>
      </c>
      <c r="AI465" s="3">
        <v>45553</v>
      </c>
      <c r="AJ465" s="2">
        <v>5.8280000000000003</v>
      </c>
      <c r="AK465" s="3">
        <v>45553</v>
      </c>
      <c r="AL465" s="2">
        <v>5.8</v>
      </c>
      <c r="AM465" s="3">
        <v>45553</v>
      </c>
      <c r="AN465" s="2">
        <v>5.7374999999999998</v>
      </c>
      <c r="AO465" s="3">
        <v>45553</v>
      </c>
      <c r="AP465" s="2">
        <v>5.3025000000000002</v>
      </c>
      <c r="AQ465" s="3">
        <v>45553</v>
      </c>
      <c r="AR465" s="2">
        <v>4.6574999999999998</v>
      </c>
      <c r="AS465" s="3">
        <v>45553</v>
      </c>
      <c r="AT465" s="2">
        <v>4.2474999999999996</v>
      </c>
      <c r="AU465" s="3">
        <v>45553</v>
      </c>
      <c r="AV465" s="2">
        <v>3.9375</v>
      </c>
      <c r="AW465" s="3">
        <v>45553</v>
      </c>
      <c r="AX465" s="2">
        <v>3.7324999999999999</v>
      </c>
      <c r="AY465" s="3">
        <v>45553</v>
      </c>
      <c r="AZ465" s="2">
        <v>3.6074999999999999</v>
      </c>
      <c r="BB465" s="3">
        <v>45525</v>
      </c>
      <c r="BC465" s="1">
        <v>4.5</v>
      </c>
      <c r="BD465" s="3">
        <v>45526</v>
      </c>
      <c r="BE465" s="1">
        <v>4.4000000000000004</v>
      </c>
      <c r="BF465" s="3">
        <v>45553</v>
      </c>
      <c r="BG465" s="1">
        <v>4.125</v>
      </c>
      <c r="BH465" s="3">
        <v>45553</v>
      </c>
      <c r="BI465" s="1">
        <v>3.88</v>
      </c>
      <c r="BJ465" s="3">
        <v>45553</v>
      </c>
      <c r="BK465" s="1">
        <v>3.8050000000000002</v>
      </c>
      <c r="BL465" s="3">
        <v>45553</v>
      </c>
      <c r="BM465" s="1">
        <v>3.41</v>
      </c>
      <c r="BN465" s="3">
        <v>45553</v>
      </c>
      <c r="BO465" s="1">
        <v>3.105</v>
      </c>
      <c r="BP465" s="3">
        <v>45553</v>
      </c>
      <c r="BQ465" s="1">
        <v>2.91</v>
      </c>
      <c r="BR465" s="3">
        <v>45553</v>
      </c>
      <c r="BS465" s="1">
        <v>2.875</v>
      </c>
      <c r="BT465" s="3">
        <v>45553</v>
      </c>
      <c r="BU465" s="1">
        <v>2.87</v>
      </c>
      <c r="BV465" s="3">
        <v>45553</v>
      </c>
      <c r="BW465" s="1">
        <v>2.8650000000000002</v>
      </c>
      <c r="BY465" s="3">
        <v>45531</v>
      </c>
      <c r="BZ465" s="1">
        <v>6.75</v>
      </c>
      <c r="CA465" s="3">
        <v>45517</v>
      </c>
      <c r="CB465" s="1">
        <v>6.55</v>
      </c>
      <c r="CC465" s="3">
        <v>45553</v>
      </c>
      <c r="CD465" s="1">
        <v>6.32</v>
      </c>
      <c r="CE465" s="3">
        <v>45553</v>
      </c>
      <c r="CF465" s="1">
        <v>6.19</v>
      </c>
      <c r="CG465" s="3">
        <v>45553</v>
      </c>
      <c r="CH465" s="1">
        <v>6.04</v>
      </c>
      <c r="CI465" s="3">
        <v>45553</v>
      </c>
      <c r="CJ465" s="1">
        <v>5.62</v>
      </c>
      <c r="CK465" s="3">
        <v>45553</v>
      </c>
      <c r="CL465" s="1">
        <v>5.16</v>
      </c>
      <c r="CM465" s="3">
        <v>45553</v>
      </c>
      <c r="CN465" s="1">
        <v>4.92</v>
      </c>
      <c r="CO465" s="3">
        <v>45546</v>
      </c>
      <c r="CP465" s="1">
        <v>4.7525000000000004</v>
      </c>
      <c r="CQ465" s="3">
        <v>45546</v>
      </c>
      <c r="CR465" s="1">
        <v>4.7175000000000002</v>
      </c>
      <c r="CS465" s="3">
        <v>45546</v>
      </c>
      <c r="CT465" s="1">
        <v>4.7249999999999996</v>
      </c>
    </row>
    <row r="466" spans="31:98" x14ac:dyDescent="0.2">
      <c r="AE466" s="3">
        <v>45544</v>
      </c>
      <c r="AF466" s="1">
        <v>5.75</v>
      </c>
      <c r="AG466" s="3">
        <v>45524</v>
      </c>
      <c r="AH466" s="1">
        <v>5.86</v>
      </c>
      <c r="AI466" s="3">
        <v>45552</v>
      </c>
      <c r="AJ466" s="2">
        <v>5.8194999999999997</v>
      </c>
      <c r="AK466" s="3">
        <v>45552</v>
      </c>
      <c r="AL466" s="2">
        <v>5.7975000000000003</v>
      </c>
      <c r="AM466" s="3">
        <v>45552</v>
      </c>
      <c r="AN466" s="2">
        <v>5.7249999999999996</v>
      </c>
      <c r="AO466" s="3">
        <v>45552</v>
      </c>
      <c r="AP466" s="2">
        <v>5.27</v>
      </c>
      <c r="AQ466" s="3">
        <v>45552</v>
      </c>
      <c r="AR466" s="2">
        <v>4.6174999999999997</v>
      </c>
      <c r="AS466" s="3">
        <v>45552</v>
      </c>
      <c r="AT466" s="2">
        <v>4.2024999999999997</v>
      </c>
      <c r="AU466" s="3">
        <v>45552</v>
      </c>
      <c r="AV466" s="2">
        <v>3.9</v>
      </c>
      <c r="AW466" s="3">
        <v>45552</v>
      </c>
      <c r="AX466" s="2">
        <v>3.6974999999999998</v>
      </c>
      <c r="AY466" s="3">
        <v>45552</v>
      </c>
      <c r="AZ466" s="2">
        <v>3.5649999999999999</v>
      </c>
      <c r="BB466" s="3">
        <v>45524</v>
      </c>
      <c r="BC466" s="1">
        <v>4.5</v>
      </c>
      <c r="BD466" s="3">
        <v>45525</v>
      </c>
      <c r="BE466" s="1">
        <v>4.4000000000000004</v>
      </c>
      <c r="BF466" s="3">
        <v>45552</v>
      </c>
      <c r="BG466" s="1">
        <v>4.13</v>
      </c>
      <c r="BH466" s="3">
        <v>45552</v>
      </c>
      <c r="BI466" s="1">
        <v>3.88</v>
      </c>
      <c r="BJ466" s="3">
        <v>45552</v>
      </c>
      <c r="BK466" s="1">
        <v>3.79</v>
      </c>
      <c r="BL466" s="3">
        <v>45552</v>
      </c>
      <c r="BM466" s="1">
        <v>3.39</v>
      </c>
      <c r="BN466" s="3">
        <v>45552</v>
      </c>
      <c r="BO466" s="1">
        <v>3.04</v>
      </c>
      <c r="BP466" s="3">
        <v>45552</v>
      </c>
      <c r="BQ466" s="1">
        <v>2.82</v>
      </c>
      <c r="BR466" s="3">
        <v>45552</v>
      </c>
      <c r="BS466" s="1">
        <v>2.7679999999999998</v>
      </c>
      <c r="BT466" s="3">
        <v>45552</v>
      </c>
      <c r="BU466" s="1">
        <v>2.7650000000000001</v>
      </c>
      <c r="BV466" s="3">
        <v>45552</v>
      </c>
      <c r="BW466" s="1">
        <v>2.7650000000000001</v>
      </c>
      <c r="BY466" s="3">
        <v>45530</v>
      </c>
      <c r="BZ466" s="1">
        <v>6.75</v>
      </c>
      <c r="CA466" s="3">
        <v>45516</v>
      </c>
      <c r="CB466" s="1">
        <v>6.55</v>
      </c>
      <c r="CC466" s="3">
        <v>45552</v>
      </c>
      <c r="CD466" s="1">
        <v>6.32</v>
      </c>
      <c r="CE466" s="3">
        <v>45552</v>
      </c>
      <c r="CF466" s="1">
        <v>6.22</v>
      </c>
      <c r="CG466" s="3">
        <v>45552</v>
      </c>
      <c r="CH466" s="1">
        <v>6.1</v>
      </c>
      <c r="CI466" s="3">
        <v>45552</v>
      </c>
      <c r="CJ466" s="1">
        <v>5.6</v>
      </c>
      <c r="CK466" s="3">
        <v>45552</v>
      </c>
      <c r="CL466" s="1">
        <v>5.13</v>
      </c>
      <c r="CM466" s="3">
        <v>45552</v>
      </c>
      <c r="CN466" s="1">
        <v>4.92</v>
      </c>
      <c r="CO466" s="3">
        <v>45545</v>
      </c>
      <c r="CP466" s="1">
        <v>4.7699999999999996</v>
      </c>
      <c r="CQ466" s="3">
        <v>45545</v>
      </c>
      <c r="CR466" s="1">
        <v>4.7350000000000003</v>
      </c>
      <c r="CS466" s="3">
        <v>45545</v>
      </c>
      <c r="CT466" s="1">
        <v>4.7275</v>
      </c>
    </row>
    <row r="467" spans="31:98" x14ac:dyDescent="0.2">
      <c r="AE467" s="3">
        <v>45541</v>
      </c>
      <c r="AF467" s="1">
        <v>5.75</v>
      </c>
      <c r="AG467" s="3">
        <v>45523</v>
      </c>
      <c r="AH467" s="1">
        <v>5.85</v>
      </c>
      <c r="AI467" s="3">
        <v>45551</v>
      </c>
      <c r="AJ467" s="2">
        <v>5.8224999999999998</v>
      </c>
      <c r="AK467" s="3">
        <v>45551</v>
      </c>
      <c r="AL467" s="2">
        <v>5.8049999999999997</v>
      </c>
      <c r="AM467" s="3">
        <v>45551</v>
      </c>
      <c r="AN467" s="2">
        <v>5.73</v>
      </c>
      <c r="AO467" s="3">
        <v>45551</v>
      </c>
      <c r="AP467" s="2">
        <v>5.26</v>
      </c>
      <c r="AQ467" s="3">
        <v>45551</v>
      </c>
      <c r="AR467" s="2">
        <v>4.6375000000000002</v>
      </c>
      <c r="AS467" s="3">
        <v>45551</v>
      </c>
      <c r="AT467" s="2">
        <v>4.2050000000000001</v>
      </c>
      <c r="AU467" s="3">
        <v>45551</v>
      </c>
      <c r="AV467" s="2">
        <v>3.8849999999999998</v>
      </c>
      <c r="AW467" s="3">
        <v>45551</v>
      </c>
      <c r="AX467" s="2">
        <v>3.6749999999999998</v>
      </c>
      <c r="AY467" s="3">
        <v>45551</v>
      </c>
      <c r="AZ467" s="2">
        <v>3.5449999999999999</v>
      </c>
      <c r="BB467" s="3">
        <v>45523</v>
      </c>
      <c r="BC467" s="1">
        <v>4.5</v>
      </c>
      <c r="BD467" s="3">
        <v>45524</v>
      </c>
      <c r="BE467" s="1">
        <v>4.4000000000000004</v>
      </c>
      <c r="BF467" s="3">
        <v>45551</v>
      </c>
      <c r="BG467" s="1">
        <v>4.1349999999999998</v>
      </c>
      <c r="BH467" s="3">
        <v>45551</v>
      </c>
      <c r="BI467" s="1">
        <v>3.88</v>
      </c>
      <c r="BJ467" s="3">
        <v>45551</v>
      </c>
      <c r="BK467" s="1">
        <v>3.8</v>
      </c>
      <c r="BL467" s="3">
        <v>45551</v>
      </c>
      <c r="BM467" s="1">
        <v>3.41</v>
      </c>
      <c r="BN467" s="3">
        <v>45551</v>
      </c>
      <c r="BO467" s="1">
        <v>3.0750000000000002</v>
      </c>
      <c r="BP467" s="3">
        <v>45551</v>
      </c>
      <c r="BQ467" s="1">
        <v>2.86</v>
      </c>
      <c r="BR467" s="3">
        <v>45551</v>
      </c>
      <c r="BS467" s="1">
        <v>2.8130000000000002</v>
      </c>
      <c r="BT467" s="3">
        <v>45551</v>
      </c>
      <c r="BU467" s="1">
        <v>2.81</v>
      </c>
      <c r="BV467" s="3">
        <v>45551</v>
      </c>
      <c r="BW467" s="1">
        <v>2.8130000000000002</v>
      </c>
      <c r="BY467" s="3">
        <v>45527</v>
      </c>
      <c r="BZ467" s="1">
        <v>6.75</v>
      </c>
      <c r="CA467" s="3">
        <v>45513</v>
      </c>
      <c r="CB467" s="1">
        <v>6.55</v>
      </c>
      <c r="CC467" s="3">
        <v>45551</v>
      </c>
      <c r="CD467" s="1">
        <v>6.3310000000000004</v>
      </c>
      <c r="CE467" s="3">
        <v>45551</v>
      </c>
      <c r="CF467" s="1">
        <v>6.2210000000000001</v>
      </c>
      <c r="CG467" s="3">
        <v>45551</v>
      </c>
      <c r="CH467" s="1">
        <v>6.09</v>
      </c>
      <c r="CI467" s="3">
        <v>45551</v>
      </c>
      <c r="CJ467" s="1">
        <v>5.58</v>
      </c>
      <c r="CK467" s="3">
        <v>45551</v>
      </c>
      <c r="CL467" s="1">
        <v>5.09</v>
      </c>
      <c r="CM467" s="3">
        <v>45551</v>
      </c>
      <c r="CN467" s="1">
        <v>4.8075000000000001</v>
      </c>
      <c r="CO467" s="3">
        <v>45544</v>
      </c>
      <c r="CP467" s="1">
        <v>4.8624999999999998</v>
      </c>
      <c r="CQ467" s="3">
        <v>45544</v>
      </c>
      <c r="CR467" s="1">
        <v>4.8250000000000002</v>
      </c>
      <c r="CS467" s="3">
        <v>45544</v>
      </c>
      <c r="CT467" s="1">
        <v>4.8150000000000004</v>
      </c>
    </row>
    <row r="468" spans="31:98" x14ac:dyDescent="0.2">
      <c r="AE468" s="3">
        <v>45540</v>
      </c>
      <c r="AF468" s="1">
        <v>5.75</v>
      </c>
      <c r="AG468" s="3">
        <v>45520</v>
      </c>
      <c r="AH468" s="1">
        <v>5.86</v>
      </c>
      <c r="AI468" s="3">
        <v>45548</v>
      </c>
      <c r="AJ468" s="2">
        <v>5.82</v>
      </c>
      <c r="AK468" s="3">
        <v>45548</v>
      </c>
      <c r="AL468" s="2">
        <v>5.8049999999999997</v>
      </c>
      <c r="AM468" s="3">
        <v>45548</v>
      </c>
      <c r="AN468" s="2">
        <v>5.73</v>
      </c>
      <c r="AO468" s="3">
        <v>45548</v>
      </c>
      <c r="AP468" s="2">
        <v>5.2750000000000004</v>
      </c>
      <c r="AQ468" s="3">
        <v>45548</v>
      </c>
      <c r="AR468" s="2">
        <v>4.7050000000000001</v>
      </c>
      <c r="AS468" s="3">
        <v>45548</v>
      </c>
      <c r="AT468" s="2">
        <v>4.2725</v>
      </c>
      <c r="AU468" s="3">
        <v>45548</v>
      </c>
      <c r="AV468" s="2">
        <v>3.9624999999999999</v>
      </c>
      <c r="AW468" s="3">
        <v>45548</v>
      </c>
      <c r="AX468" s="2">
        <v>3.7475000000000001</v>
      </c>
      <c r="AY468" s="3">
        <v>45548</v>
      </c>
      <c r="AZ468" s="2">
        <v>3.6074999999999999</v>
      </c>
      <c r="BB468" s="3">
        <v>45520</v>
      </c>
      <c r="BC468" s="1">
        <v>4.5</v>
      </c>
      <c r="BD468" s="3">
        <v>45523</v>
      </c>
      <c r="BE468" s="1">
        <v>4.41</v>
      </c>
      <c r="BF468" s="3">
        <v>45548</v>
      </c>
      <c r="BG468" s="1">
        <v>4.1449999999999996</v>
      </c>
      <c r="BH468" s="3">
        <v>45548</v>
      </c>
      <c r="BI468" s="1">
        <v>3.91</v>
      </c>
      <c r="BJ468" s="3">
        <v>45548</v>
      </c>
      <c r="BK468" s="1">
        <v>3.83</v>
      </c>
      <c r="BL468" s="3">
        <v>45548</v>
      </c>
      <c r="BM468" s="1">
        <v>3.4449999999999998</v>
      </c>
      <c r="BN468" s="3">
        <v>45548</v>
      </c>
      <c r="BO468" s="1">
        <v>3.12</v>
      </c>
      <c r="BP468" s="3">
        <v>45548</v>
      </c>
      <c r="BQ468" s="1">
        <v>2.903</v>
      </c>
      <c r="BR468" s="3">
        <v>45548</v>
      </c>
      <c r="BS468" s="1">
        <v>2.863</v>
      </c>
      <c r="BT468" s="3">
        <v>45548</v>
      </c>
      <c r="BU468" s="1">
        <v>2.8580000000000001</v>
      </c>
      <c r="BV468" s="3">
        <v>45548</v>
      </c>
      <c r="BW468" s="1">
        <v>2.8530000000000002</v>
      </c>
      <c r="BY468" s="3">
        <v>45526</v>
      </c>
      <c r="BZ468" s="1">
        <v>6.75</v>
      </c>
      <c r="CA468" s="3">
        <v>45512</v>
      </c>
      <c r="CB468" s="1">
        <v>6.54</v>
      </c>
      <c r="CC468" s="3">
        <v>45548</v>
      </c>
      <c r="CD468" s="1">
        <v>6.3390000000000004</v>
      </c>
      <c r="CE468" s="3">
        <v>45548</v>
      </c>
      <c r="CF468" s="1">
        <v>6.2240000000000002</v>
      </c>
      <c r="CG468" s="3">
        <v>45548</v>
      </c>
      <c r="CH468" s="1">
        <v>6.1</v>
      </c>
      <c r="CI468" s="3">
        <v>45548</v>
      </c>
      <c r="CJ468" s="1">
        <v>5.6</v>
      </c>
      <c r="CK468" s="3">
        <v>45548</v>
      </c>
      <c r="CL468" s="1">
        <v>5.12</v>
      </c>
      <c r="CM468" s="3">
        <v>45548</v>
      </c>
      <c r="CN468" s="1">
        <v>4.8650000000000002</v>
      </c>
      <c r="CO468" s="3">
        <v>45541</v>
      </c>
      <c r="CP468" s="1">
        <v>4.8274999999999997</v>
      </c>
      <c r="CQ468" s="3">
        <v>45541</v>
      </c>
      <c r="CR468" s="1">
        <v>4.7850000000000001</v>
      </c>
      <c r="CS468" s="3">
        <v>45541</v>
      </c>
      <c r="CT468" s="1">
        <v>4.7699999999999996</v>
      </c>
    </row>
    <row r="469" spans="31:98" x14ac:dyDescent="0.2">
      <c r="AE469" s="3">
        <v>45539</v>
      </c>
      <c r="AF469" s="1">
        <v>5.75</v>
      </c>
      <c r="AG469" s="3">
        <v>45518</v>
      </c>
      <c r="AH469" s="1">
        <v>5.86</v>
      </c>
      <c r="AI469" s="3">
        <v>45547</v>
      </c>
      <c r="AJ469" s="2">
        <v>5.82</v>
      </c>
      <c r="AK469" s="3">
        <v>45547</v>
      </c>
      <c r="AL469" s="2">
        <v>5.8049999999999997</v>
      </c>
      <c r="AM469" s="3">
        <v>45547</v>
      </c>
      <c r="AN469" s="2">
        <v>5.7249999999999996</v>
      </c>
      <c r="AO469" s="3">
        <v>45547</v>
      </c>
      <c r="AP469" s="2">
        <v>5.2925000000000004</v>
      </c>
      <c r="AQ469" s="3">
        <v>45547</v>
      </c>
      <c r="AR469" s="2">
        <v>4.7450000000000001</v>
      </c>
      <c r="AS469" s="3">
        <v>45547</v>
      </c>
      <c r="AT469" s="2">
        <v>4.3274999999999997</v>
      </c>
      <c r="AU469" s="3">
        <v>45547</v>
      </c>
      <c r="AV469" s="2">
        <v>4.0125000000000002</v>
      </c>
      <c r="AW469" s="3">
        <v>45547</v>
      </c>
      <c r="AX469" s="2">
        <v>3.7875000000000001</v>
      </c>
      <c r="AY469" s="3">
        <v>45547</v>
      </c>
      <c r="AZ469" s="2">
        <v>3.6425000000000001</v>
      </c>
      <c r="BB469" s="3">
        <v>45519</v>
      </c>
      <c r="BC469" s="1">
        <v>4.5</v>
      </c>
      <c r="BD469" s="3">
        <v>45520</v>
      </c>
      <c r="BE469" s="1">
        <v>4.4000000000000004</v>
      </c>
      <c r="BF469" s="3">
        <v>45547</v>
      </c>
      <c r="BG469" s="1">
        <v>4.1500000000000004</v>
      </c>
      <c r="BH469" s="3">
        <v>45547</v>
      </c>
      <c r="BI469" s="1">
        <v>3.92</v>
      </c>
      <c r="BJ469" s="3">
        <v>45547</v>
      </c>
      <c r="BK469" s="1">
        <v>3.84</v>
      </c>
      <c r="BL469" s="3">
        <v>45547</v>
      </c>
      <c r="BM469" s="1">
        <v>3.4750000000000001</v>
      </c>
      <c r="BN469" s="3">
        <v>45547</v>
      </c>
      <c r="BO469" s="1">
        <v>3.15</v>
      </c>
      <c r="BP469" s="3">
        <v>45547</v>
      </c>
      <c r="BQ469" s="1">
        <v>2.948</v>
      </c>
      <c r="BR469" s="3">
        <v>45547</v>
      </c>
      <c r="BS469" s="1">
        <v>2.9079999999999999</v>
      </c>
      <c r="BT469" s="3">
        <v>45547</v>
      </c>
      <c r="BU469" s="1">
        <v>2.8879999999999999</v>
      </c>
      <c r="BV469" s="3">
        <v>45547</v>
      </c>
      <c r="BW469" s="1">
        <v>2.8879999999999999</v>
      </c>
      <c r="BY469" s="3">
        <v>45525</v>
      </c>
      <c r="BZ469" s="1">
        <v>6.75</v>
      </c>
      <c r="CA469" s="3">
        <v>45511</v>
      </c>
      <c r="CB469" s="1">
        <v>6.53</v>
      </c>
      <c r="CC469" s="3">
        <v>45547</v>
      </c>
      <c r="CD469" s="1">
        <v>6.3390000000000004</v>
      </c>
      <c r="CE469" s="3">
        <v>45547</v>
      </c>
      <c r="CF469" s="1">
        <v>6.2297000000000002</v>
      </c>
      <c r="CG469" s="3">
        <v>45547</v>
      </c>
      <c r="CH469" s="1">
        <v>6.09</v>
      </c>
      <c r="CI469" s="3">
        <v>45547</v>
      </c>
      <c r="CJ469" s="1">
        <v>5.6032999999999999</v>
      </c>
      <c r="CK469" s="3">
        <v>45547</v>
      </c>
      <c r="CL469" s="1">
        <v>5.0732999999999997</v>
      </c>
      <c r="CM469" s="3">
        <v>45547</v>
      </c>
      <c r="CN469" s="1">
        <v>4.8274999999999997</v>
      </c>
      <c r="CO469" s="3">
        <v>45540</v>
      </c>
      <c r="CP469" s="1">
        <v>4.8324999999999996</v>
      </c>
      <c r="CQ469" s="3">
        <v>45540</v>
      </c>
      <c r="CR469" s="1">
        <v>4.79</v>
      </c>
      <c r="CS469" s="3">
        <v>45540</v>
      </c>
      <c r="CT469" s="1">
        <v>4.7750000000000004</v>
      </c>
    </row>
    <row r="470" spans="31:98" x14ac:dyDescent="0.2">
      <c r="AE470" s="3">
        <v>45538</v>
      </c>
      <c r="AF470" s="1">
        <v>5.75</v>
      </c>
      <c r="AG470" s="3">
        <v>45517</v>
      </c>
      <c r="AH470" s="1">
        <v>5.86</v>
      </c>
      <c r="AI470" s="3">
        <v>45546</v>
      </c>
      <c r="AJ470" s="2">
        <v>5.8258000000000001</v>
      </c>
      <c r="AK470" s="3">
        <v>45546</v>
      </c>
      <c r="AL470" s="2">
        <v>5.8</v>
      </c>
      <c r="AM470" s="3">
        <v>45546</v>
      </c>
      <c r="AN470" s="2">
        <v>5.7275</v>
      </c>
      <c r="AO470" s="3">
        <v>45546</v>
      </c>
      <c r="AP470" s="2">
        <v>5.2850000000000001</v>
      </c>
      <c r="AQ470" s="3">
        <v>45546</v>
      </c>
      <c r="AR470" s="2">
        <v>4.7450000000000001</v>
      </c>
      <c r="AS470" s="3">
        <v>45546</v>
      </c>
      <c r="AT470" s="2">
        <v>4.3250000000000002</v>
      </c>
      <c r="AU470" s="3">
        <v>45546</v>
      </c>
      <c r="AV470" s="2">
        <v>4.01</v>
      </c>
      <c r="AW470" s="3">
        <v>45546</v>
      </c>
      <c r="AX470" s="2">
        <v>3.7850000000000001</v>
      </c>
      <c r="AY470" s="3">
        <v>45546</v>
      </c>
      <c r="AZ470" s="2">
        <v>3.64</v>
      </c>
      <c r="BB470" s="3">
        <v>45518</v>
      </c>
      <c r="BC470" s="1">
        <v>4.5</v>
      </c>
      <c r="BD470" s="3">
        <v>45519</v>
      </c>
      <c r="BE470" s="1">
        <v>4.41</v>
      </c>
      <c r="BF470" s="3">
        <v>45546</v>
      </c>
      <c r="BG470" s="1">
        <v>4.1449999999999996</v>
      </c>
      <c r="BH470" s="3">
        <v>45546</v>
      </c>
      <c r="BI470" s="1">
        <v>3.915</v>
      </c>
      <c r="BJ470" s="3">
        <v>45546</v>
      </c>
      <c r="BK470" s="1">
        <v>3.835</v>
      </c>
      <c r="BL470" s="3">
        <v>45546</v>
      </c>
      <c r="BM470" s="1">
        <v>3.47</v>
      </c>
      <c r="BN470" s="3">
        <v>45546</v>
      </c>
      <c r="BO470" s="1">
        <v>3.13</v>
      </c>
      <c r="BP470" s="3">
        <v>45546</v>
      </c>
      <c r="BQ470" s="1">
        <v>2.8929999999999998</v>
      </c>
      <c r="BR470" s="3">
        <v>45546</v>
      </c>
      <c r="BS470" s="1">
        <v>2.855</v>
      </c>
      <c r="BT470" s="3">
        <v>45546</v>
      </c>
      <c r="BU470" s="1">
        <v>2.843</v>
      </c>
      <c r="BV470" s="3">
        <v>45546</v>
      </c>
      <c r="BW470" s="1">
        <v>2.8380000000000001</v>
      </c>
      <c r="BY470" s="3">
        <v>45524</v>
      </c>
      <c r="BZ470" s="1">
        <v>6.75</v>
      </c>
      <c r="CA470" s="3">
        <v>45510</v>
      </c>
      <c r="CB470" s="1">
        <v>6.53</v>
      </c>
      <c r="CC470" s="3">
        <v>45546</v>
      </c>
      <c r="CD470" s="1">
        <v>6.3360000000000003</v>
      </c>
      <c r="CE470" s="3">
        <v>45546</v>
      </c>
      <c r="CF470" s="1">
        <v>6.2229999999999999</v>
      </c>
      <c r="CG470" s="3">
        <v>45546</v>
      </c>
      <c r="CH470" s="1">
        <v>6.0716999999999999</v>
      </c>
      <c r="CI470" s="3">
        <v>45546</v>
      </c>
      <c r="CJ470" s="1">
        <v>5.5682999999999998</v>
      </c>
      <c r="CK470" s="3">
        <v>45546</v>
      </c>
      <c r="CL470" s="1">
        <v>5.03</v>
      </c>
      <c r="CM470" s="3">
        <v>45546</v>
      </c>
      <c r="CN470" s="1">
        <v>4.7975000000000003</v>
      </c>
      <c r="CO470" s="3">
        <v>45539</v>
      </c>
      <c r="CP470" s="1">
        <v>4.8925000000000001</v>
      </c>
      <c r="CQ470" s="3">
        <v>45539</v>
      </c>
      <c r="CR470" s="1">
        <v>4.8499999999999996</v>
      </c>
      <c r="CS470" s="3">
        <v>45539</v>
      </c>
      <c r="CT470" s="1">
        <v>4.835</v>
      </c>
    </row>
    <row r="471" spans="31:98" x14ac:dyDescent="0.2">
      <c r="AE471" s="3">
        <v>45537</v>
      </c>
      <c r="AF471" s="1">
        <v>5.75</v>
      </c>
      <c r="AG471" s="3">
        <v>45516</v>
      </c>
      <c r="AH471" s="1">
        <v>5.86</v>
      </c>
      <c r="AI471" s="3">
        <v>45545</v>
      </c>
      <c r="AJ471" s="2">
        <v>5.8288000000000002</v>
      </c>
      <c r="AK471" s="3">
        <v>45545</v>
      </c>
      <c r="AL471" s="2">
        <v>5.8025000000000002</v>
      </c>
      <c r="AM471" s="3">
        <v>45545</v>
      </c>
      <c r="AN471" s="2">
        <v>5.7374999999999998</v>
      </c>
      <c r="AO471" s="3">
        <v>45545</v>
      </c>
      <c r="AP471" s="2">
        <v>5.3</v>
      </c>
      <c r="AQ471" s="3">
        <v>45545</v>
      </c>
      <c r="AR471" s="2">
        <v>4.7850000000000001</v>
      </c>
      <c r="AS471" s="3">
        <v>45545</v>
      </c>
      <c r="AT471" s="2">
        <v>4.3849999999999998</v>
      </c>
      <c r="AU471" s="3">
        <v>45545</v>
      </c>
      <c r="AV471" s="2">
        <v>4.07</v>
      </c>
      <c r="AW471" s="3">
        <v>45545</v>
      </c>
      <c r="AX471" s="2">
        <v>3.8450000000000002</v>
      </c>
      <c r="AY471" s="3">
        <v>45545</v>
      </c>
      <c r="AZ471" s="2">
        <v>3.7</v>
      </c>
      <c r="BB471" s="3">
        <v>45517</v>
      </c>
      <c r="BC471" s="1">
        <v>4.5</v>
      </c>
      <c r="BD471" s="3">
        <v>45518</v>
      </c>
      <c r="BE471" s="1">
        <v>4.41</v>
      </c>
      <c r="BF471" s="3">
        <v>45545</v>
      </c>
      <c r="BG471" s="1">
        <v>4.16</v>
      </c>
      <c r="BH471" s="3">
        <v>45545</v>
      </c>
      <c r="BI471" s="1">
        <v>3.9249999999999998</v>
      </c>
      <c r="BJ471" s="3">
        <v>45545</v>
      </c>
      <c r="BK471" s="1">
        <v>3.85</v>
      </c>
      <c r="BL471" s="3">
        <v>45545</v>
      </c>
      <c r="BM471" s="1">
        <v>3.4849999999999999</v>
      </c>
      <c r="BN471" s="3">
        <v>45545</v>
      </c>
      <c r="BO471" s="1">
        <v>3.16</v>
      </c>
      <c r="BP471" s="3">
        <v>45545</v>
      </c>
      <c r="BQ471" s="1">
        <v>2.923</v>
      </c>
      <c r="BR471" s="3">
        <v>45545</v>
      </c>
      <c r="BS471" s="1">
        <v>2.8929999999999998</v>
      </c>
      <c r="BT471" s="3">
        <v>45545</v>
      </c>
      <c r="BU471" s="1">
        <v>2.8780000000000001</v>
      </c>
      <c r="BV471" s="3">
        <v>45545</v>
      </c>
      <c r="BW471" s="1">
        <v>2.875</v>
      </c>
      <c r="BY471" s="3">
        <v>45523</v>
      </c>
      <c r="BZ471" s="1">
        <v>6.75</v>
      </c>
      <c r="CA471" s="3">
        <v>45509</v>
      </c>
      <c r="CB471" s="1">
        <v>6.53</v>
      </c>
      <c r="CC471" s="3">
        <v>45545</v>
      </c>
      <c r="CD471" s="1">
        <v>6.3449999999999998</v>
      </c>
      <c r="CE471" s="3">
        <v>45545</v>
      </c>
      <c r="CF471" s="1">
        <v>6.22</v>
      </c>
      <c r="CG471" s="3">
        <v>45545</v>
      </c>
      <c r="CH471" s="1">
        <v>6.0867000000000004</v>
      </c>
      <c r="CI471" s="3">
        <v>45545</v>
      </c>
      <c r="CJ471" s="1">
        <v>5.6</v>
      </c>
      <c r="CK471" s="3">
        <v>45545</v>
      </c>
      <c r="CL471" s="1">
        <v>5.07</v>
      </c>
      <c r="CM471" s="3">
        <v>45545</v>
      </c>
      <c r="CN471" s="1">
        <v>4.8150000000000004</v>
      </c>
      <c r="CO471" s="3">
        <v>45538</v>
      </c>
      <c r="CP471" s="1">
        <v>5.0449999999999999</v>
      </c>
      <c r="CQ471" s="3">
        <v>45538</v>
      </c>
      <c r="CR471" s="1">
        <v>4.9950000000000001</v>
      </c>
      <c r="CS471" s="3">
        <v>45538</v>
      </c>
      <c r="CT471" s="1">
        <v>4.9749999999999996</v>
      </c>
    </row>
    <row r="472" spans="31:98" x14ac:dyDescent="0.2">
      <c r="AE472" s="3">
        <v>45534</v>
      </c>
      <c r="AF472" s="1">
        <v>5.75</v>
      </c>
      <c r="AG472" s="3">
        <v>45513</v>
      </c>
      <c r="AH472" s="1">
        <v>5.86</v>
      </c>
      <c r="AI472" s="3">
        <v>45544</v>
      </c>
      <c r="AJ472" s="2">
        <v>5.8319999999999999</v>
      </c>
      <c r="AK472" s="3">
        <v>45544</v>
      </c>
      <c r="AL472" s="2">
        <v>5.8049999999999997</v>
      </c>
      <c r="AM472" s="3">
        <v>45544</v>
      </c>
      <c r="AN472" s="2">
        <v>5.75</v>
      </c>
      <c r="AO472" s="3">
        <v>45544</v>
      </c>
      <c r="AP472" s="2">
        <v>5.33</v>
      </c>
      <c r="AQ472" s="3">
        <v>45544</v>
      </c>
      <c r="AR472" s="2">
        <v>4.8099999999999996</v>
      </c>
      <c r="AS472" s="3">
        <v>45544</v>
      </c>
      <c r="AT472" s="2">
        <v>4.4175000000000004</v>
      </c>
      <c r="AU472" s="3">
        <v>45544</v>
      </c>
      <c r="AV472" s="2">
        <v>4.1025</v>
      </c>
      <c r="AW472" s="3">
        <v>45544</v>
      </c>
      <c r="AX472" s="2">
        <v>3.8774999999999999</v>
      </c>
      <c r="AY472" s="3">
        <v>45544</v>
      </c>
      <c r="AZ472" s="2">
        <v>3.7324999999999999</v>
      </c>
      <c r="BB472" s="3">
        <v>45516</v>
      </c>
      <c r="BC472" s="1">
        <v>4.5</v>
      </c>
      <c r="BD472" s="3">
        <v>45517</v>
      </c>
      <c r="BE472" s="1">
        <v>4.42</v>
      </c>
      <c r="BF472" s="3">
        <v>45544</v>
      </c>
      <c r="BG472" s="1">
        <v>4.12</v>
      </c>
      <c r="BH472" s="3">
        <v>45544</v>
      </c>
      <c r="BI472" s="1">
        <v>4.0449999999999999</v>
      </c>
      <c r="BJ472" s="3">
        <v>45544</v>
      </c>
      <c r="BK472" s="1">
        <v>3.8250000000000002</v>
      </c>
      <c r="BL472" s="3">
        <v>45544</v>
      </c>
      <c r="BM472" s="1">
        <v>3.4630000000000001</v>
      </c>
      <c r="BN472" s="3">
        <v>45544</v>
      </c>
      <c r="BO472" s="1">
        <v>3.1429999999999998</v>
      </c>
      <c r="BP472" s="3">
        <v>45544</v>
      </c>
      <c r="BQ472" s="1">
        <v>2.9049999999999998</v>
      </c>
      <c r="BR472" s="3">
        <v>45544</v>
      </c>
      <c r="BS472" s="1">
        <v>2.875</v>
      </c>
      <c r="BT472" s="3">
        <v>45544</v>
      </c>
      <c r="BU472" s="1">
        <v>2.863</v>
      </c>
      <c r="BV472" s="3">
        <v>45544</v>
      </c>
      <c r="BW472" s="1">
        <v>2.86</v>
      </c>
      <c r="BY472" s="3">
        <v>45520</v>
      </c>
      <c r="BZ472" s="1">
        <v>6.75</v>
      </c>
      <c r="CA472" s="3">
        <v>45506</v>
      </c>
      <c r="CB472" s="1">
        <v>6.54</v>
      </c>
      <c r="CC472" s="3">
        <v>45544</v>
      </c>
      <c r="CD472" s="1">
        <v>6.3472999999999997</v>
      </c>
      <c r="CE472" s="3">
        <v>45544</v>
      </c>
      <c r="CF472" s="1">
        <v>6.2196999999999996</v>
      </c>
      <c r="CG472" s="3">
        <v>45544</v>
      </c>
      <c r="CH472" s="1">
        <v>6.09</v>
      </c>
      <c r="CI472" s="3">
        <v>45544</v>
      </c>
      <c r="CJ472" s="1">
        <v>5.6166999999999998</v>
      </c>
      <c r="CK472" s="3">
        <v>45544</v>
      </c>
      <c r="CL472" s="1">
        <v>5.0967000000000002</v>
      </c>
      <c r="CM472" s="3">
        <v>45544</v>
      </c>
      <c r="CN472" s="1">
        <v>4.92</v>
      </c>
      <c r="CO472" s="3">
        <v>45537</v>
      </c>
      <c r="CP472" s="1">
        <v>5.0949999999999998</v>
      </c>
      <c r="CQ472" s="3">
        <v>45537</v>
      </c>
      <c r="CR472" s="1">
        <v>5.0449999999999999</v>
      </c>
      <c r="CS472" s="3">
        <v>45537</v>
      </c>
      <c r="CT472" s="1">
        <v>5.0250000000000004</v>
      </c>
    </row>
    <row r="473" spans="31:98" x14ac:dyDescent="0.2">
      <c r="AE473" s="3">
        <v>45533</v>
      </c>
      <c r="AF473" s="1">
        <v>5.75</v>
      </c>
      <c r="AG473" s="3">
        <v>45512</v>
      </c>
      <c r="AH473" s="1">
        <v>5.85</v>
      </c>
      <c r="AI473" s="3">
        <v>45541</v>
      </c>
      <c r="AJ473" s="2">
        <v>5.8295000000000003</v>
      </c>
      <c r="AK473" s="3">
        <v>45541</v>
      </c>
      <c r="AL473" s="2">
        <v>5.8</v>
      </c>
      <c r="AM473" s="3">
        <v>45541</v>
      </c>
      <c r="AN473" s="2">
        <v>5.74</v>
      </c>
      <c r="AO473" s="3">
        <v>45541</v>
      </c>
      <c r="AP473" s="2">
        <v>5.335</v>
      </c>
      <c r="AQ473" s="3">
        <v>45541</v>
      </c>
      <c r="AR473" s="2">
        <v>4.8475000000000001</v>
      </c>
      <c r="AS473" s="3">
        <v>45541</v>
      </c>
      <c r="AT473" s="2">
        <v>4.4649999999999999</v>
      </c>
      <c r="AU473" s="3">
        <v>45541</v>
      </c>
      <c r="AV473" s="2">
        <v>4.165</v>
      </c>
      <c r="AW473" s="3">
        <v>45541</v>
      </c>
      <c r="AX473" s="2">
        <v>3.9350000000000001</v>
      </c>
      <c r="AY473" s="3">
        <v>45541</v>
      </c>
      <c r="AZ473" s="2">
        <v>3.79</v>
      </c>
      <c r="BB473" s="3">
        <v>45513</v>
      </c>
      <c r="BC473" s="1">
        <v>4.5</v>
      </c>
      <c r="BD473" s="3">
        <v>45516</v>
      </c>
      <c r="BE473" s="1">
        <v>4.42</v>
      </c>
      <c r="BF473" s="3">
        <v>45541</v>
      </c>
      <c r="BG473" s="1">
        <v>4.13</v>
      </c>
      <c r="BH473" s="3">
        <v>45541</v>
      </c>
      <c r="BI473" s="1">
        <v>4.0599999999999996</v>
      </c>
      <c r="BJ473" s="3">
        <v>45541</v>
      </c>
      <c r="BK473" s="1">
        <v>3.8380000000000001</v>
      </c>
      <c r="BL473" s="3">
        <v>45541</v>
      </c>
      <c r="BM473" s="1">
        <v>3.4750000000000001</v>
      </c>
      <c r="BN473" s="3">
        <v>45541</v>
      </c>
      <c r="BO473" s="1">
        <v>3.17</v>
      </c>
      <c r="BP473" s="3">
        <v>45541</v>
      </c>
      <c r="BQ473" s="1">
        <v>2.91</v>
      </c>
      <c r="BR473" s="3">
        <v>45541</v>
      </c>
      <c r="BS473" s="1">
        <v>2.8780000000000001</v>
      </c>
      <c r="BT473" s="3">
        <v>45541</v>
      </c>
      <c r="BU473" s="1">
        <v>2.8679999999999999</v>
      </c>
      <c r="BV473" s="3">
        <v>45541</v>
      </c>
      <c r="BW473" s="1">
        <v>2.8679999999999999</v>
      </c>
      <c r="BY473" s="3">
        <v>45519</v>
      </c>
      <c r="BZ473" s="1">
        <v>6.75</v>
      </c>
      <c r="CA473" s="3">
        <v>45505</v>
      </c>
      <c r="CB473" s="1">
        <v>6.55</v>
      </c>
      <c r="CC473" s="3">
        <v>45541</v>
      </c>
      <c r="CD473" s="1">
        <v>6.359</v>
      </c>
      <c r="CE473" s="3">
        <v>45541</v>
      </c>
      <c r="CF473" s="1">
        <v>6.2249999999999996</v>
      </c>
      <c r="CG473" s="3">
        <v>45541</v>
      </c>
      <c r="CH473" s="1">
        <v>6.1032999999999999</v>
      </c>
      <c r="CI473" s="3">
        <v>45541</v>
      </c>
      <c r="CJ473" s="1">
        <v>5.6266999999999996</v>
      </c>
      <c r="CK473" s="3">
        <v>45541</v>
      </c>
      <c r="CL473" s="1">
        <v>5.1333000000000002</v>
      </c>
      <c r="CM473" s="3">
        <v>45541</v>
      </c>
      <c r="CN473" s="1">
        <v>4.8849999999999998</v>
      </c>
      <c r="CO473" s="3">
        <v>45534</v>
      </c>
      <c r="CP473" s="1">
        <v>5.0650000000000004</v>
      </c>
      <c r="CQ473" s="3">
        <v>45534</v>
      </c>
      <c r="CR473" s="1">
        <v>5.0149999999999997</v>
      </c>
      <c r="CS473" s="3">
        <v>45534</v>
      </c>
      <c r="CT473" s="1">
        <v>4.9950000000000001</v>
      </c>
    </row>
    <row r="474" spans="31:98" x14ac:dyDescent="0.2">
      <c r="AE474" s="3">
        <v>45532</v>
      </c>
      <c r="AF474" s="1">
        <v>5.75</v>
      </c>
      <c r="AG474" s="3">
        <v>45511</v>
      </c>
      <c r="AH474" s="1">
        <v>5.85</v>
      </c>
      <c r="AI474" s="3">
        <v>45540</v>
      </c>
      <c r="AJ474" s="2">
        <v>5.8289999999999997</v>
      </c>
      <c r="AK474" s="3">
        <v>45540</v>
      </c>
      <c r="AL474" s="2">
        <v>5.8049999999999997</v>
      </c>
      <c r="AM474" s="3">
        <v>45540</v>
      </c>
      <c r="AN474" s="2">
        <v>5.76</v>
      </c>
      <c r="AO474" s="3">
        <v>45540</v>
      </c>
      <c r="AP474" s="2">
        <v>5.3849999999999998</v>
      </c>
      <c r="AQ474" s="3">
        <v>45540</v>
      </c>
      <c r="AR474" s="2">
        <v>4.915</v>
      </c>
      <c r="AS474" s="3">
        <v>45540</v>
      </c>
      <c r="AT474" s="2">
        <v>4.5650000000000004</v>
      </c>
      <c r="AU474" s="3">
        <v>45540</v>
      </c>
      <c r="AV474" s="2">
        <v>4.2699999999999996</v>
      </c>
      <c r="AW474" s="3">
        <v>45540</v>
      </c>
      <c r="AX474" s="2">
        <v>4.0449999999999999</v>
      </c>
      <c r="AY474" s="3">
        <v>45540</v>
      </c>
      <c r="AZ474" s="2">
        <v>3.895</v>
      </c>
      <c r="BB474" s="3">
        <v>45512</v>
      </c>
      <c r="BC474" s="1">
        <v>4.5</v>
      </c>
      <c r="BD474" s="3">
        <v>45513</v>
      </c>
      <c r="BE474" s="1">
        <v>4.42</v>
      </c>
      <c r="BF474" s="3">
        <v>45540</v>
      </c>
      <c r="BG474" s="1">
        <v>4.1349999999999998</v>
      </c>
      <c r="BH474" s="3">
        <v>45540</v>
      </c>
      <c r="BI474" s="1">
        <v>4.0599999999999996</v>
      </c>
      <c r="BJ474" s="3">
        <v>45540</v>
      </c>
      <c r="BK474" s="1">
        <v>3.8479999999999999</v>
      </c>
      <c r="BL474" s="3">
        <v>45540</v>
      </c>
      <c r="BM474" s="1">
        <v>3.4849999999999999</v>
      </c>
      <c r="BN474" s="3">
        <v>45540</v>
      </c>
      <c r="BO474" s="1">
        <v>3.1880000000000002</v>
      </c>
      <c r="BP474" s="3">
        <v>45540</v>
      </c>
      <c r="BQ474" s="1">
        <v>2.97</v>
      </c>
      <c r="BR474" s="3">
        <v>45540</v>
      </c>
      <c r="BS474" s="1">
        <v>2.9430000000000001</v>
      </c>
      <c r="BT474" s="3">
        <v>45540</v>
      </c>
      <c r="BU474" s="1">
        <v>2.9329999999999998</v>
      </c>
      <c r="BV474" s="3">
        <v>45540</v>
      </c>
      <c r="BW474" s="1">
        <v>2.9249999999999998</v>
      </c>
      <c r="BY474" s="3">
        <v>45518</v>
      </c>
      <c r="BZ474" s="1">
        <v>6.75</v>
      </c>
      <c r="CA474" s="3">
        <v>45504</v>
      </c>
      <c r="CB474" s="1">
        <v>6.56</v>
      </c>
      <c r="CC474" s="3">
        <v>45540</v>
      </c>
      <c r="CD474" s="1">
        <v>6.3497000000000003</v>
      </c>
      <c r="CE474" s="3">
        <v>45540</v>
      </c>
      <c r="CF474" s="1">
        <v>6.2117000000000004</v>
      </c>
      <c r="CG474" s="3">
        <v>45540</v>
      </c>
      <c r="CH474" s="1">
        <v>6.0833000000000004</v>
      </c>
      <c r="CI474" s="3">
        <v>45540</v>
      </c>
      <c r="CJ474" s="1">
        <v>5.6150000000000002</v>
      </c>
      <c r="CK474" s="3">
        <v>45540</v>
      </c>
      <c r="CL474" s="1">
        <v>5.1166999999999998</v>
      </c>
      <c r="CM474" s="3">
        <v>45540</v>
      </c>
      <c r="CN474" s="1">
        <v>4.8899999999999997</v>
      </c>
      <c r="CO474" s="3">
        <v>45533</v>
      </c>
      <c r="CP474" s="1">
        <v>5.0724999999999998</v>
      </c>
      <c r="CQ474" s="3">
        <v>45533</v>
      </c>
      <c r="CR474" s="1">
        <v>5.0225</v>
      </c>
      <c r="CS474" s="3">
        <v>45533</v>
      </c>
      <c r="CT474" s="1">
        <v>5.0025000000000004</v>
      </c>
    </row>
    <row r="475" spans="31:98" x14ac:dyDescent="0.2">
      <c r="AE475" s="3">
        <v>45531</v>
      </c>
      <c r="AF475" s="1">
        <v>5.75</v>
      </c>
      <c r="AG475" s="3">
        <v>45510</v>
      </c>
      <c r="AH475" s="1">
        <v>5.85</v>
      </c>
      <c r="AI475" s="3">
        <v>45539</v>
      </c>
      <c r="AJ475" s="2">
        <v>5.8220000000000001</v>
      </c>
      <c r="AK475" s="3">
        <v>45539</v>
      </c>
      <c r="AL475" s="2">
        <v>5.8</v>
      </c>
      <c r="AM475" s="3">
        <v>45539</v>
      </c>
      <c r="AN475" s="2">
        <v>5.73</v>
      </c>
      <c r="AO475" s="3">
        <v>45539</v>
      </c>
      <c r="AP475" s="2">
        <v>5.3849999999999998</v>
      </c>
      <c r="AQ475" s="3">
        <v>45539</v>
      </c>
      <c r="AR475" s="2">
        <v>4.9550000000000001</v>
      </c>
      <c r="AS475" s="3">
        <v>45539</v>
      </c>
      <c r="AT475" s="2">
        <v>4.5824999999999996</v>
      </c>
      <c r="AU475" s="3">
        <v>45539</v>
      </c>
      <c r="AV475" s="2">
        <v>4.29</v>
      </c>
      <c r="AW475" s="3">
        <v>45539</v>
      </c>
      <c r="AX475" s="2">
        <v>4.07</v>
      </c>
      <c r="AY475" s="3">
        <v>45539</v>
      </c>
      <c r="AZ475" s="2">
        <v>3.9224999999999999</v>
      </c>
      <c r="BB475" s="3">
        <v>45511</v>
      </c>
      <c r="BC475" s="1">
        <v>4.5</v>
      </c>
      <c r="BD475" s="3">
        <v>45512</v>
      </c>
      <c r="BE475" s="1">
        <v>4.43</v>
      </c>
      <c r="BF475" s="3">
        <v>45539</v>
      </c>
      <c r="BG475" s="1">
        <v>4.1399999999999997</v>
      </c>
      <c r="BH475" s="3">
        <v>45539</v>
      </c>
      <c r="BI475" s="1">
        <v>4.07</v>
      </c>
      <c r="BJ475" s="3">
        <v>45539</v>
      </c>
      <c r="BK475" s="1">
        <v>3.86</v>
      </c>
      <c r="BL475" s="3">
        <v>45539</v>
      </c>
      <c r="BM475" s="1">
        <v>3.52</v>
      </c>
      <c r="BN475" s="3">
        <v>45539</v>
      </c>
      <c r="BO475" s="1">
        <v>3.238</v>
      </c>
      <c r="BP475" s="3">
        <v>45539</v>
      </c>
      <c r="BQ475" s="1">
        <v>3.0449999999999999</v>
      </c>
      <c r="BR475" s="3">
        <v>45539</v>
      </c>
      <c r="BS475" s="1">
        <v>3.02</v>
      </c>
      <c r="BT475" s="3">
        <v>45539</v>
      </c>
      <c r="BU475" s="1">
        <v>3.0129999999999999</v>
      </c>
      <c r="BV475" s="3">
        <v>45539</v>
      </c>
      <c r="BW475" s="1">
        <v>3.008</v>
      </c>
      <c r="BY475" s="3">
        <v>45517</v>
      </c>
      <c r="BZ475" s="1">
        <v>6.75</v>
      </c>
      <c r="CA475" s="3">
        <v>45503</v>
      </c>
      <c r="CB475" s="1">
        <v>6.58</v>
      </c>
      <c r="CC475" s="3">
        <v>45539</v>
      </c>
      <c r="CD475" s="1">
        <v>6.3682999999999996</v>
      </c>
      <c r="CE475" s="3">
        <v>45539</v>
      </c>
      <c r="CF475" s="1">
        <v>6.2167000000000003</v>
      </c>
      <c r="CG475" s="3">
        <v>45539</v>
      </c>
      <c r="CH475" s="1">
        <v>6.0949999999999998</v>
      </c>
      <c r="CI475" s="3">
        <v>45539</v>
      </c>
      <c r="CJ475" s="1">
        <v>5.6717000000000004</v>
      </c>
      <c r="CK475" s="3">
        <v>45539</v>
      </c>
      <c r="CL475" s="1">
        <v>5.2066999999999997</v>
      </c>
      <c r="CM475" s="3">
        <v>45539</v>
      </c>
      <c r="CN475" s="1">
        <v>4.95</v>
      </c>
      <c r="CO475" s="3">
        <v>45532</v>
      </c>
      <c r="CP475" s="1">
        <v>5.1025</v>
      </c>
      <c r="CQ475" s="3">
        <v>45532</v>
      </c>
      <c r="CR475" s="1">
        <v>5.0525000000000002</v>
      </c>
      <c r="CS475" s="3">
        <v>45532</v>
      </c>
      <c r="CT475" s="1">
        <v>5.0324999999999998</v>
      </c>
    </row>
    <row r="476" spans="31:98" x14ac:dyDescent="0.2">
      <c r="AE476" s="3">
        <v>45530</v>
      </c>
      <c r="AF476" s="1">
        <v>5.75</v>
      </c>
      <c r="AG476" s="3">
        <v>45509</v>
      </c>
      <c r="AH476" s="1">
        <v>5.85</v>
      </c>
      <c r="AI476" s="3">
        <v>45538</v>
      </c>
      <c r="AJ476" s="2">
        <v>5.82</v>
      </c>
      <c r="AK476" s="3">
        <v>45538</v>
      </c>
      <c r="AL476" s="2">
        <v>5.8</v>
      </c>
      <c r="AM476" s="3">
        <v>45538</v>
      </c>
      <c r="AN476" s="2">
        <v>5.75</v>
      </c>
      <c r="AO476" s="3">
        <v>45538</v>
      </c>
      <c r="AP476" s="2">
        <v>5.44</v>
      </c>
      <c r="AQ476" s="3">
        <v>45538</v>
      </c>
      <c r="AR476" s="2">
        <v>5.0199999999999996</v>
      </c>
      <c r="AS476" s="3">
        <v>45538</v>
      </c>
      <c r="AT476" s="2">
        <v>4.6849999999999996</v>
      </c>
      <c r="AU476" s="3">
        <v>45538</v>
      </c>
      <c r="AV476" s="2">
        <v>4.3949999999999996</v>
      </c>
      <c r="AW476" s="3">
        <v>45538</v>
      </c>
      <c r="AX476" s="2">
        <v>4.16</v>
      </c>
      <c r="AY476" s="3">
        <v>45538</v>
      </c>
      <c r="AZ476" s="2">
        <v>4.01</v>
      </c>
      <c r="BB476" s="3">
        <v>45510</v>
      </c>
      <c r="BC476" s="1">
        <v>4.5</v>
      </c>
      <c r="BD476" s="3">
        <v>45511</v>
      </c>
      <c r="BE476" s="1">
        <v>4.43</v>
      </c>
      <c r="BF476" s="3">
        <v>45538</v>
      </c>
      <c r="BG476" s="1">
        <v>4.1550000000000002</v>
      </c>
      <c r="BH476" s="3">
        <v>45538</v>
      </c>
      <c r="BI476" s="1">
        <v>4.085</v>
      </c>
      <c r="BJ476" s="3">
        <v>45538</v>
      </c>
      <c r="BK476" s="1">
        <v>3.895</v>
      </c>
      <c r="BL476" s="3">
        <v>45538</v>
      </c>
      <c r="BM476" s="1">
        <v>3.58</v>
      </c>
      <c r="BN476" s="3">
        <v>45538</v>
      </c>
      <c r="BO476" s="1">
        <v>3.3250000000000002</v>
      </c>
      <c r="BP476" s="3">
        <v>45538</v>
      </c>
      <c r="BQ476" s="1">
        <v>3.153</v>
      </c>
      <c r="BR476" s="3">
        <v>45538</v>
      </c>
      <c r="BS476" s="1">
        <v>3.1349999999999998</v>
      </c>
      <c r="BT476" s="3">
        <v>45538</v>
      </c>
      <c r="BU476" s="1">
        <v>3.13</v>
      </c>
      <c r="BV476" s="3">
        <v>45538</v>
      </c>
      <c r="BW476" s="1">
        <v>3.13</v>
      </c>
      <c r="BY476" s="3">
        <v>45516</v>
      </c>
      <c r="BZ476" s="1">
        <v>6.75</v>
      </c>
      <c r="CA476" s="3">
        <v>45502</v>
      </c>
      <c r="CB476" s="1">
        <v>6.61</v>
      </c>
      <c r="CC476" s="3">
        <v>45538</v>
      </c>
      <c r="CD476" s="1">
        <v>6.3963000000000001</v>
      </c>
      <c r="CE476" s="3">
        <v>45538</v>
      </c>
      <c r="CF476" s="1">
        <v>6.2560000000000002</v>
      </c>
      <c r="CG476" s="3">
        <v>45538</v>
      </c>
      <c r="CH476" s="1">
        <v>6.1550000000000002</v>
      </c>
      <c r="CI476" s="3">
        <v>45538</v>
      </c>
      <c r="CJ476" s="1">
        <v>5.7633000000000001</v>
      </c>
      <c r="CK476" s="3">
        <v>45538</v>
      </c>
      <c r="CL476" s="1">
        <v>5.34</v>
      </c>
      <c r="CM476" s="3">
        <v>45538</v>
      </c>
      <c r="CN476" s="1">
        <v>5.1050000000000004</v>
      </c>
      <c r="CO476" s="3">
        <v>45531</v>
      </c>
      <c r="CP476" s="1">
        <v>5.0999999999999996</v>
      </c>
      <c r="CQ476" s="3">
        <v>45531</v>
      </c>
      <c r="CR476" s="1">
        <v>5.04</v>
      </c>
      <c r="CS476" s="3">
        <v>45531</v>
      </c>
      <c r="CT476" s="1">
        <v>5.0175000000000001</v>
      </c>
    </row>
    <row r="477" spans="31:98" x14ac:dyDescent="0.2">
      <c r="AE477" s="3">
        <v>45527</v>
      </c>
      <c r="AF477" s="1">
        <v>5.75</v>
      </c>
      <c r="AG477" s="3">
        <v>45506</v>
      </c>
      <c r="AH477" s="1">
        <v>5.85</v>
      </c>
      <c r="AI477" s="3">
        <v>45537</v>
      </c>
      <c r="AJ477" s="2">
        <v>5.8265000000000002</v>
      </c>
      <c r="AK477" s="3">
        <v>45537</v>
      </c>
      <c r="AL477" s="2">
        <v>5.8049999999999997</v>
      </c>
      <c r="AM477" s="3">
        <v>45537</v>
      </c>
      <c r="AN477" s="2">
        <v>5.7575000000000003</v>
      </c>
      <c r="AO477" s="3">
        <v>45537</v>
      </c>
      <c r="AP477" s="2">
        <v>5.4625000000000004</v>
      </c>
      <c r="AQ477" s="3">
        <v>45537</v>
      </c>
      <c r="AR477" s="2">
        <v>5.0575000000000001</v>
      </c>
      <c r="AS477" s="3">
        <v>45537</v>
      </c>
      <c r="AT477" s="2">
        <v>4.7324999999999999</v>
      </c>
      <c r="AU477" s="3">
        <v>45537</v>
      </c>
      <c r="AV477" s="2">
        <v>4.4524999999999997</v>
      </c>
      <c r="AW477" s="3">
        <v>45537</v>
      </c>
      <c r="AX477" s="2">
        <v>4.2225000000000001</v>
      </c>
      <c r="AY477" s="3">
        <v>45537</v>
      </c>
      <c r="AZ477" s="2">
        <v>4.0724999999999998</v>
      </c>
      <c r="BB477" s="3">
        <v>45509</v>
      </c>
      <c r="BC477" s="1">
        <v>4.5</v>
      </c>
      <c r="BD477" s="3">
        <v>45510</v>
      </c>
      <c r="BE477" s="1">
        <v>4.43</v>
      </c>
      <c r="BF477" s="3">
        <v>45537</v>
      </c>
      <c r="BG477" s="1">
        <v>4.165</v>
      </c>
      <c r="BH477" s="3">
        <v>45537</v>
      </c>
      <c r="BI477" s="1">
        <v>4.1029999999999998</v>
      </c>
      <c r="BJ477" s="3">
        <v>45537</v>
      </c>
      <c r="BK477" s="1">
        <v>3.915</v>
      </c>
      <c r="BL477" s="3">
        <v>45537</v>
      </c>
      <c r="BM477" s="1">
        <v>3.605</v>
      </c>
      <c r="BN477" s="3">
        <v>45537</v>
      </c>
      <c r="BO477" s="1">
        <v>3.3730000000000002</v>
      </c>
      <c r="BP477" s="3">
        <v>45537</v>
      </c>
      <c r="BQ477" s="1">
        <v>3.23</v>
      </c>
      <c r="BR477" s="3">
        <v>45537</v>
      </c>
      <c r="BS477" s="1">
        <v>3.22</v>
      </c>
      <c r="BT477" s="3">
        <v>45537</v>
      </c>
      <c r="BU477" s="1">
        <v>3.2280000000000002</v>
      </c>
      <c r="BV477" s="3">
        <v>45537</v>
      </c>
      <c r="BW477" s="1">
        <v>3.23</v>
      </c>
      <c r="BY477" s="3">
        <v>45513</v>
      </c>
      <c r="BZ477" s="1">
        <v>6.75</v>
      </c>
      <c r="CA477" s="3">
        <v>45499</v>
      </c>
      <c r="CB477" s="1">
        <v>6.61</v>
      </c>
      <c r="CC477" s="3">
        <v>45537</v>
      </c>
      <c r="CD477" s="1">
        <v>6.4162999999999997</v>
      </c>
      <c r="CE477" s="3">
        <v>45537</v>
      </c>
      <c r="CF477" s="1">
        <v>6.274</v>
      </c>
      <c r="CG477" s="3">
        <v>45537</v>
      </c>
      <c r="CH477" s="1">
        <v>6.1717000000000004</v>
      </c>
      <c r="CI477" s="3">
        <v>45537</v>
      </c>
      <c r="CJ477" s="1">
        <v>5.7832999999999997</v>
      </c>
      <c r="CK477" s="3">
        <v>45537</v>
      </c>
      <c r="CL477" s="1">
        <v>5.3766999999999996</v>
      </c>
      <c r="CM477" s="3">
        <v>45537</v>
      </c>
      <c r="CN477" s="1">
        <v>5.1550000000000002</v>
      </c>
      <c r="CO477" s="3">
        <v>45530</v>
      </c>
      <c r="CP477" s="1">
        <v>5.0199999999999996</v>
      </c>
      <c r="CQ477" s="3">
        <v>45530</v>
      </c>
      <c r="CR477" s="1">
        <v>4.9550000000000001</v>
      </c>
      <c r="CS477" s="3">
        <v>45530</v>
      </c>
      <c r="CT477" s="1">
        <v>4.9275000000000002</v>
      </c>
    </row>
    <row r="478" spans="31:98" x14ac:dyDescent="0.2">
      <c r="AE478" s="3">
        <v>45526</v>
      </c>
      <c r="AF478" s="1">
        <v>5.75</v>
      </c>
      <c r="AG478" s="3">
        <v>45505</v>
      </c>
      <c r="AH478" s="1">
        <v>5.85</v>
      </c>
      <c r="AI478" s="3">
        <v>45534</v>
      </c>
      <c r="AJ478" s="2">
        <v>5.8250000000000002</v>
      </c>
      <c r="AK478" s="3">
        <v>45534</v>
      </c>
      <c r="AL478" s="2">
        <v>5.8</v>
      </c>
      <c r="AM478" s="3">
        <v>45534</v>
      </c>
      <c r="AN478" s="2">
        <v>5.7450000000000001</v>
      </c>
      <c r="AO478" s="3">
        <v>45534</v>
      </c>
      <c r="AP478" s="2">
        <v>5.4124999999999996</v>
      </c>
      <c r="AQ478" s="3">
        <v>45534</v>
      </c>
      <c r="AR478" s="2">
        <v>4.9824999999999999</v>
      </c>
      <c r="AS478" s="3">
        <v>45534</v>
      </c>
      <c r="AT478" s="2">
        <v>4.6325000000000003</v>
      </c>
      <c r="AU478" s="3">
        <v>45534</v>
      </c>
      <c r="AV478" s="2">
        <v>4.3375000000000004</v>
      </c>
      <c r="AW478" s="3">
        <v>45534</v>
      </c>
      <c r="AX478" s="2">
        <v>4.1174999999999997</v>
      </c>
      <c r="AY478" s="3">
        <v>45534</v>
      </c>
      <c r="AZ478" s="2">
        <v>3.9775</v>
      </c>
      <c r="BB478" s="3">
        <v>45506</v>
      </c>
      <c r="BC478" s="1">
        <v>4.5</v>
      </c>
      <c r="BD478" s="3">
        <v>45509</v>
      </c>
      <c r="BE478" s="1">
        <v>4.43</v>
      </c>
      <c r="BF478" s="3">
        <v>45534</v>
      </c>
      <c r="BG478" s="1">
        <v>4.16</v>
      </c>
      <c r="BH478" s="3">
        <v>45534</v>
      </c>
      <c r="BI478" s="1">
        <v>4.0979999999999999</v>
      </c>
      <c r="BJ478" s="3">
        <v>45534</v>
      </c>
      <c r="BK478" s="1">
        <v>3.91</v>
      </c>
      <c r="BL478" s="3">
        <v>45534</v>
      </c>
      <c r="BM478" s="1">
        <v>3.593</v>
      </c>
      <c r="BN478" s="3">
        <v>45534</v>
      </c>
      <c r="BO478" s="1">
        <v>3.355</v>
      </c>
      <c r="BP478" s="3">
        <v>45534</v>
      </c>
      <c r="BQ478" s="1">
        <v>3.21</v>
      </c>
      <c r="BR478" s="3">
        <v>45534</v>
      </c>
      <c r="BS478" s="1">
        <v>3.1930000000000001</v>
      </c>
      <c r="BT478" s="3">
        <v>45534</v>
      </c>
      <c r="BU478" s="1">
        <v>3.198</v>
      </c>
      <c r="BV478" s="3">
        <v>45534</v>
      </c>
      <c r="BW478" s="1">
        <v>3.2</v>
      </c>
      <c r="BY478" s="3">
        <v>45512</v>
      </c>
      <c r="BZ478" s="1">
        <v>6.75</v>
      </c>
      <c r="CA478" s="3">
        <v>45498</v>
      </c>
      <c r="CB478" s="1">
        <v>6.63</v>
      </c>
      <c r="CC478" s="3">
        <v>45534</v>
      </c>
      <c r="CD478" s="1">
        <v>6.4119999999999999</v>
      </c>
      <c r="CE478" s="3">
        <v>45534</v>
      </c>
      <c r="CF478" s="1">
        <v>6.2670000000000003</v>
      </c>
      <c r="CG478" s="3">
        <v>45534</v>
      </c>
      <c r="CH478" s="1">
        <v>6.165</v>
      </c>
      <c r="CI478" s="3">
        <v>45534</v>
      </c>
      <c r="CJ478" s="1">
        <v>5.7766999999999999</v>
      </c>
      <c r="CK478" s="3">
        <v>45534</v>
      </c>
      <c r="CL478" s="1">
        <v>5.37</v>
      </c>
      <c r="CM478" s="3">
        <v>45534</v>
      </c>
      <c r="CN478" s="1">
        <v>5.125</v>
      </c>
      <c r="CO478" s="3">
        <v>45527</v>
      </c>
      <c r="CP478" s="1">
        <v>5.0199999999999996</v>
      </c>
      <c r="CQ478" s="3">
        <v>45527</v>
      </c>
      <c r="CR478" s="1">
        <v>4.9550000000000001</v>
      </c>
      <c r="CS478" s="3">
        <v>45527</v>
      </c>
      <c r="CT478" s="1">
        <v>4.9275000000000002</v>
      </c>
    </row>
    <row r="479" spans="31:98" x14ac:dyDescent="0.2">
      <c r="AE479" s="3">
        <v>45525</v>
      </c>
      <c r="AF479" s="1">
        <v>5.75</v>
      </c>
      <c r="AG479" s="3">
        <v>45504</v>
      </c>
      <c r="AH479" s="1">
        <v>5.86</v>
      </c>
      <c r="AI479" s="3">
        <v>45533</v>
      </c>
      <c r="AJ479" s="2">
        <v>5.8235000000000001</v>
      </c>
      <c r="AK479" s="3">
        <v>45533</v>
      </c>
      <c r="AL479" s="2">
        <v>5.7949999999999999</v>
      </c>
      <c r="AM479" s="3">
        <v>45533</v>
      </c>
      <c r="AN479" s="2">
        <v>5.74</v>
      </c>
      <c r="AO479" s="3">
        <v>45533</v>
      </c>
      <c r="AP479" s="2">
        <v>5.4325000000000001</v>
      </c>
      <c r="AQ479" s="3">
        <v>45533</v>
      </c>
      <c r="AR479" s="2">
        <v>4.9950000000000001</v>
      </c>
      <c r="AS479" s="3">
        <v>45533</v>
      </c>
      <c r="AT479" s="2">
        <v>4.67</v>
      </c>
      <c r="AU479" s="3">
        <v>45533</v>
      </c>
      <c r="AV479" s="2">
        <v>4.38</v>
      </c>
      <c r="AW479" s="3">
        <v>45533</v>
      </c>
      <c r="AX479" s="2">
        <v>4.1500000000000004</v>
      </c>
      <c r="AY479" s="3">
        <v>45533</v>
      </c>
      <c r="AZ479" s="2">
        <v>4.01</v>
      </c>
      <c r="BB479" s="3">
        <v>45505</v>
      </c>
      <c r="BC479" s="1">
        <v>4.75</v>
      </c>
      <c r="BD479" s="3">
        <v>45506</v>
      </c>
      <c r="BE479" s="1">
        <v>4.45</v>
      </c>
      <c r="BF479" s="3">
        <v>45533</v>
      </c>
      <c r="BG479" s="1">
        <v>4.16</v>
      </c>
      <c r="BH479" s="3">
        <v>45533</v>
      </c>
      <c r="BI479" s="1">
        <v>4.0949999999999998</v>
      </c>
      <c r="BJ479" s="3">
        <v>45533</v>
      </c>
      <c r="BK479" s="1">
        <v>3.9049999999999998</v>
      </c>
      <c r="BL479" s="3">
        <v>45533</v>
      </c>
      <c r="BM479" s="1">
        <v>3.5880000000000001</v>
      </c>
      <c r="BN479" s="3">
        <v>45533</v>
      </c>
      <c r="BO479" s="1">
        <v>3.3380000000000001</v>
      </c>
      <c r="BP479" s="3">
        <v>45533</v>
      </c>
      <c r="BQ479" s="1">
        <v>3.198</v>
      </c>
      <c r="BR479" s="3">
        <v>45533</v>
      </c>
      <c r="BS479" s="1">
        <v>3.1880000000000002</v>
      </c>
      <c r="BT479" s="3">
        <v>45533</v>
      </c>
      <c r="BU479" s="1">
        <v>3.1930000000000001</v>
      </c>
      <c r="BV479" s="3">
        <v>45533</v>
      </c>
      <c r="BW479" s="1">
        <v>3.2029999999999998</v>
      </c>
      <c r="BY479" s="3">
        <v>45511</v>
      </c>
      <c r="BZ479" s="1">
        <v>6.75</v>
      </c>
      <c r="CA479" s="3">
        <v>45497</v>
      </c>
      <c r="CB479" s="1">
        <v>6.64</v>
      </c>
      <c r="CC479" s="3">
        <v>45533</v>
      </c>
      <c r="CD479" s="1">
        <v>6.4187000000000003</v>
      </c>
      <c r="CE479" s="3">
        <v>45533</v>
      </c>
      <c r="CF479" s="1">
        <v>6.2736999999999998</v>
      </c>
      <c r="CG479" s="3">
        <v>45533</v>
      </c>
      <c r="CH479" s="1">
        <v>6.1717000000000004</v>
      </c>
      <c r="CI479" s="3">
        <v>45533</v>
      </c>
      <c r="CJ479" s="1">
        <v>5.7832999999999997</v>
      </c>
      <c r="CK479" s="3">
        <v>45533</v>
      </c>
      <c r="CL479" s="1">
        <v>5.3766999999999996</v>
      </c>
      <c r="CM479" s="3">
        <v>45533</v>
      </c>
      <c r="CN479" s="1">
        <v>5.1325000000000003</v>
      </c>
      <c r="CO479" s="3">
        <v>45526</v>
      </c>
      <c r="CP479" s="1">
        <v>5.0575000000000001</v>
      </c>
      <c r="CQ479" s="3">
        <v>45526</v>
      </c>
      <c r="CR479" s="1">
        <v>4.9924999999999997</v>
      </c>
      <c r="CS479" s="3">
        <v>45526</v>
      </c>
      <c r="CT479" s="1">
        <v>4.9649999999999999</v>
      </c>
    </row>
    <row r="480" spans="31:98" x14ac:dyDescent="0.2">
      <c r="AE480" s="3">
        <v>45524</v>
      </c>
      <c r="AF480" s="1">
        <v>5.75</v>
      </c>
      <c r="AG480" s="3">
        <v>45503</v>
      </c>
      <c r="AH480" s="1">
        <v>5.86</v>
      </c>
      <c r="AI480" s="3">
        <v>45532</v>
      </c>
      <c r="AJ480" s="2">
        <v>5.8235000000000001</v>
      </c>
      <c r="AK480" s="3">
        <v>45532</v>
      </c>
      <c r="AL480" s="2">
        <v>5.7949999999999999</v>
      </c>
      <c r="AM480" s="3">
        <v>45532</v>
      </c>
      <c r="AN480" s="2">
        <v>5.74</v>
      </c>
      <c r="AO480" s="3">
        <v>45532</v>
      </c>
      <c r="AP480" s="2">
        <v>5.4450000000000003</v>
      </c>
      <c r="AQ480" s="3">
        <v>45532</v>
      </c>
      <c r="AR480" s="2">
        <v>5.01</v>
      </c>
      <c r="AS480" s="3">
        <v>45532</v>
      </c>
      <c r="AT480" s="2">
        <v>4.6725000000000003</v>
      </c>
      <c r="AU480" s="3">
        <v>45532</v>
      </c>
      <c r="AV480" s="2">
        <v>4.3875000000000002</v>
      </c>
      <c r="AW480" s="3">
        <v>45532</v>
      </c>
      <c r="AX480" s="2">
        <v>4.1574999999999998</v>
      </c>
      <c r="AY480" s="3">
        <v>45532</v>
      </c>
      <c r="AZ480" s="2">
        <v>4.0175000000000001</v>
      </c>
      <c r="BB480" s="3">
        <v>45504</v>
      </c>
      <c r="BC480" s="1">
        <v>4.75</v>
      </c>
      <c r="BD480" s="3">
        <v>45505</v>
      </c>
      <c r="BE480" s="1">
        <v>4.5199999999999996</v>
      </c>
      <c r="BF480" s="3">
        <v>45532</v>
      </c>
      <c r="BG480" s="1">
        <v>4.165</v>
      </c>
      <c r="BH480" s="3">
        <v>45532</v>
      </c>
      <c r="BI480" s="1">
        <v>4.093</v>
      </c>
      <c r="BJ480" s="3">
        <v>45532</v>
      </c>
      <c r="BK480" s="1">
        <v>3.895</v>
      </c>
      <c r="BL480" s="3">
        <v>45532</v>
      </c>
      <c r="BM480" s="1">
        <v>3.58</v>
      </c>
      <c r="BN480" s="3">
        <v>45532</v>
      </c>
      <c r="BO480" s="1">
        <v>3.32</v>
      </c>
      <c r="BP480" s="3">
        <v>45532</v>
      </c>
      <c r="BQ480" s="1">
        <v>3.1749999999999998</v>
      </c>
      <c r="BR480" s="3">
        <v>45532</v>
      </c>
      <c r="BS480" s="1">
        <v>3.15</v>
      </c>
      <c r="BT480" s="3">
        <v>45532</v>
      </c>
      <c r="BU480" s="1">
        <v>3.145</v>
      </c>
      <c r="BV480" s="3">
        <v>45532</v>
      </c>
      <c r="BW480" s="1">
        <v>3.15</v>
      </c>
      <c r="BY480" s="3">
        <v>45510</v>
      </c>
      <c r="BZ480" s="1">
        <v>6.75</v>
      </c>
      <c r="CA480" s="3">
        <v>45496</v>
      </c>
      <c r="CB480" s="1">
        <v>6.77</v>
      </c>
      <c r="CC480" s="3">
        <v>45532</v>
      </c>
      <c r="CD480" s="1">
        <v>6.4212999999999996</v>
      </c>
      <c r="CE480" s="3">
        <v>45532</v>
      </c>
      <c r="CF480" s="1">
        <v>6.2812999999999999</v>
      </c>
      <c r="CG480" s="3">
        <v>45532</v>
      </c>
      <c r="CH480" s="1">
        <v>6.1783000000000001</v>
      </c>
      <c r="CI480" s="3">
        <v>45532</v>
      </c>
      <c r="CJ480" s="1">
        <v>5.7933000000000003</v>
      </c>
      <c r="CK480" s="3">
        <v>45532</v>
      </c>
      <c r="CL480" s="1">
        <v>5.39</v>
      </c>
      <c r="CM480" s="3">
        <v>45532</v>
      </c>
      <c r="CN480" s="1">
        <v>5.1624999999999996</v>
      </c>
      <c r="CO480" s="3">
        <v>45525</v>
      </c>
      <c r="CP480" s="1">
        <v>5.0925000000000002</v>
      </c>
      <c r="CQ480" s="3">
        <v>45525</v>
      </c>
      <c r="CR480" s="1">
        <v>5.0274999999999999</v>
      </c>
      <c r="CS480" s="3">
        <v>45525</v>
      </c>
      <c r="CT480" s="1">
        <v>5</v>
      </c>
    </row>
    <row r="481" spans="31:98" x14ac:dyDescent="0.2">
      <c r="AE481" s="3">
        <v>45523</v>
      </c>
      <c r="AF481" s="1">
        <v>5.75</v>
      </c>
      <c r="AG481" s="3">
        <v>45502</v>
      </c>
      <c r="AH481" s="1">
        <v>5.86</v>
      </c>
      <c r="AI481" s="3">
        <v>45531</v>
      </c>
      <c r="AJ481" s="2">
        <v>5.8174999999999999</v>
      </c>
      <c r="AK481" s="3">
        <v>45531</v>
      </c>
      <c r="AL481" s="2">
        <v>5.79</v>
      </c>
      <c r="AM481" s="3">
        <v>45531</v>
      </c>
      <c r="AN481" s="2">
        <v>5.7249999999999996</v>
      </c>
      <c r="AO481" s="3">
        <v>45531</v>
      </c>
      <c r="AP481" s="2">
        <v>5.41</v>
      </c>
      <c r="AQ481" s="3">
        <v>45531</v>
      </c>
      <c r="AR481" s="2">
        <v>4.9574999999999996</v>
      </c>
      <c r="AS481" s="3">
        <v>45531</v>
      </c>
      <c r="AT481" s="2">
        <v>4.5999999999999996</v>
      </c>
      <c r="AU481" s="3">
        <v>45531</v>
      </c>
      <c r="AV481" s="2">
        <v>4.3075000000000001</v>
      </c>
      <c r="AW481" s="3">
        <v>45531</v>
      </c>
      <c r="AX481" s="2">
        <v>4.0774999999999997</v>
      </c>
      <c r="AY481" s="3">
        <v>45531</v>
      </c>
      <c r="AZ481" s="2">
        <v>3.9375</v>
      </c>
      <c r="BB481" s="3">
        <v>45503</v>
      </c>
      <c r="BC481" s="1">
        <v>4.75</v>
      </c>
      <c r="BD481" s="3">
        <v>45504</v>
      </c>
      <c r="BE481" s="1">
        <v>4.5199999999999996</v>
      </c>
      <c r="BF481" s="3">
        <v>45531</v>
      </c>
      <c r="BG481" s="1">
        <v>4.1749999999999998</v>
      </c>
      <c r="BH481" s="3">
        <v>45531</v>
      </c>
      <c r="BI481" s="1">
        <v>4.0949999999999998</v>
      </c>
      <c r="BJ481" s="3">
        <v>45531</v>
      </c>
      <c r="BK481" s="1">
        <v>3.89</v>
      </c>
      <c r="BL481" s="3">
        <v>45531</v>
      </c>
      <c r="BM481" s="1">
        <v>3.57</v>
      </c>
      <c r="BN481" s="3">
        <v>45531</v>
      </c>
      <c r="BO481" s="1">
        <v>3.3</v>
      </c>
      <c r="BP481" s="3">
        <v>45531</v>
      </c>
      <c r="BQ481" s="1">
        <v>3.145</v>
      </c>
      <c r="BR481" s="3">
        <v>45531</v>
      </c>
      <c r="BS481" s="1">
        <v>3.1150000000000002</v>
      </c>
      <c r="BT481" s="3">
        <v>45531</v>
      </c>
      <c r="BU481" s="1">
        <v>3.105</v>
      </c>
      <c r="BV481" s="3">
        <v>45531</v>
      </c>
      <c r="BW481" s="1">
        <v>3.105</v>
      </c>
      <c r="BY481" s="3">
        <v>45509</v>
      </c>
      <c r="BZ481" s="1">
        <v>6.75</v>
      </c>
      <c r="CA481" s="3">
        <v>45495</v>
      </c>
      <c r="CB481" s="1">
        <v>6.79</v>
      </c>
      <c r="CC481" s="3">
        <v>45531</v>
      </c>
      <c r="CD481" s="1">
        <v>6.4217000000000004</v>
      </c>
      <c r="CE481" s="3">
        <v>45531</v>
      </c>
      <c r="CF481" s="1">
        <v>6.2847</v>
      </c>
      <c r="CG481" s="3">
        <v>45531</v>
      </c>
      <c r="CH481" s="1">
        <v>6.1733000000000002</v>
      </c>
      <c r="CI481" s="3">
        <v>45531</v>
      </c>
      <c r="CJ481" s="1">
        <v>5.78</v>
      </c>
      <c r="CK481" s="3">
        <v>45531</v>
      </c>
      <c r="CL481" s="1">
        <v>5.38</v>
      </c>
      <c r="CM481" s="3">
        <v>45531</v>
      </c>
      <c r="CN481" s="1">
        <v>5.17</v>
      </c>
      <c r="CO481" s="3">
        <v>45523</v>
      </c>
      <c r="CP481" s="1">
        <v>5.09</v>
      </c>
      <c r="CQ481" s="3">
        <v>45523</v>
      </c>
      <c r="CR481" s="1">
        <v>5.03</v>
      </c>
      <c r="CS481" s="3">
        <v>45523</v>
      </c>
      <c r="CT481" s="1">
        <v>5.03</v>
      </c>
    </row>
    <row r="482" spans="31:98" x14ac:dyDescent="0.2">
      <c r="AE482" s="3">
        <v>45520</v>
      </c>
      <c r="AF482" s="1">
        <v>5.75</v>
      </c>
      <c r="AG482" s="3">
        <v>45499</v>
      </c>
      <c r="AH482" s="1">
        <v>5.86</v>
      </c>
      <c r="AI482" s="3">
        <v>45530</v>
      </c>
      <c r="AJ482" s="2">
        <v>5.82</v>
      </c>
      <c r="AK482" s="3">
        <v>45530</v>
      </c>
      <c r="AL482" s="2">
        <v>5.78</v>
      </c>
      <c r="AM482" s="3">
        <v>45530</v>
      </c>
      <c r="AN482" s="2">
        <v>5.7</v>
      </c>
      <c r="AO482" s="3">
        <v>45530</v>
      </c>
      <c r="AP482" s="2">
        <v>5.36</v>
      </c>
      <c r="AQ482" s="3">
        <v>45530</v>
      </c>
      <c r="AR482" s="2">
        <v>4.8849999999999998</v>
      </c>
      <c r="AS482" s="3">
        <v>45530</v>
      </c>
      <c r="AT482" s="2">
        <v>4.5025000000000004</v>
      </c>
      <c r="AU482" s="3">
        <v>45530</v>
      </c>
      <c r="AV482" s="2">
        <v>4.2074999999999996</v>
      </c>
      <c r="AW482" s="3">
        <v>45530</v>
      </c>
      <c r="AX482" s="2">
        <v>3.9925000000000002</v>
      </c>
      <c r="AY482" s="3">
        <v>45530</v>
      </c>
      <c r="AZ482" s="2">
        <v>3.8624999999999998</v>
      </c>
      <c r="BB482" s="3">
        <v>45502</v>
      </c>
      <c r="BC482" s="1">
        <v>4.75</v>
      </c>
      <c r="BD482" s="3">
        <v>45503</v>
      </c>
      <c r="BE482" s="1">
        <v>4.53</v>
      </c>
      <c r="BF482" s="3">
        <v>45530</v>
      </c>
      <c r="BG482" s="1">
        <v>4.3250000000000002</v>
      </c>
      <c r="BH482" s="3">
        <v>45530</v>
      </c>
      <c r="BI482" s="1">
        <v>4.1029999999999998</v>
      </c>
      <c r="BJ482" s="3">
        <v>45530</v>
      </c>
      <c r="BK482" s="1">
        <v>3.895</v>
      </c>
      <c r="BL482" s="3">
        <v>45530</v>
      </c>
      <c r="BM482" s="1">
        <v>3.52</v>
      </c>
      <c r="BN482" s="3">
        <v>45530</v>
      </c>
      <c r="BO482" s="1">
        <v>3.2650000000000001</v>
      </c>
      <c r="BP482" s="3">
        <v>45530</v>
      </c>
      <c r="BQ482" s="1">
        <v>3.085</v>
      </c>
      <c r="BR482" s="3">
        <v>45530</v>
      </c>
      <c r="BS482" s="1">
        <v>3.0550000000000002</v>
      </c>
      <c r="BT482" s="3">
        <v>45530</v>
      </c>
      <c r="BU482" s="1">
        <v>3.0550000000000002</v>
      </c>
      <c r="BV482" s="3">
        <v>45530</v>
      </c>
      <c r="BW482" s="1">
        <v>3.0579999999999998</v>
      </c>
      <c r="BY482" s="3">
        <v>45506</v>
      </c>
      <c r="BZ482" s="1">
        <v>6.75</v>
      </c>
      <c r="CA482" s="3">
        <v>45492</v>
      </c>
      <c r="CB482" s="1">
        <v>6.8</v>
      </c>
      <c r="CC482" s="3">
        <v>45530</v>
      </c>
      <c r="CD482" s="1">
        <v>6.383</v>
      </c>
      <c r="CE482" s="3">
        <v>45530</v>
      </c>
      <c r="CF482" s="1">
        <v>6.2560000000000002</v>
      </c>
      <c r="CG482" s="3">
        <v>45530</v>
      </c>
      <c r="CH482" s="1">
        <v>6.17</v>
      </c>
      <c r="CI482" s="3">
        <v>45530</v>
      </c>
      <c r="CJ482" s="1">
        <v>5.77</v>
      </c>
      <c r="CK482" s="3">
        <v>45530</v>
      </c>
      <c r="CL482" s="1">
        <v>5.37</v>
      </c>
      <c r="CM482" s="3">
        <v>45530</v>
      </c>
      <c r="CN482" s="1">
        <v>5.09</v>
      </c>
      <c r="CO482" s="3">
        <v>45520</v>
      </c>
      <c r="CP482" s="1">
        <v>5.1574999999999998</v>
      </c>
      <c r="CQ482" s="3">
        <v>45520</v>
      </c>
      <c r="CR482" s="1">
        <v>5.0925000000000002</v>
      </c>
      <c r="CS482" s="3">
        <v>45520</v>
      </c>
      <c r="CT482" s="1">
        <v>5.0650000000000004</v>
      </c>
    </row>
    <row r="483" spans="31:98" x14ac:dyDescent="0.2">
      <c r="AE483" s="3">
        <v>45519</v>
      </c>
      <c r="AF483" s="1">
        <v>5.75</v>
      </c>
      <c r="AG483" s="3">
        <v>45498</v>
      </c>
      <c r="AH483" s="1">
        <v>5.86</v>
      </c>
      <c r="AI483" s="3">
        <v>45527</v>
      </c>
      <c r="AJ483" s="2">
        <v>5.82</v>
      </c>
      <c r="AK483" s="3">
        <v>45527</v>
      </c>
      <c r="AL483" s="2">
        <v>5.78</v>
      </c>
      <c r="AM483" s="3">
        <v>45527</v>
      </c>
      <c r="AN483" s="2">
        <v>5.7</v>
      </c>
      <c r="AO483" s="3">
        <v>45527</v>
      </c>
      <c r="AP483" s="2">
        <v>5.36</v>
      </c>
      <c r="AQ483" s="3">
        <v>45527</v>
      </c>
      <c r="AR483" s="2">
        <v>4.8849999999999998</v>
      </c>
      <c r="AS483" s="3">
        <v>45527</v>
      </c>
      <c r="AT483" s="2">
        <v>4.5025000000000004</v>
      </c>
      <c r="AU483" s="3">
        <v>45527</v>
      </c>
      <c r="AV483" s="2">
        <v>4.2074999999999996</v>
      </c>
      <c r="AW483" s="3">
        <v>45527</v>
      </c>
      <c r="AX483" s="2">
        <v>3.9925000000000002</v>
      </c>
      <c r="AY483" s="3">
        <v>45527</v>
      </c>
      <c r="AZ483" s="2">
        <v>3.8624999999999998</v>
      </c>
      <c r="BB483" s="3">
        <v>45499</v>
      </c>
      <c r="BC483" s="1">
        <v>4.75</v>
      </c>
      <c r="BD483" s="3">
        <v>45502</v>
      </c>
      <c r="BE483" s="1">
        <v>4.54</v>
      </c>
      <c r="BF483" s="3">
        <v>45527</v>
      </c>
      <c r="BG483" s="1">
        <v>4.3099999999999996</v>
      </c>
      <c r="BH483" s="3">
        <v>45527</v>
      </c>
      <c r="BI483" s="1">
        <v>4.1029999999999998</v>
      </c>
      <c r="BJ483" s="3">
        <v>45527</v>
      </c>
      <c r="BK483" s="1">
        <v>3.895</v>
      </c>
      <c r="BL483" s="3">
        <v>45527</v>
      </c>
      <c r="BM483" s="1">
        <v>3.52</v>
      </c>
      <c r="BN483" s="3">
        <v>45527</v>
      </c>
      <c r="BO483" s="1">
        <v>3.2650000000000001</v>
      </c>
      <c r="BP483" s="3">
        <v>45527</v>
      </c>
      <c r="BQ483" s="1">
        <v>3.085</v>
      </c>
      <c r="BR483" s="3">
        <v>45527</v>
      </c>
      <c r="BS483" s="1">
        <v>3.0550000000000002</v>
      </c>
      <c r="BT483" s="3">
        <v>45527</v>
      </c>
      <c r="BU483" s="1">
        <v>3.0550000000000002</v>
      </c>
      <c r="BV483" s="3">
        <v>45527</v>
      </c>
      <c r="BW483" s="1">
        <v>3.0579999999999998</v>
      </c>
      <c r="BY483" s="3">
        <v>45505</v>
      </c>
      <c r="BZ483" s="1">
        <v>6.75</v>
      </c>
      <c r="CA483" s="3">
        <v>45491</v>
      </c>
      <c r="CB483" s="1">
        <v>6.81</v>
      </c>
      <c r="CC483" s="3">
        <v>45527</v>
      </c>
      <c r="CD483" s="1">
        <v>6.383</v>
      </c>
      <c r="CE483" s="3">
        <v>45527</v>
      </c>
      <c r="CF483" s="1">
        <v>6.2560000000000002</v>
      </c>
      <c r="CG483" s="3">
        <v>45527</v>
      </c>
      <c r="CH483" s="1">
        <v>6.17</v>
      </c>
      <c r="CI483" s="3">
        <v>45527</v>
      </c>
      <c r="CJ483" s="1">
        <v>5.77</v>
      </c>
      <c r="CK483" s="3">
        <v>45527</v>
      </c>
      <c r="CL483" s="1">
        <v>5.37</v>
      </c>
      <c r="CM483" s="3">
        <v>45527</v>
      </c>
      <c r="CN483" s="1">
        <v>5.09</v>
      </c>
      <c r="CO483" s="3">
        <v>45519</v>
      </c>
      <c r="CP483" s="1">
        <v>4.9824999999999999</v>
      </c>
      <c r="CQ483" s="3">
        <v>45519</v>
      </c>
      <c r="CR483" s="1">
        <v>4.9175000000000004</v>
      </c>
      <c r="CS483" s="3">
        <v>45519</v>
      </c>
      <c r="CT483" s="1">
        <v>4.8899999999999997</v>
      </c>
    </row>
    <row r="484" spans="31:98" x14ac:dyDescent="0.2">
      <c r="AE484" s="3">
        <v>45518</v>
      </c>
      <c r="AF484" s="1">
        <v>5.75</v>
      </c>
      <c r="AG484" s="3">
        <v>45497</v>
      </c>
      <c r="AH484" s="1">
        <v>5.86</v>
      </c>
      <c r="AI484" s="3">
        <v>45526</v>
      </c>
      <c r="AJ484" s="2">
        <v>5.8205</v>
      </c>
      <c r="AK484" s="3">
        <v>45526</v>
      </c>
      <c r="AL484" s="2">
        <v>5.78</v>
      </c>
      <c r="AM484" s="3">
        <v>45526</v>
      </c>
      <c r="AN484" s="2">
        <v>5.7</v>
      </c>
      <c r="AO484" s="3">
        <v>45526</v>
      </c>
      <c r="AP484" s="2">
        <v>5.36</v>
      </c>
      <c r="AQ484" s="3">
        <v>45526</v>
      </c>
      <c r="AR484" s="2">
        <v>4.8949999999999996</v>
      </c>
      <c r="AS484" s="3">
        <v>45526</v>
      </c>
      <c r="AT484" s="2">
        <v>4.5049999999999999</v>
      </c>
      <c r="AU484" s="3">
        <v>45526</v>
      </c>
      <c r="AV484" s="2">
        <v>4.2149999999999999</v>
      </c>
      <c r="AW484" s="3">
        <v>45526</v>
      </c>
      <c r="AX484" s="2">
        <v>4.01</v>
      </c>
      <c r="AY484" s="3">
        <v>45526</v>
      </c>
      <c r="AZ484" s="2">
        <v>3.8650000000000002</v>
      </c>
      <c r="BB484" s="3">
        <v>45498</v>
      </c>
      <c r="BC484" s="1">
        <v>4.75</v>
      </c>
      <c r="BD484" s="3">
        <v>45499</v>
      </c>
      <c r="BE484" s="1">
        <v>4.5599999999999996</v>
      </c>
      <c r="BF484" s="3">
        <v>45526</v>
      </c>
      <c r="BG484" s="1">
        <v>4.3099999999999996</v>
      </c>
      <c r="BH484" s="3">
        <v>45526</v>
      </c>
      <c r="BI484" s="1">
        <v>4.0999999999999996</v>
      </c>
      <c r="BJ484" s="3">
        <v>45526</v>
      </c>
      <c r="BK484" s="1">
        <v>3.8849999999999998</v>
      </c>
      <c r="BL484" s="3">
        <v>45526</v>
      </c>
      <c r="BM484" s="1">
        <v>3.5</v>
      </c>
      <c r="BN484" s="3">
        <v>45526</v>
      </c>
      <c r="BO484" s="1">
        <v>3.2549999999999999</v>
      </c>
      <c r="BP484" s="3">
        <v>45526</v>
      </c>
      <c r="BQ484" s="1">
        <v>3.09</v>
      </c>
      <c r="BR484" s="3">
        <v>45526</v>
      </c>
      <c r="BS484" s="1">
        <v>3.0550000000000002</v>
      </c>
      <c r="BT484" s="3">
        <v>45526</v>
      </c>
      <c r="BU484" s="1">
        <v>3.0630000000000002</v>
      </c>
      <c r="BV484" s="3">
        <v>45526</v>
      </c>
      <c r="BW484" s="1">
        <v>3.0680000000000001</v>
      </c>
      <c r="BY484" s="3">
        <v>45503</v>
      </c>
      <c r="BZ484" s="1">
        <v>6.75</v>
      </c>
      <c r="CA484" s="3">
        <v>45490</v>
      </c>
      <c r="CB484" s="1">
        <v>6.81</v>
      </c>
      <c r="CC484" s="3">
        <v>45526</v>
      </c>
      <c r="CD484" s="1">
        <v>6.44</v>
      </c>
      <c r="CE484" s="3">
        <v>45526</v>
      </c>
      <c r="CF484" s="1">
        <v>6.27</v>
      </c>
      <c r="CG484" s="3">
        <v>45526</v>
      </c>
      <c r="CH484" s="1">
        <v>6.19</v>
      </c>
      <c r="CI484" s="3">
        <v>45526</v>
      </c>
      <c r="CJ484" s="1">
        <v>5.79</v>
      </c>
      <c r="CK484" s="3">
        <v>45526</v>
      </c>
      <c r="CL484" s="1">
        <v>5.39</v>
      </c>
      <c r="CM484" s="3">
        <v>45526</v>
      </c>
      <c r="CN484" s="1">
        <v>5.1275000000000004</v>
      </c>
      <c r="CO484" s="3">
        <v>45518</v>
      </c>
      <c r="CP484" s="1">
        <v>4.915</v>
      </c>
      <c r="CQ484" s="3">
        <v>45518</v>
      </c>
      <c r="CR484" s="1">
        <v>4.8449999999999998</v>
      </c>
      <c r="CS484" s="3">
        <v>45518</v>
      </c>
      <c r="CT484" s="1">
        <v>4.8150000000000004</v>
      </c>
    </row>
    <row r="485" spans="31:98" x14ac:dyDescent="0.2">
      <c r="AE485" s="3">
        <v>45517</v>
      </c>
      <c r="AF485" s="1">
        <v>5.75</v>
      </c>
      <c r="AG485" s="3">
        <v>45496</v>
      </c>
      <c r="AH485" s="1">
        <v>5.86</v>
      </c>
      <c r="AI485" s="3">
        <v>45525</v>
      </c>
      <c r="AJ485" s="2">
        <v>5.8212999999999999</v>
      </c>
      <c r="AK485" s="3">
        <v>45525</v>
      </c>
      <c r="AL485" s="2">
        <v>5.79</v>
      </c>
      <c r="AM485" s="3">
        <v>45525</v>
      </c>
      <c r="AN485" s="2">
        <v>5.6950000000000003</v>
      </c>
      <c r="AO485" s="3">
        <v>45525</v>
      </c>
      <c r="AP485" s="2">
        <v>5.33</v>
      </c>
      <c r="AQ485" s="3">
        <v>45525</v>
      </c>
      <c r="AR485" s="2">
        <v>4.8499999999999996</v>
      </c>
      <c r="AS485" s="3">
        <v>45525</v>
      </c>
      <c r="AT485" s="2">
        <v>4.4550000000000001</v>
      </c>
      <c r="AU485" s="3">
        <v>45525</v>
      </c>
      <c r="AV485" s="2">
        <v>4.165</v>
      </c>
      <c r="AW485" s="3">
        <v>45525</v>
      </c>
      <c r="AX485" s="2">
        <v>3.96</v>
      </c>
      <c r="AY485" s="3">
        <v>45525</v>
      </c>
      <c r="AZ485" s="2">
        <v>3.8325</v>
      </c>
      <c r="BB485" s="3">
        <v>45497</v>
      </c>
      <c r="BC485" s="1">
        <v>4.75</v>
      </c>
      <c r="BD485" s="3">
        <v>45498</v>
      </c>
      <c r="BE485" s="1">
        <v>4.5599999999999996</v>
      </c>
      <c r="BF485" s="3">
        <v>45525</v>
      </c>
      <c r="BG485" s="1">
        <v>4.3099999999999996</v>
      </c>
      <c r="BH485" s="3">
        <v>45525</v>
      </c>
      <c r="BI485" s="1">
        <v>4.09</v>
      </c>
      <c r="BJ485" s="3">
        <v>45525</v>
      </c>
      <c r="BK485" s="1">
        <v>3.88</v>
      </c>
      <c r="BL485" s="3">
        <v>45525</v>
      </c>
      <c r="BM485" s="1">
        <v>3.4849999999999999</v>
      </c>
      <c r="BN485" s="3">
        <v>45525</v>
      </c>
      <c r="BO485" s="1">
        <v>3.2229999999999999</v>
      </c>
      <c r="BP485" s="3">
        <v>45525</v>
      </c>
      <c r="BQ485" s="1">
        <v>3.05</v>
      </c>
      <c r="BR485" s="3">
        <v>45525</v>
      </c>
      <c r="BS485" s="1">
        <v>3.0129999999999999</v>
      </c>
      <c r="BT485" s="3">
        <v>45525</v>
      </c>
      <c r="BU485" s="1">
        <v>3.0179999999999998</v>
      </c>
      <c r="BV485" s="3">
        <v>45525</v>
      </c>
      <c r="BW485" s="1">
        <v>3.0249999999999999</v>
      </c>
      <c r="BY485" s="3">
        <v>45502</v>
      </c>
      <c r="BZ485" s="1">
        <v>6.75</v>
      </c>
      <c r="CA485" s="3">
        <v>45489</v>
      </c>
      <c r="CB485" s="1">
        <v>6.83</v>
      </c>
      <c r="CC485" s="3">
        <v>45525</v>
      </c>
      <c r="CD485" s="1">
        <v>6.46</v>
      </c>
      <c r="CE485" s="3">
        <v>45525</v>
      </c>
      <c r="CF485" s="1">
        <v>6.34</v>
      </c>
      <c r="CG485" s="3">
        <v>45525</v>
      </c>
      <c r="CH485" s="1">
        <v>6.23</v>
      </c>
      <c r="CI485" s="3">
        <v>45525</v>
      </c>
      <c r="CJ485" s="1">
        <v>5.83</v>
      </c>
      <c r="CK485" s="3">
        <v>45525</v>
      </c>
      <c r="CL485" s="1">
        <v>5.43</v>
      </c>
      <c r="CM485" s="3">
        <v>45525</v>
      </c>
      <c r="CN485" s="1">
        <v>5.1624999999999996</v>
      </c>
      <c r="CO485" s="3">
        <v>45517</v>
      </c>
      <c r="CP485" s="1">
        <v>4.9850000000000003</v>
      </c>
      <c r="CQ485" s="3">
        <v>45517</v>
      </c>
      <c r="CR485" s="1">
        <v>4.915</v>
      </c>
      <c r="CS485" s="3">
        <v>45517</v>
      </c>
      <c r="CT485" s="1">
        <v>4.8849999999999998</v>
      </c>
    </row>
    <row r="486" spans="31:98" x14ac:dyDescent="0.2">
      <c r="AE486" s="3">
        <v>45516</v>
      </c>
      <c r="AF486" s="1">
        <v>5.75</v>
      </c>
      <c r="AG486" s="3">
        <v>45495</v>
      </c>
      <c r="AH486" s="1">
        <v>5.86</v>
      </c>
      <c r="AI486" s="3">
        <v>45524</v>
      </c>
      <c r="AJ486" s="2">
        <v>5.8179999999999996</v>
      </c>
      <c r="AK486" s="3">
        <v>45524</v>
      </c>
      <c r="AL486" s="2">
        <v>5.758</v>
      </c>
      <c r="AM486" s="3">
        <v>45524</v>
      </c>
      <c r="AN486" s="2">
        <v>5.6725000000000003</v>
      </c>
      <c r="AO486" s="3">
        <v>45524</v>
      </c>
      <c r="AP486" s="2">
        <v>5.3</v>
      </c>
      <c r="AQ486" s="3">
        <v>45524</v>
      </c>
      <c r="AR486" s="2">
        <v>4.8499999999999996</v>
      </c>
      <c r="AS486" s="3">
        <v>45524</v>
      </c>
      <c r="AT486" s="2">
        <v>4.4749999999999996</v>
      </c>
      <c r="AU486" s="3">
        <v>45524</v>
      </c>
      <c r="AV486" s="2">
        <v>4.1849999999999996</v>
      </c>
      <c r="AW486" s="3">
        <v>45524</v>
      </c>
      <c r="AX486" s="2">
        <v>3.97</v>
      </c>
      <c r="AY486" s="3">
        <v>45524</v>
      </c>
      <c r="AZ486" s="2">
        <v>3.82</v>
      </c>
      <c r="BB486" s="3">
        <v>45496</v>
      </c>
      <c r="BC486" s="1">
        <v>4.75</v>
      </c>
      <c r="BD486" s="3">
        <v>45497</v>
      </c>
      <c r="BE486" s="1">
        <v>4.57</v>
      </c>
      <c r="BF486" s="3">
        <v>45524</v>
      </c>
      <c r="BG486" s="1">
        <v>4.3099999999999996</v>
      </c>
      <c r="BH486" s="3">
        <v>45524</v>
      </c>
      <c r="BI486" s="1">
        <v>4.09</v>
      </c>
      <c r="BJ486" s="3">
        <v>45524</v>
      </c>
      <c r="BK486" s="1">
        <v>3.875</v>
      </c>
      <c r="BL486" s="3">
        <v>45524</v>
      </c>
      <c r="BM486" s="1">
        <v>3.4849999999999999</v>
      </c>
      <c r="BN486" s="3">
        <v>45524</v>
      </c>
      <c r="BO486" s="1">
        <v>3.22</v>
      </c>
      <c r="BP486" s="3">
        <v>45524</v>
      </c>
      <c r="BQ486" s="1">
        <v>3.04</v>
      </c>
      <c r="BR486" s="3">
        <v>45524</v>
      </c>
      <c r="BS486" s="1">
        <v>3</v>
      </c>
      <c r="BT486" s="3">
        <v>45524</v>
      </c>
      <c r="BU486" s="1">
        <v>3</v>
      </c>
      <c r="BV486" s="3">
        <v>45524</v>
      </c>
      <c r="BW486" s="1">
        <v>3.01</v>
      </c>
      <c r="BY486" s="3">
        <v>45499</v>
      </c>
      <c r="BZ486" s="1">
        <v>6.75</v>
      </c>
      <c r="CA486" s="3">
        <v>45488</v>
      </c>
      <c r="CB486" s="1">
        <v>6.84</v>
      </c>
      <c r="CC486" s="3">
        <v>45524</v>
      </c>
      <c r="CD486" s="1">
        <v>6.5170000000000003</v>
      </c>
      <c r="CE486" s="3">
        <v>45524</v>
      </c>
      <c r="CF486" s="1">
        <v>6.4089999999999998</v>
      </c>
      <c r="CG486" s="3">
        <v>45524</v>
      </c>
      <c r="CH486" s="1">
        <v>6.28</v>
      </c>
      <c r="CI486" s="3">
        <v>45524</v>
      </c>
      <c r="CJ486" s="1">
        <v>5.88</v>
      </c>
      <c r="CK486" s="3">
        <v>45524</v>
      </c>
      <c r="CL486" s="1">
        <v>5.48</v>
      </c>
      <c r="CM486" s="3">
        <v>45524</v>
      </c>
      <c r="CN486" s="1">
        <v>5.23</v>
      </c>
      <c r="CO486" s="3">
        <v>45516</v>
      </c>
      <c r="CP486" s="1">
        <v>5.07</v>
      </c>
      <c r="CQ486" s="3">
        <v>45516</v>
      </c>
      <c r="CR486" s="1">
        <v>5</v>
      </c>
      <c r="CS486" s="3">
        <v>45516</v>
      </c>
      <c r="CT486" s="1">
        <v>4.97</v>
      </c>
    </row>
    <row r="487" spans="31:98" x14ac:dyDescent="0.2">
      <c r="AE487" s="3">
        <v>45513</v>
      </c>
      <c r="AF487" s="1">
        <v>5.75</v>
      </c>
      <c r="AG487" s="3">
        <v>45492</v>
      </c>
      <c r="AH487" s="1">
        <v>5.86</v>
      </c>
      <c r="AI487" s="3">
        <v>45523</v>
      </c>
      <c r="AJ487" s="2">
        <v>5.8345000000000002</v>
      </c>
      <c r="AK487" s="3">
        <v>45523</v>
      </c>
      <c r="AL487" s="2">
        <v>5.81</v>
      </c>
      <c r="AM487" s="3">
        <v>45523</v>
      </c>
      <c r="AN487" s="2">
        <v>5.7649999999999997</v>
      </c>
      <c r="AO487" s="3">
        <v>45523</v>
      </c>
      <c r="AP487" s="2">
        <v>5.47</v>
      </c>
      <c r="AQ487" s="3">
        <v>45523</v>
      </c>
      <c r="AR487" s="2">
        <v>5.0650000000000004</v>
      </c>
      <c r="AS487" s="3">
        <v>45523</v>
      </c>
      <c r="AT487" s="2">
        <v>4.665</v>
      </c>
      <c r="AU487" s="3">
        <v>45523</v>
      </c>
      <c r="AV487" s="2">
        <v>4.3600000000000003</v>
      </c>
      <c r="AW487" s="3">
        <v>45523</v>
      </c>
      <c r="AX487" s="2">
        <v>4.13</v>
      </c>
      <c r="AY487" s="3">
        <v>45523</v>
      </c>
      <c r="AZ487" s="2">
        <v>3.97</v>
      </c>
      <c r="BB487" s="3">
        <v>45495</v>
      </c>
      <c r="BC487" s="1">
        <v>4.75</v>
      </c>
      <c r="BD487" s="3">
        <v>45496</v>
      </c>
      <c r="BE487" s="1">
        <v>4.57</v>
      </c>
      <c r="BF487" s="3">
        <v>45523</v>
      </c>
      <c r="BG487" s="1">
        <v>4.3250000000000002</v>
      </c>
      <c r="BH487" s="3">
        <v>45523</v>
      </c>
      <c r="BI487" s="1">
        <v>4.1029999999999998</v>
      </c>
      <c r="BJ487" s="3">
        <v>45523</v>
      </c>
      <c r="BK487" s="1">
        <v>3.88</v>
      </c>
      <c r="BL487" s="3">
        <v>45523</v>
      </c>
      <c r="BM487" s="1">
        <v>3.4950000000000001</v>
      </c>
      <c r="BN487" s="3">
        <v>45523</v>
      </c>
      <c r="BO487" s="1">
        <v>3.2450000000000001</v>
      </c>
      <c r="BP487" s="3">
        <v>45523</v>
      </c>
      <c r="BQ487" s="1">
        <v>3.1</v>
      </c>
      <c r="BR487" s="3">
        <v>45523</v>
      </c>
      <c r="BS487" s="1">
        <v>3.0649999999999999</v>
      </c>
      <c r="BT487" s="3">
        <v>45523</v>
      </c>
      <c r="BU487" s="1">
        <v>3.0649999999999999</v>
      </c>
      <c r="BV487" s="3">
        <v>45523</v>
      </c>
      <c r="BW487" s="1">
        <v>3.0680000000000001</v>
      </c>
      <c r="BY487" s="3">
        <v>45498</v>
      </c>
      <c r="BZ487" s="1">
        <v>6.75</v>
      </c>
      <c r="CA487" s="3">
        <v>45485</v>
      </c>
      <c r="CB487" s="1">
        <v>6.84</v>
      </c>
      <c r="CC487" s="3">
        <v>45523</v>
      </c>
      <c r="CD487" s="1">
        <v>6.5170000000000003</v>
      </c>
      <c r="CE487" s="3">
        <v>45523</v>
      </c>
      <c r="CF487" s="1">
        <v>6.4089999999999998</v>
      </c>
      <c r="CG487" s="3">
        <v>45523</v>
      </c>
      <c r="CH487" s="1">
        <v>6.28</v>
      </c>
      <c r="CI487" s="3">
        <v>45523</v>
      </c>
      <c r="CJ487" s="1">
        <v>5.88</v>
      </c>
      <c r="CK487" s="3">
        <v>45523</v>
      </c>
      <c r="CL487" s="1">
        <v>5.48</v>
      </c>
      <c r="CM487" s="3">
        <v>45523</v>
      </c>
      <c r="CN487" s="1">
        <v>5.2324999999999999</v>
      </c>
      <c r="CO487" s="3">
        <v>45513</v>
      </c>
      <c r="CP487" s="1">
        <v>5.0250000000000004</v>
      </c>
      <c r="CQ487" s="3">
        <v>45513</v>
      </c>
      <c r="CR487" s="1">
        <v>4.9524999999999997</v>
      </c>
      <c r="CS487" s="3">
        <v>45513</v>
      </c>
      <c r="CT487" s="1">
        <v>4.96</v>
      </c>
    </row>
    <row r="488" spans="31:98" x14ac:dyDescent="0.2">
      <c r="AE488" s="3">
        <v>45512</v>
      </c>
      <c r="AF488" s="1">
        <v>5.75</v>
      </c>
      <c r="AG488" s="3">
        <v>45491</v>
      </c>
      <c r="AH488" s="1">
        <v>5.86</v>
      </c>
      <c r="AI488" s="3">
        <v>45520</v>
      </c>
      <c r="AJ488" s="2">
        <v>5.8375000000000004</v>
      </c>
      <c r="AK488" s="3">
        <v>45520</v>
      </c>
      <c r="AL488" s="2">
        <v>5.8</v>
      </c>
      <c r="AM488" s="3">
        <v>45520</v>
      </c>
      <c r="AN488" s="2">
        <v>5.7450000000000001</v>
      </c>
      <c r="AO488" s="3">
        <v>45520</v>
      </c>
      <c r="AP488" s="2">
        <v>5.45</v>
      </c>
      <c r="AQ488" s="3">
        <v>45520</v>
      </c>
      <c r="AR488" s="2">
        <v>5.0250000000000004</v>
      </c>
      <c r="AS488" s="3">
        <v>45520</v>
      </c>
      <c r="AT488" s="2">
        <v>4.6050000000000004</v>
      </c>
      <c r="AU488" s="3">
        <v>45520</v>
      </c>
      <c r="AV488" s="2">
        <v>4.2949999999999999</v>
      </c>
      <c r="AW488" s="3">
        <v>45520</v>
      </c>
      <c r="AX488" s="2">
        <v>4.0650000000000004</v>
      </c>
      <c r="AY488" s="3">
        <v>45520</v>
      </c>
      <c r="AZ488" s="2">
        <v>3.9049999999999998</v>
      </c>
      <c r="BB488" s="3">
        <v>45492</v>
      </c>
      <c r="BC488" s="1">
        <v>4.75</v>
      </c>
      <c r="BD488" s="3">
        <v>45495</v>
      </c>
      <c r="BE488" s="1">
        <v>4.58</v>
      </c>
      <c r="BF488" s="3">
        <v>45520</v>
      </c>
      <c r="BG488" s="1">
        <v>4.3250000000000002</v>
      </c>
      <c r="BH488" s="3">
        <v>45520</v>
      </c>
      <c r="BI488" s="1">
        <v>4.1130000000000004</v>
      </c>
      <c r="BJ488" s="3">
        <v>45520</v>
      </c>
      <c r="BK488" s="1">
        <v>3.895</v>
      </c>
      <c r="BL488" s="3">
        <v>45520</v>
      </c>
      <c r="BM488" s="1">
        <v>3.52</v>
      </c>
      <c r="BN488" s="3">
        <v>45520</v>
      </c>
      <c r="BO488" s="1">
        <v>3.27</v>
      </c>
      <c r="BP488" s="3">
        <v>45520</v>
      </c>
      <c r="BQ488" s="1">
        <v>3.13</v>
      </c>
      <c r="BR488" s="3">
        <v>45520</v>
      </c>
      <c r="BS488" s="1">
        <v>3.09</v>
      </c>
      <c r="BT488" s="3">
        <v>45520</v>
      </c>
      <c r="BU488" s="1">
        <v>3.0950000000000002</v>
      </c>
      <c r="BV488" s="3">
        <v>45520</v>
      </c>
      <c r="BW488" s="1">
        <v>3.1</v>
      </c>
      <c r="BY488" s="3">
        <v>45497</v>
      </c>
      <c r="BZ488" s="1">
        <v>6.75</v>
      </c>
      <c r="CA488" s="3">
        <v>45484</v>
      </c>
      <c r="CB488" s="1">
        <v>6.85</v>
      </c>
      <c r="CC488" s="3">
        <v>45520</v>
      </c>
      <c r="CD488" s="1">
        <v>6.5170000000000003</v>
      </c>
      <c r="CE488" s="3">
        <v>45520</v>
      </c>
      <c r="CF488" s="1">
        <v>6.4089999999999998</v>
      </c>
      <c r="CG488" s="3">
        <v>45520</v>
      </c>
      <c r="CH488" s="1">
        <v>6.28</v>
      </c>
      <c r="CI488" s="3">
        <v>45520</v>
      </c>
      <c r="CJ488" s="1">
        <v>5.88</v>
      </c>
      <c r="CK488" s="3">
        <v>45520</v>
      </c>
      <c r="CL488" s="1">
        <v>5.48</v>
      </c>
      <c r="CM488" s="3">
        <v>45520</v>
      </c>
      <c r="CN488" s="1">
        <v>5.2324999999999999</v>
      </c>
      <c r="CO488" s="3">
        <v>45512</v>
      </c>
      <c r="CP488" s="1">
        <v>4.8899999999999997</v>
      </c>
      <c r="CQ488" s="3">
        <v>45512</v>
      </c>
      <c r="CR488" s="1">
        <v>4.8250000000000002</v>
      </c>
      <c r="CS488" s="3">
        <v>45512</v>
      </c>
      <c r="CT488" s="1">
        <v>4.835</v>
      </c>
    </row>
    <row r="489" spans="31:98" x14ac:dyDescent="0.2">
      <c r="AE489" s="3">
        <v>45511</v>
      </c>
      <c r="AF489" s="1">
        <v>5.75</v>
      </c>
      <c r="AG489" s="3">
        <v>45490</v>
      </c>
      <c r="AH489" s="1">
        <v>5.87</v>
      </c>
      <c r="AI489" s="3">
        <v>45519</v>
      </c>
      <c r="AJ489" s="2">
        <v>5.8285</v>
      </c>
      <c r="AK489" s="3">
        <v>45519</v>
      </c>
      <c r="AL489" s="2">
        <v>5.77</v>
      </c>
      <c r="AM489" s="3">
        <v>45519</v>
      </c>
      <c r="AN489" s="2">
        <v>5.7</v>
      </c>
      <c r="AO489" s="3">
        <v>45519</v>
      </c>
      <c r="AP489" s="2">
        <v>5.36</v>
      </c>
      <c r="AQ489" s="3">
        <v>45519</v>
      </c>
      <c r="AR489" s="2">
        <v>4.8949999999999996</v>
      </c>
      <c r="AS489" s="3">
        <v>45519</v>
      </c>
      <c r="AT489" s="2">
        <v>4.4400000000000004</v>
      </c>
      <c r="AU489" s="3">
        <v>45519</v>
      </c>
      <c r="AV489" s="2">
        <v>4.1100000000000003</v>
      </c>
      <c r="AW489" s="3">
        <v>45519</v>
      </c>
      <c r="AX489" s="2">
        <v>3.8849999999999998</v>
      </c>
      <c r="AY489" s="3">
        <v>45519</v>
      </c>
      <c r="AZ489" s="2">
        <v>3.7250000000000001</v>
      </c>
      <c r="BB489" s="3">
        <v>45491</v>
      </c>
      <c r="BC489" s="1">
        <v>4.75</v>
      </c>
      <c r="BD489" s="3">
        <v>45492</v>
      </c>
      <c r="BE489" s="1">
        <v>4.59</v>
      </c>
      <c r="BF489" s="3">
        <v>45519</v>
      </c>
      <c r="BG489" s="1">
        <v>4.3250000000000002</v>
      </c>
      <c r="BH489" s="3">
        <v>45519</v>
      </c>
      <c r="BI489" s="1">
        <v>4.1079999999999997</v>
      </c>
      <c r="BJ489" s="3">
        <v>45519</v>
      </c>
      <c r="BK489" s="1">
        <v>3.88</v>
      </c>
      <c r="BL489" s="3">
        <v>45519</v>
      </c>
      <c r="BM489" s="1">
        <v>3.47</v>
      </c>
      <c r="BN489" s="3">
        <v>45519</v>
      </c>
      <c r="BO489" s="1">
        <v>3.2250000000000001</v>
      </c>
      <c r="BP489" s="3">
        <v>45519</v>
      </c>
      <c r="BQ489" s="1">
        <v>3.093</v>
      </c>
      <c r="BR489" s="3">
        <v>45519</v>
      </c>
      <c r="BS489" s="1">
        <v>3.0529999999999999</v>
      </c>
      <c r="BT489" s="3">
        <v>45519</v>
      </c>
      <c r="BU489" s="1">
        <v>3.0630000000000002</v>
      </c>
      <c r="BV489" s="3">
        <v>45519</v>
      </c>
      <c r="BW489" s="1">
        <v>3.073</v>
      </c>
      <c r="BY489" s="3">
        <v>45496</v>
      </c>
      <c r="BZ489" s="1">
        <v>7</v>
      </c>
      <c r="CA489" s="3">
        <v>45483</v>
      </c>
      <c r="CB489" s="1">
        <v>6.85</v>
      </c>
      <c r="CC489" s="3">
        <v>45519</v>
      </c>
      <c r="CD489" s="1">
        <v>6.49</v>
      </c>
      <c r="CE489" s="3">
        <v>45519</v>
      </c>
      <c r="CF489" s="1">
        <v>6.3650000000000002</v>
      </c>
      <c r="CG489" s="3">
        <v>45519</v>
      </c>
      <c r="CH489" s="1">
        <v>6.24</v>
      </c>
      <c r="CI489" s="3">
        <v>45519</v>
      </c>
      <c r="CJ489" s="1">
        <v>5.75</v>
      </c>
      <c r="CK489" s="3">
        <v>45519</v>
      </c>
      <c r="CL489" s="1">
        <v>5.35</v>
      </c>
      <c r="CM489" s="3">
        <v>45519</v>
      </c>
      <c r="CN489" s="1">
        <v>5.0575000000000001</v>
      </c>
      <c r="CO489" s="3">
        <v>45511</v>
      </c>
      <c r="CP489" s="1">
        <v>4.78</v>
      </c>
      <c r="CQ489" s="3">
        <v>45511</v>
      </c>
      <c r="CR489" s="1">
        <v>4.7149999999999999</v>
      </c>
      <c r="CS489" s="3">
        <v>45511</v>
      </c>
      <c r="CT489" s="1">
        <v>4.7249999999999996</v>
      </c>
    </row>
    <row r="490" spans="31:98" x14ac:dyDescent="0.2">
      <c r="AE490" s="3">
        <v>45510</v>
      </c>
      <c r="AF490" s="1">
        <v>5.75</v>
      </c>
      <c r="AG490" s="3">
        <v>45489</v>
      </c>
      <c r="AH490" s="1">
        <v>5.86</v>
      </c>
      <c r="AI490" s="3">
        <v>45518</v>
      </c>
      <c r="AJ490" s="2">
        <v>5.8285</v>
      </c>
      <c r="AK490" s="3">
        <v>45518</v>
      </c>
      <c r="AL490" s="2">
        <v>5.77</v>
      </c>
      <c r="AM490" s="3">
        <v>45518</v>
      </c>
      <c r="AN490" s="2">
        <v>5.7</v>
      </c>
      <c r="AO490" s="3">
        <v>45518</v>
      </c>
      <c r="AP490" s="2">
        <v>5.36</v>
      </c>
      <c r="AQ490" s="3">
        <v>45518</v>
      </c>
      <c r="AR490" s="2">
        <v>4.8949999999999996</v>
      </c>
      <c r="AS490" s="3">
        <v>45518</v>
      </c>
      <c r="AT490" s="2">
        <v>4.4400000000000004</v>
      </c>
      <c r="AU490" s="3">
        <v>45518</v>
      </c>
      <c r="AV490" s="2">
        <v>4.1100000000000003</v>
      </c>
      <c r="AW490" s="3">
        <v>45518</v>
      </c>
      <c r="AX490" s="2">
        <v>3.8849999999999998</v>
      </c>
      <c r="AY490" s="3">
        <v>45518</v>
      </c>
      <c r="AZ490" s="2">
        <v>3.7250000000000001</v>
      </c>
      <c r="BB490" s="3">
        <v>45490</v>
      </c>
      <c r="BC490" s="1">
        <v>4.75</v>
      </c>
      <c r="BD490" s="3">
        <v>45491</v>
      </c>
      <c r="BE490" s="1">
        <v>4.5999999999999996</v>
      </c>
      <c r="BF490" s="3">
        <v>45518</v>
      </c>
      <c r="BG490" s="1">
        <v>4.33</v>
      </c>
      <c r="BH490" s="3">
        <v>45518</v>
      </c>
      <c r="BI490" s="1">
        <v>4.09</v>
      </c>
      <c r="BJ490" s="3">
        <v>45518</v>
      </c>
      <c r="BK490" s="1">
        <v>3.85</v>
      </c>
      <c r="BL490" s="3">
        <v>45518</v>
      </c>
      <c r="BM490" s="1">
        <v>3.42</v>
      </c>
      <c r="BN490" s="3">
        <v>45518</v>
      </c>
      <c r="BO490" s="1">
        <v>3.16</v>
      </c>
      <c r="BP490" s="3">
        <v>45518</v>
      </c>
      <c r="BQ490" s="1">
        <v>3.0049999999999999</v>
      </c>
      <c r="BR490" s="3">
        <v>45518</v>
      </c>
      <c r="BS490" s="1">
        <v>2.96</v>
      </c>
      <c r="BT490" s="3">
        <v>45518</v>
      </c>
      <c r="BU490" s="1">
        <v>2.96</v>
      </c>
      <c r="BV490" s="3">
        <v>45518</v>
      </c>
      <c r="BW490" s="1">
        <v>2.97</v>
      </c>
      <c r="BY490" s="3">
        <v>45495</v>
      </c>
      <c r="BZ490" s="1">
        <v>7</v>
      </c>
      <c r="CA490" s="3">
        <v>45482</v>
      </c>
      <c r="CB490" s="1">
        <v>6.86</v>
      </c>
      <c r="CC490" s="3">
        <v>45518</v>
      </c>
      <c r="CD490" s="1">
        <v>6.5</v>
      </c>
      <c r="CE490" s="3">
        <v>45518</v>
      </c>
      <c r="CF490" s="1">
        <v>6.35</v>
      </c>
      <c r="CG490" s="3">
        <v>45518</v>
      </c>
      <c r="CH490" s="1">
        <v>6.22</v>
      </c>
      <c r="CI490" s="3">
        <v>45518</v>
      </c>
      <c r="CJ490" s="1">
        <v>5.7</v>
      </c>
      <c r="CK490" s="3">
        <v>45518</v>
      </c>
      <c r="CL490" s="1">
        <v>5.3</v>
      </c>
      <c r="CM490" s="3">
        <v>45518</v>
      </c>
      <c r="CN490" s="1">
        <v>4.9950000000000001</v>
      </c>
      <c r="CO490" s="3">
        <v>45510</v>
      </c>
      <c r="CP490" s="1">
        <v>4.6749999999999998</v>
      </c>
      <c r="CQ490" s="3">
        <v>45510</v>
      </c>
      <c r="CR490" s="1">
        <v>4.6100000000000003</v>
      </c>
      <c r="CS490" s="3">
        <v>45510</v>
      </c>
      <c r="CT490" s="1">
        <v>4.62</v>
      </c>
    </row>
    <row r="491" spans="31:98" x14ac:dyDescent="0.2">
      <c r="AE491" s="3">
        <v>45509</v>
      </c>
      <c r="AF491" s="1">
        <v>5.75</v>
      </c>
      <c r="AG491" s="3">
        <v>45488</v>
      </c>
      <c r="AH491" s="1">
        <v>5.86</v>
      </c>
      <c r="AI491" s="3">
        <v>45517</v>
      </c>
      <c r="AJ491" s="2">
        <v>5.8259999999999996</v>
      </c>
      <c r="AK491" s="3">
        <v>45517</v>
      </c>
      <c r="AL491" s="2">
        <v>5.7649999999999997</v>
      </c>
      <c r="AM491" s="3">
        <v>45517</v>
      </c>
      <c r="AN491" s="2">
        <v>5.6825000000000001</v>
      </c>
      <c r="AO491" s="3">
        <v>45517</v>
      </c>
      <c r="AP491" s="2">
        <v>5.3049999999999997</v>
      </c>
      <c r="AQ491" s="3">
        <v>45517</v>
      </c>
      <c r="AR491" s="2">
        <v>4.84</v>
      </c>
      <c r="AS491" s="3">
        <v>45517</v>
      </c>
      <c r="AT491" s="2">
        <v>4.3899999999999997</v>
      </c>
      <c r="AU491" s="3">
        <v>45517</v>
      </c>
      <c r="AV491" s="2">
        <v>4.0525000000000002</v>
      </c>
      <c r="AW491" s="3">
        <v>45517</v>
      </c>
      <c r="AX491" s="2">
        <v>3.8250000000000002</v>
      </c>
      <c r="AY491" s="3">
        <v>45517</v>
      </c>
      <c r="AZ491" s="2">
        <v>3.6749999999999998</v>
      </c>
      <c r="BB491" s="3">
        <v>45489</v>
      </c>
      <c r="BC491" s="1">
        <v>4.75</v>
      </c>
      <c r="BD491" s="3">
        <v>45490</v>
      </c>
      <c r="BE491" s="1">
        <v>4.5999999999999996</v>
      </c>
      <c r="BF491" s="3">
        <v>45517</v>
      </c>
      <c r="BG491" s="1">
        <v>4.335</v>
      </c>
      <c r="BH491" s="3">
        <v>45517</v>
      </c>
      <c r="BI491" s="1">
        <v>4.085</v>
      </c>
      <c r="BJ491" s="3">
        <v>45517</v>
      </c>
      <c r="BK491" s="1">
        <v>3.87</v>
      </c>
      <c r="BL491" s="3">
        <v>45517</v>
      </c>
      <c r="BM491" s="1">
        <v>3.47</v>
      </c>
      <c r="BN491" s="3">
        <v>45517</v>
      </c>
      <c r="BO491" s="1">
        <v>3.2250000000000001</v>
      </c>
      <c r="BP491" s="3">
        <v>45517</v>
      </c>
      <c r="BQ491" s="1">
        <v>3.0649999999999999</v>
      </c>
      <c r="BR491" s="3">
        <v>45517</v>
      </c>
      <c r="BS491" s="1">
        <v>3.0230000000000001</v>
      </c>
      <c r="BT491" s="3">
        <v>45517</v>
      </c>
      <c r="BU491" s="1">
        <v>3.0249999999999999</v>
      </c>
      <c r="BV491" s="3">
        <v>45517</v>
      </c>
      <c r="BW491" s="1">
        <v>3.0350000000000001</v>
      </c>
      <c r="BY491" s="3">
        <v>45492</v>
      </c>
      <c r="BZ491" s="1">
        <v>7</v>
      </c>
      <c r="CA491" s="3">
        <v>45481</v>
      </c>
      <c r="CB491" s="1">
        <v>6.87</v>
      </c>
      <c r="CC491" s="3">
        <v>45517</v>
      </c>
      <c r="CD491" s="1">
        <v>6.5129999999999999</v>
      </c>
      <c r="CE491" s="3">
        <v>45517</v>
      </c>
      <c r="CF491" s="1">
        <v>6.3869999999999996</v>
      </c>
      <c r="CG491" s="3">
        <v>45517</v>
      </c>
      <c r="CH491" s="1">
        <v>6.26</v>
      </c>
      <c r="CI491" s="3">
        <v>45517</v>
      </c>
      <c r="CJ491" s="1">
        <v>5.76</v>
      </c>
      <c r="CK491" s="3">
        <v>45517</v>
      </c>
      <c r="CL491" s="1">
        <v>5.36</v>
      </c>
      <c r="CM491" s="3">
        <v>45517</v>
      </c>
      <c r="CN491" s="1">
        <v>5.0650000000000004</v>
      </c>
      <c r="CO491" s="3">
        <v>45509</v>
      </c>
      <c r="CP491" s="1">
        <v>4.6375000000000002</v>
      </c>
      <c r="CQ491" s="3">
        <v>45509</v>
      </c>
      <c r="CR491" s="1">
        <v>4.5625</v>
      </c>
      <c r="CS491" s="3">
        <v>45509</v>
      </c>
      <c r="CT491" s="1">
        <v>4.5625</v>
      </c>
    </row>
    <row r="492" spans="31:98" x14ac:dyDescent="0.2">
      <c r="AE492" s="3">
        <v>45506</v>
      </c>
      <c r="AF492" s="1">
        <v>5.75</v>
      </c>
      <c r="AG492" s="3">
        <v>45485</v>
      </c>
      <c r="AH492" s="1">
        <v>5.86</v>
      </c>
      <c r="AI492" s="3">
        <v>45516</v>
      </c>
      <c r="AJ492" s="2">
        <v>5.8174999999999999</v>
      </c>
      <c r="AK492" s="3">
        <v>45516</v>
      </c>
      <c r="AL492" s="2">
        <v>5.7649999999999997</v>
      </c>
      <c r="AM492" s="3">
        <v>45516</v>
      </c>
      <c r="AN492" s="2">
        <v>5.69</v>
      </c>
      <c r="AO492" s="3">
        <v>45516</v>
      </c>
      <c r="AP492" s="2">
        <v>5.37</v>
      </c>
      <c r="AQ492" s="3">
        <v>45516</v>
      </c>
      <c r="AR492" s="2">
        <v>4.93</v>
      </c>
      <c r="AS492" s="3">
        <v>45516</v>
      </c>
      <c r="AT492" s="2">
        <v>4.5149999999999997</v>
      </c>
      <c r="AU492" s="3">
        <v>45516</v>
      </c>
      <c r="AV492" s="2">
        <v>4.1950000000000003</v>
      </c>
      <c r="AW492" s="3">
        <v>45516</v>
      </c>
      <c r="AX492" s="2">
        <v>3.9750000000000001</v>
      </c>
      <c r="AY492" s="3">
        <v>45516</v>
      </c>
      <c r="AZ492" s="2">
        <v>3.8250000000000002</v>
      </c>
      <c r="BB492" s="3">
        <v>45488</v>
      </c>
      <c r="BC492" s="1">
        <v>4.75</v>
      </c>
      <c r="BD492" s="3">
        <v>45489</v>
      </c>
      <c r="BE492" s="1">
        <v>4.5999999999999996</v>
      </c>
      <c r="BF492" s="3">
        <v>45516</v>
      </c>
      <c r="BG492" s="1">
        <v>4.3550000000000004</v>
      </c>
      <c r="BH492" s="3">
        <v>45516</v>
      </c>
      <c r="BI492" s="1">
        <v>4.1100000000000003</v>
      </c>
      <c r="BJ492" s="3">
        <v>45516</v>
      </c>
      <c r="BK492" s="1">
        <v>3.895</v>
      </c>
      <c r="BL492" s="3">
        <v>45516</v>
      </c>
      <c r="BM492" s="1">
        <v>3.528</v>
      </c>
      <c r="BN492" s="3">
        <v>45516</v>
      </c>
      <c r="BO492" s="1">
        <v>3.2749999999999999</v>
      </c>
      <c r="BP492" s="3">
        <v>45516</v>
      </c>
      <c r="BQ492" s="1">
        <v>3.125</v>
      </c>
      <c r="BR492" s="3">
        <v>45516</v>
      </c>
      <c r="BS492" s="1">
        <v>3.0830000000000002</v>
      </c>
      <c r="BT492" s="3">
        <v>45516</v>
      </c>
      <c r="BU492" s="1">
        <v>3.0830000000000002</v>
      </c>
      <c r="BV492" s="3">
        <v>45516</v>
      </c>
      <c r="BW492" s="1">
        <v>3.0880000000000001</v>
      </c>
      <c r="BY492" s="3">
        <v>45491</v>
      </c>
      <c r="BZ492" s="1">
        <v>7</v>
      </c>
      <c r="CA492" s="3">
        <v>45478</v>
      </c>
      <c r="CB492" s="1">
        <v>6.88</v>
      </c>
      <c r="CC492" s="3">
        <v>45516</v>
      </c>
      <c r="CD492" s="1">
        <v>6.5119999999999996</v>
      </c>
      <c r="CE492" s="3">
        <v>45516</v>
      </c>
      <c r="CF492" s="1">
        <v>6.3840000000000003</v>
      </c>
      <c r="CG492" s="3">
        <v>45516</v>
      </c>
      <c r="CH492" s="1">
        <v>6.27</v>
      </c>
      <c r="CI492" s="3">
        <v>45516</v>
      </c>
      <c r="CJ492" s="1">
        <v>5.81</v>
      </c>
      <c r="CK492" s="3">
        <v>45516</v>
      </c>
      <c r="CL492" s="1">
        <v>5.42</v>
      </c>
      <c r="CM492" s="3">
        <v>45516</v>
      </c>
      <c r="CN492" s="1">
        <v>5.15</v>
      </c>
      <c r="CO492" s="3">
        <v>45506</v>
      </c>
      <c r="CP492" s="1">
        <v>4.7074999999999996</v>
      </c>
      <c r="CQ492" s="3">
        <v>45506</v>
      </c>
      <c r="CR492" s="1">
        <v>4.6325000000000003</v>
      </c>
      <c r="CS492" s="3">
        <v>45506</v>
      </c>
      <c r="CT492" s="1">
        <v>4.6325000000000003</v>
      </c>
    </row>
    <row r="493" spans="31:98" x14ac:dyDescent="0.2">
      <c r="AE493" s="3">
        <v>45505</v>
      </c>
      <c r="AF493" s="1">
        <v>5.75</v>
      </c>
      <c r="AG493" s="3">
        <v>45484</v>
      </c>
      <c r="AH493" s="1">
        <v>5.86</v>
      </c>
      <c r="AI493" s="3">
        <v>45513</v>
      </c>
      <c r="AJ493" s="2">
        <v>5.82</v>
      </c>
      <c r="AK493" s="3">
        <v>45513</v>
      </c>
      <c r="AL493" s="2">
        <v>5.76</v>
      </c>
      <c r="AM493" s="3">
        <v>45513</v>
      </c>
      <c r="AN493" s="2">
        <v>5.68</v>
      </c>
      <c r="AO493" s="3">
        <v>45513</v>
      </c>
      <c r="AP493" s="2">
        <v>5.3624999999999998</v>
      </c>
      <c r="AQ493" s="3">
        <v>45513</v>
      </c>
      <c r="AR493" s="2">
        <v>4.9124999999999996</v>
      </c>
      <c r="AS493" s="3">
        <v>45513</v>
      </c>
      <c r="AT493" s="2">
        <v>4.5075000000000003</v>
      </c>
      <c r="AU493" s="3">
        <v>45513</v>
      </c>
      <c r="AV493" s="2">
        <v>4.2024999999999997</v>
      </c>
      <c r="AW493" s="3">
        <v>45513</v>
      </c>
      <c r="AX493" s="2">
        <v>3.9824999999999999</v>
      </c>
      <c r="AY493" s="3">
        <v>45513</v>
      </c>
      <c r="AZ493" s="2">
        <v>3.8275000000000001</v>
      </c>
      <c r="BB493" s="3">
        <v>45485</v>
      </c>
      <c r="BC493" s="1">
        <v>4.75</v>
      </c>
      <c r="BD493" s="3">
        <v>45488</v>
      </c>
      <c r="BE493" s="1">
        <v>4.6100000000000003</v>
      </c>
      <c r="BF493" s="3">
        <v>45513</v>
      </c>
      <c r="BG493" s="1">
        <v>4.33</v>
      </c>
      <c r="BH493" s="3">
        <v>45513</v>
      </c>
      <c r="BI493" s="1">
        <v>4.0650000000000004</v>
      </c>
      <c r="BJ493" s="3">
        <v>45513</v>
      </c>
      <c r="BK493" s="1">
        <v>3.855</v>
      </c>
      <c r="BL493" s="3">
        <v>45513</v>
      </c>
      <c r="BM493" s="1">
        <v>3.4780000000000002</v>
      </c>
      <c r="BN493" s="3">
        <v>45513</v>
      </c>
      <c r="BO493" s="1">
        <v>3.218</v>
      </c>
      <c r="BP493" s="3">
        <v>45513</v>
      </c>
      <c r="BQ493" s="1">
        <v>3.0750000000000002</v>
      </c>
      <c r="BR493" s="3">
        <v>45513</v>
      </c>
      <c r="BS493" s="1">
        <v>3.03</v>
      </c>
      <c r="BT493" s="3">
        <v>45513</v>
      </c>
      <c r="BU493" s="1">
        <v>3.0329999999999999</v>
      </c>
      <c r="BV493" s="3">
        <v>45513</v>
      </c>
      <c r="BW493" s="1">
        <v>3.0430000000000001</v>
      </c>
      <c r="BY493" s="3">
        <v>45490</v>
      </c>
      <c r="BZ493" s="1">
        <v>7</v>
      </c>
      <c r="CA493" s="3">
        <v>45477</v>
      </c>
      <c r="CB493" s="1">
        <v>6.88</v>
      </c>
      <c r="CC493" s="3">
        <v>45513</v>
      </c>
      <c r="CD493" s="1">
        <v>6.5190000000000001</v>
      </c>
      <c r="CE493" s="3">
        <v>45513</v>
      </c>
      <c r="CF493" s="1">
        <v>6.4020000000000001</v>
      </c>
      <c r="CG493" s="3">
        <v>45513</v>
      </c>
      <c r="CH493" s="1">
        <v>6.29</v>
      </c>
      <c r="CI493" s="3">
        <v>45513</v>
      </c>
      <c r="CJ493" s="1">
        <v>5.82</v>
      </c>
      <c r="CK493" s="3">
        <v>45513</v>
      </c>
      <c r="CL493" s="1">
        <v>5.43</v>
      </c>
      <c r="CM493" s="3">
        <v>45513</v>
      </c>
      <c r="CN493" s="1">
        <v>5.1124999999999998</v>
      </c>
      <c r="CO493" s="3">
        <v>45505</v>
      </c>
      <c r="CP493" s="1">
        <v>4.8099999999999996</v>
      </c>
      <c r="CQ493" s="3">
        <v>45505</v>
      </c>
      <c r="CR493" s="1">
        <v>4.7450000000000001</v>
      </c>
      <c r="CS493" s="3">
        <v>45505</v>
      </c>
      <c r="CT493" s="1">
        <v>4.7874999999999996</v>
      </c>
    </row>
    <row r="494" spans="31:98" x14ac:dyDescent="0.2">
      <c r="AE494" s="3">
        <v>45504</v>
      </c>
      <c r="AF494" s="1">
        <v>5.75</v>
      </c>
      <c r="AG494" s="3">
        <v>45483</v>
      </c>
      <c r="AH494" s="1">
        <v>5.86</v>
      </c>
      <c r="AI494" s="3">
        <v>45512</v>
      </c>
      <c r="AJ494" s="2">
        <v>5.8250000000000002</v>
      </c>
      <c r="AK494" s="3">
        <v>45512</v>
      </c>
      <c r="AL494" s="2">
        <v>5.78</v>
      </c>
      <c r="AM494" s="3">
        <v>45512</v>
      </c>
      <c r="AN494" s="2">
        <v>5.7050000000000001</v>
      </c>
      <c r="AO494" s="3">
        <v>45512</v>
      </c>
      <c r="AP494" s="2">
        <v>5.3849999999999998</v>
      </c>
      <c r="AQ494" s="3">
        <v>45512</v>
      </c>
      <c r="AR494" s="2">
        <v>4.93</v>
      </c>
      <c r="AS494" s="3">
        <v>45512</v>
      </c>
      <c r="AT494" s="2">
        <v>4.5449999999999999</v>
      </c>
      <c r="AU494" s="3">
        <v>45512</v>
      </c>
      <c r="AV494" s="2">
        <v>4.24</v>
      </c>
      <c r="AW494" s="3">
        <v>45512</v>
      </c>
      <c r="AX494" s="2">
        <v>4.0199999999999996</v>
      </c>
      <c r="AY494" s="3">
        <v>45512</v>
      </c>
      <c r="AZ494" s="2">
        <v>3.87</v>
      </c>
      <c r="BB494" s="3">
        <v>45484</v>
      </c>
      <c r="BC494" s="1">
        <v>4.75</v>
      </c>
      <c r="BD494" s="3">
        <v>45485</v>
      </c>
      <c r="BE494" s="1">
        <v>4.6100000000000003</v>
      </c>
      <c r="BF494" s="3">
        <v>45512</v>
      </c>
      <c r="BG494" s="1">
        <v>4.34</v>
      </c>
      <c r="BH494" s="3">
        <v>45512</v>
      </c>
      <c r="BI494" s="1">
        <v>4.0750000000000002</v>
      </c>
      <c r="BJ494" s="3">
        <v>45512</v>
      </c>
      <c r="BK494" s="1">
        <v>3.875</v>
      </c>
      <c r="BL494" s="3">
        <v>45512</v>
      </c>
      <c r="BM494" s="1">
        <v>3.4950000000000001</v>
      </c>
      <c r="BN494" s="3">
        <v>45512</v>
      </c>
      <c r="BO494" s="1">
        <v>3.2949999999999999</v>
      </c>
      <c r="BP494" s="3">
        <v>45512</v>
      </c>
      <c r="BQ494" s="1">
        <v>3.11</v>
      </c>
      <c r="BR494" s="3">
        <v>45512</v>
      </c>
      <c r="BS494" s="1">
        <v>3.07</v>
      </c>
      <c r="BT494" s="3">
        <v>45512</v>
      </c>
      <c r="BU494" s="1">
        <v>3.0750000000000002</v>
      </c>
      <c r="BV494" s="3">
        <v>45512</v>
      </c>
      <c r="BW494" s="1">
        <v>3.08</v>
      </c>
      <c r="BY494" s="3">
        <v>45489</v>
      </c>
      <c r="BZ494" s="1">
        <v>7</v>
      </c>
      <c r="CA494" s="3">
        <v>45476</v>
      </c>
      <c r="CB494" s="1">
        <v>6.88</v>
      </c>
      <c r="CC494" s="3">
        <v>45512</v>
      </c>
      <c r="CD494" s="1">
        <v>6.4870000000000001</v>
      </c>
      <c r="CE494" s="3">
        <v>45512</v>
      </c>
      <c r="CF494" s="1">
        <v>6.35</v>
      </c>
      <c r="CG494" s="3">
        <v>45512</v>
      </c>
      <c r="CH494" s="1">
        <v>6.22</v>
      </c>
      <c r="CI494" s="3">
        <v>45512</v>
      </c>
      <c r="CJ494" s="1">
        <v>5.73</v>
      </c>
      <c r="CK494" s="3">
        <v>45512</v>
      </c>
      <c r="CL494" s="1">
        <v>5.31</v>
      </c>
      <c r="CM494" s="3">
        <v>45512</v>
      </c>
      <c r="CN494" s="1">
        <v>4.9800000000000004</v>
      </c>
      <c r="CO494" s="3">
        <v>45504</v>
      </c>
      <c r="CP494" s="1">
        <v>4.8775000000000004</v>
      </c>
      <c r="CQ494" s="3">
        <v>45504</v>
      </c>
      <c r="CR494" s="1">
        <v>4.8125</v>
      </c>
      <c r="CS494" s="3">
        <v>45504</v>
      </c>
      <c r="CT494" s="1">
        <v>4.8550000000000004</v>
      </c>
    </row>
    <row r="495" spans="31:98" x14ac:dyDescent="0.2">
      <c r="AE495" s="3">
        <v>45503</v>
      </c>
      <c r="AF495" s="1">
        <v>5.75</v>
      </c>
      <c r="AG495" s="3">
        <v>45482</v>
      </c>
      <c r="AH495" s="1">
        <v>5.86</v>
      </c>
      <c r="AI495" s="3">
        <v>45511</v>
      </c>
      <c r="AJ495" s="2">
        <v>5.8135000000000003</v>
      </c>
      <c r="AK495" s="3">
        <v>45511</v>
      </c>
      <c r="AL495" s="2">
        <v>5.7549999999999999</v>
      </c>
      <c r="AM495" s="3">
        <v>45511</v>
      </c>
      <c r="AN495" s="2">
        <v>5.68</v>
      </c>
      <c r="AO495" s="3">
        <v>45511</v>
      </c>
      <c r="AP495" s="2">
        <v>5.3449999999999998</v>
      </c>
      <c r="AQ495" s="3">
        <v>45511</v>
      </c>
      <c r="AR495" s="2">
        <v>4.8825000000000003</v>
      </c>
      <c r="AS495" s="3">
        <v>45511</v>
      </c>
      <c r="AT495" s="2">
        <v>4.4249999999999998</v>
      </c>
      <c r="AU495" s="3">
        <v>45511</v>
      </c>
      <c r="AV495" s="2">
        <v>4.085</v>
      </c>
      <c r="AW495" s="3">
        <v>45511</v>
      </c>
      <c r="AX495" s="2">
        <v>3.8525</v>
      </c>
      <c r="AY495" s="3">
        <v>45511</v>
      </c>
      <c r="AZ495" s="2">
        <v>3.7025000000000001</v>
      </c>
      <c r="BB495" s="3">
        <v>45483</v>
      </c>
      <c r="BC495" s="1">
        <v>4.75</v>
      </c>
      <c r="BD495" s="3">
        <v>45484</v>
      </c>
      <c r="BE495" s="1">
        <v>4.62</v>
      </c>
      <c r="BF495" s="3">
        <v>45511</v>
      </c>
      <c r="BG495" s="1">
        <v>4.32</v>
      </c>
      <c r="BH495" s="3">
        <v>45511</v>
      </c>
      <c r="BI495" s="1">
        <v>4.08</v>
      </c>
      <c r="BJ495" s="3">
        <v>45511</v>
      </c>
      <c r="BK495" s="1">
        <v>4.0149999999999997</v>
      </c>
      <c r="BL495" s="3">
        <v>45511</v>
      </c>
      <c r="BM495" s="1">
        <v>3.585</v>
      </c>
      <c r="BN495" s="3">
        <v>45511</v>
      </c>
      <c r="BO495" s="1">
        <v>3.28</v>
      </c>
      <c r="BP495" s="3">
        <v>45511</v>
      </c>
      <c r="BQ495" s="1">
        <v>3.06</v>
      </c>
      <c r="BR495" s="3">
        <v>45511</v>
      </c>
      <c r="BS495" s="1">
        <v>3.0179999999999998</v>
      </c>
      <c r="BT495" s="3">
        <v>45511</v>
      </c>
      <c r="BU495" s="1">
        <v>3.0249999999999999</v>
      </c>
      <c r="BV495" s="3">
        <v>45511</v>
      </c>
      <c r="BW495" s="1">
        <v>3.0329999999999999</v>
      </c>
      <c r="BY495" s="3">
        <v>45488</v>
      </c>
      <c r="BZ495" s="1">
        <v>7</v>
      </c>
      <c r="CA495" s="3">
        <v>45475</v>
      </c>
      <c r="CB495" s="1">
        <v>6.87</v>
      </c>
      <c r="CC495" s="3">
        <v>45511</v>
      </c>
      <c r="CD495" s="1">
        <v>6.44</v>
      </c>
      <c r="CE495" s="3">
        <v>45511</v>
      </c>
      <c r="CF495" s="1">
        <v>6.26</v>
      </c>
      <c r="CG495" s="3">
        <v>45511</v>
      </c>
      <c r="CH495" s="1">
        <v>6.1</v>
      </c>
      <c r="CI495" s="3">
        <v>45511</v>
      </c>
      <c r="CJ495" s="1">
        <v>5.61</v>
      </c>
      <c r="CK495" s="3">
        <v>45511</v>
      </c>
      <c r="CL495" s="1">
        <v>5.19</v>
      </c>
      <c r="CM495" s="3">
        <v>45511</v>
      </c>
      <c r="CN495" s="1">
        <v>4.87</v>
      </c>
      <c r="CO495" s="3">
        <v>45503</v>
      </c>
      <c r="CP495" s="1">
        <v>4.8849999999999998</v>
      </c>
      <c r="CQ495" s="3">
        <v>45503</v>
      </c>
      <c r="CR495" s="1">
        <v>4.82</v>
      </c>
      <c r="CS495" s="3">
        <v>45503</v>
      </c>
      <c r="CT495" s="1">
        <v>4.8525</v>
      </c>
    </row>
    <row r="496" spans="31:98" x14ac:dyDescent="0.2">
      <c r="AE496" s="3">
        <v>45502</v>
      </c>
      <c r="AF496" s="1">
        <v>5.75</v>
      </c>
      <c r="AG496" s="3">
        <v>45481</v>
      </c>
      <c r="AH496" s="1">
        <v>5.85</v>
      </c>
      <c r="AI496" s="3">
        <v>45510</v>
      </c>
      <c r="AJ496" s="2">
        <v>5.8055000000000003</v>
      </c>
      <c r="AK496" s="3">
        <v>45510</v>
      </c>
      <c r="AL496" s="2">
        <v>5.75</v>
      </c>
      <c r="AM496" s="3">
        <v>45510</v>
      </c>
      <c r="AN496" s="2">
        <v>5.6574999999999998</v>
      </c>
      <c r="AO496" s="3">
        <v>45510</v>
      </c>
      <c r="AP496" s="2">
        <v>5.3250000000000002</v>
      </c>
      <c r="AQ496" s="3">
        <v>45510</v>
      </c>
      <c r="AR496" s="2">
        <v>4.84</v>
      </c>
      <c r="AS496" s="3">
        <v>45510</v>
      </c>
      <c r="AT496" s="2">
        <v>4.375</v>
      </c>
      <c r="AU496" s="3">
        <v>45510</v>
      </c>
      <c r="AV496" s="2">
        <v>4.0199999999999996</v>
      </c>
      <c r="AW496" s="3">
        <v>45510</v>
      </c>
      <c r="AX496" s="2">
        <v>3.7749999999999999</v>
      </c>
      <c r="AY496" s="3">
        <v>45510</v>
      </c>
      <c r="AZ496" s="2">
        <v>3.625</v>
      </c>
      <c r="BB496" s="3">
        <v>45482</v>
      </c>
      <c r="BC496" s="1">
        <v>4.75</v>
      </c>
      <c r="BD496" s="3">
        <v>45483</v>
      </c>
      <c r="BE496" s="1">
        <v>4.6399999999999997</v>
      </c>
      <c r="BF496" s="3">
        <v>45510</v>
      </c>
      <c r="BG496" s="1">
        <v>4.3</v>
      </c>
      <c r="BH496" s="3">
        <v>45510</v>
      </c>
      <c r="BI496" s="1">
        <v>4.04</v>
      </c>
      <c r="BJ496" s="3">
        <v>45510</v>
      </c>
      <c r="BK496" s="1">
        <v>3.9750000000000001</v>
      </c>
      <c r="BL496" s="3">
        <v>45510</v>
      </c>
      <c r="BM496" s="1">
        <v>3.5379999999999998</v>
      </c>
      <c r="BN496" s="3">
        <v>45510</v>
      </c>
      <c r="BO496" s="1">
        <v>3.1749999999999998</v>
      </c>
      <c r="BP496" s="3">
        <v>45510</v>
      </c>
      <c r="BQ496" s="1">
        <v>2.9249999999999998</v>
      </c>
      <c r="BR496" s="3">
        <v>45510</v>
      </c>
      <c r="BS496" s="1">
        <v>2.8849999999999998</v>
      </c>
      <c r="BT496" s="3">
        <v>45510</v>
      </c>
      <c r="BU496" s="1">
        <v>2.89</v>
      </c>
      <c r="BV496" s="3">
        <v>45510</v>
      </c>
      <c r="BW496" s="1">
        <v>2.9</v>
      </c>
      <c r="BY496" s="3">
        <v>45485</v>
      </c>
      <c r="BZ496" s="1">
        <v>7</v>
      </c>
      <c r="CA496" s="3">
        <v>45474</v>
      </c>
      <c r="CB496" s="1">
        <v>6.88</v>
      </c>
      <c r="CC496" s="3">
        <v>45510</v>
      </c>
      <c r="CD496" s="1">
        <v>6.4279999999999999</v>
      </c>
      <c r="CE496" s="3">
        <v>45510</v>
      </c>
      <c r="CF496" s="1">
        <v>6.2350000000000003</v>
      </c>
      <c r="CG496" s="3">
        <v>45510</v>
      </c>
      <c r="CH496" s="1">
        <v>6.05</v>
      </c>
      <c r="CI496" s="3">
        <v>45510</v>
      </c>
      <c r="CJ496" s="1">
        <v>5.56</v>
      </c>
      <c r="CK496" s="3">
        <v>45510</v>
      </c>
      <c r="CL496" s="1">
        <v>5.12</v>
      </c>
      <c r="CM496" s="3">
        <v>45510</v>
      </c>
      <c r="CN496" s="1">
        <v>4.7750000000000004</v>
      </c>
      <c r="CO496" s="3">
        <v>45502</v>
      </c>
      <c r="CP496" s="1">
        <v>5.1074999999999999</v>
      </c>
      <c r="CQ496" s="3">
        <v>45502</v>
      </c>
      <c r="CR496" s="1">
        <v>5.0049999999999999</v>
      </c>
      <c r="CS496" s="3">
        <v>45502</v>
      </c>
      <c r="CT496" s="1">
        <v>5.0324999999999998</v>
      </c>
    </row>
    <row r="497" spans="31:98" x14ac:dyDescent="0.2">
      <c r="AE497" s="3">
        <v>45499</v>
      </c>
      <c r="AF497" s="1">
        <v>5.75</v>
      </c>
      <c r="AG497" s="3">
        <v>45478</v>
      </c>
      <c r="AH497" s="1">
        <v>5.85</v>
      </c>
      <c r="AI497" s="3">
        <v>45509</v>
      </c>
      <c r="AJ497" s="2">
        <v>5.806</v>
      </c>
      <c r="AK497" s="3">
        <v>45509</v>
      </c>
      <c r="AL497" s="2">
        <v>5.7175000000000002</v>
      </c>
      <c r="AM497" s="3">
        <v>45509</v>
      </c>
      <c r="AN497" s="2">
        <v>5.6349999999999998</v>
      </c>
      <c r="AO497" s="3">
        <v>45509</v>
      </c>
      <c r="AP497" s="2">
        <v>5.31</v>
      </c>
      <c r="AQ497" s="3">
        <v>45509</v>
      </c>
      <c r="AR497" s="2">
        <v>4.8150000000000004</v>
      </c>
      <c r="AS497" s="3">
        <v>45509</v>
      </c>
      <c r="AT497" s="2">
        <v>4.3600000000000003</v>
      </c>
      <c r="AU497" s="3">
        <v>45509</v>
      </c>
      <c r="AV497" s="2">
        <v>4.0149999999999997</v>
      </c>
      <c r="AW497" s="3">
        <v>45509</v>
      </c>
      <c r="AX497" s="2">
        <v>3.79</v>
      </c>
      <c r="AY497" s="3">
        <v>45509</v>
      </c>
      <c r="AZ497" s="2">
        <v>3.6549999999999998</v>
      </c>
      <c r="BB497" s="3">
        <v>45481</v>
      </c>
      <c r="BC497" s="1">
        <v>4.75</v>
      </c>
      <c r="BD497" s="3">
        <v>45482</v>
      </c>
      <c r="BE497" s="1">
        <v>4.66</v>
      </c>
      <c r="BF497" s="3">
        <v>45509</v>
      </c>
      <c r="BG497" s="1">
        <v>4.2850000000000001</v>
      </c>
      <c r="BH497" s="3">
        <v>45509</v>
      </c>
      <c r="BI497" s="1">
        <v>3.9950000000000001</v>
      </c>
      <c r="BJ497" s="3">
        <v>45509</v>
      </c>
      <c r="BK497" s="1">
        <v>3.9249999999999998</v>
      </c>
      <c r="BL497" s="3">
        <v>45509</v>
      </c>
      <c r="BM497" s="1">
        <v>3.51</v>
      </c>
      <c r="BN497" s="3">
        <v>45509</v>
      </c>
      <c r="BO497" s="1">
        <v>3.125</v>
      </c>
      <c r="BP497" s="3">
        <v>45509</v>
      </c>
      <c r="BQ497" s="1">
        <v>2.8679999999999999</v>
      </c>
      <c r="BR497" s="3">
        <v>45509</v>
      </c>
      <c r="BS497" s="1">
        <v>2.8279999999999998</v>
      </c>
      <c r="BT497" s="3">
        <v>45509</v>
      </c>
      <c r="BU497" s="1">
        <v>2.8380000000000001</v>
      </c>
      <c r="BV497" s="3">
        <v>45509</v>
      </c>
      <c r="BW497" s="1">
        <v>2.8530000000000002</v>
      </c>
      <c r="BY497" s="3">
        <v>45484</v>
      </c>
      <c r="BZ497" s="1">
        <v>7</v>
      </c>
      <c r="CA497" s="3">
        <v>45471</v>
      </c>
      <c r="CB497" s="1">
        <v>6.89</v>
      </c>
      <c r="CC497" s="3">
        <v>45509</v>
      </c>
      <c r="CD497" s="1">
        <v>6.3970000000000002</v>
      </c>
      <c r="CE497" s="3">
        <v>45509</v>
      </c>
      <c r="CF497" s="1">
        <v>6.1820000000000004</v>
      </c>
      <c r="CG497" s="3">
        <v>45509</v>
      </c>
      <c r="CH497" s="1">
        <v>5.98</v>
      </c>
      <c r="CI497" s="3">
        <v>45509</v>
      </c>
      <c r="CJ497" s="1">
        <v>5.5</v>
      </c>
      <c r="CK497" s="3">
        <v>45509</v>
      </c>
      <c r="CL497" s="1">
        <v>5.0599999999999996</v>
      </c>
      <c r="CM497" s="3">
        <v>45509</v>
      </c>
      <c r="CN497" s="1">
        <v>4.7374999999999998</v>
      </c>
      <c r="CO497" s="3">
        <v>45499</v>
      </c>
      <c r="CP497" s="1">
        <v>5.26</v>
      </c>
      <c r="CQ497" s="3">
        <v>45499</v>
      </c>
      <c r="CR497" s="1">
        <v>5.1449999999999996</v>
      </c>
      <c r="CS497" s="3">
        <v>45499</v>
      </c>
      <c r="CT497" s="1">
        <v>5.1675000000000004</v>
      </c>
    </row>
    <row r="498" spans="31:98" x14ac:dyDescent="0.2">
      <c r="AE498" s="3">
        <v>45498</v>
      </c>
      <c r="AF498" s="1">
        <v>5.75</v>
      </c>
      <c r="AG498" s="3">
        <v>45477</v>
      </c>
      <c r="AH498" s="1">
        <v>5.86</v>
      </c>
      <c r="AI498" s="3">
        <v>45506</v>
      </c>
      <c r="AJ498" s="2">
        <v>5.8209999999999997</v>
      </c>
      <c r="AK498" s="3">
        <v>45506</v>
      </c>
      <c r="AL498" s="2">
        <v>5.79</v>
      </c>
      <c r="AM498" s="3">
        <v>45506</v>
      </c>
      <c r="AN498" s="2">
        <v>5.7350000000000003</v>
      </c>
      <c r="AO498" s="3">
        <v>45506</v>
      </c>
      <c r="AP498" s="2">
        <v>5.4850000000000003</v>
      </c>
      <c r="AQ498" s="3">
        <v>45506</v>
      </c>
      <c r="AR498" s="2">
        <v>5.01</v>
      </c>
      <c r="AS498" s="3">
        <v>45506</v>
      </c>
      <c r="AT498" s="2">
        <v>4.5250000000000004</v>
      </c>
      <c r="AU498" s="3">
        <v>45506</v>
      </c>
      <c r="AV498" s="2">
        <v>4.1449999999999996</v>
      </c>
      <c r="AW498" s="3">
        <v>45506</v>
      </c>
      <c r="AX498" s="2">
        <v>3.9049999999999998</v>
      </c>
      <c r="AY498" s="3">
        <v>45506</v>
      </c>
      <c r="AZ498" s="2">
        <v>3.7650000000000001</v>
      </c>
      <c r="BB498" s="3">
        <v>45477</v>
      </c>
      <c r="BC498" s="1">
        <v>4.75</v>
      </c>
      <c r="BD498" s="3">
        <v>45481</v>
      </c>
      <c r="BE498" s="1">
        <v>4.67</v>
      </c>
      <c r="BF498" s="3">
        <v>45506</v>
      </c>
      <c r="BG498" s="1">
        <v>4.32</v>
      </c>
      <c r="BH498" s="3">
        <v>45506</v>
      </c>
      <c r="BI498" s="1">
        <v>4.085</v>
      </c>
      <c r="BJ498" s="3">
        <v>45506</v>
      </c>
      <c r="BK498" s="1">
        <v>4.0149999999999997</v>
      </c>
      <c r="BL498" s="3">
        <v>45506</v>
      </c>
      <c r="BM498" s="1">
        <v>3.585</v>
      </c>
      <c r="BN498" s="3">
        <v>45506</v>
      </c>
      <c r="BO498" s="1">
        <v>3.18</v>
      </c>
      <c r="BP498" s="3">
        <v>45506</v>
      </c>
      <c r="BQ498" s="1">
        <v>2.915</v>
      </c>
      <c r="BR498" s="3">
        <v>45506</v>
      </c>
      <c r="BS498" s="1">
        <v>2.875</v>
      </c>
      <c r="BT498" s="3">
        <v>45506</v>
      </c>
      <c r="BU498" s="1">
        <v>2.87</v>
      </c>
      <c r="BV498" s="3">
        <v>45506</v>
      </c>
      <c r="BW498" s="1">
        <v>2.87</v>
      </c>
      <c r="BY498" s="3">
        <v>45482</v>
      </c>
      <c r="BZ498" s="1">
        <v>7</v>
      </c>
      <c r="CA498" s="3">
        <v>45470</v>
      </c>
      <c r="CB498" s="1">
        <v>6.89</v>
      </c>
      <c r="CC498" s="3">
        <v>45506</v>
      </c>
      <c r="CD498" s="1">
        <v>6.4009999999999998</v>
      </c>
      <c r="CE498" s="3">
        <v>45506</v>
      </c>
      <c r="CF498" s="1">
        <v>6.2</v>
      </c>
      <c r="CG498" s="3">
        <v>45506</v>
      </c>
      <c r="CH498" s="1">
        <v>6.01</v>
      </c>
      <c r="CI498" s="3">
        <v>45506</v>
      </c>
      <c r="CJ498" s="1">
        <v>5.59</v>
      </c>
      <c r="CK498" s="3">
        <v>45506</v>
      </c>
      <c r="CL498" s="1">
        <v>5.16</v>
      </c>
      <c r="CM498" s="3">
        <v>45506</v>
      </c>
      <c r="CN498" s="1">
        <v>4.8174999999999999</v>
      </c>
      <c r="CO498" s="3">
        <v>45498</v>
      </c>
      <c r="CP498" s="1">
        <v>5.2374999999999998</v>
      </c>
      <c r="CQ498" s="3">
        <v>45498</v>
      </c>
      <c r="CR498" s="1">
        <v>5.1224999999999996</v>
      </c>
      <c r="CS498" s="3">
        <v>45498</v>
      </c>
      <c r="CT498" s="1">
        <v>5.1449999999999996</v>
      </c>
    </row>
    <row r="499" spans="31:98" x14ac:dyDescent="0.2">
      <c r="AE499" s="3">
        <v>45497</v>
      </c>
      <c r="AF499" s="1">
        <v>5.75</v>
      </c>
      <c r="AG499" s="3">
        <v>45476</v>
      </c>
      <c r="AH499" s="1">
        <v>5.85</v>
      </c>
      <c r="AI499" s="3">
        <v>45505</v>
      </c>
      <c r="AJ499" s="2">
        <v>5.8315000000000001</v>
      </c>
      <c r="AK499" s="3">
        <v>45505</v>
      </c>
      <c r="AL499" s="2">
        <v>5.81</v>
      </c>
      <c r="AM499" s="3">
        <v>45505</v>
      </c>
      <c r="AN499" s="2">
        <v>5.77</v>
      </c>
      <c r="AO499" s="3">
        <v>45505</v>
      </c>
      <c r="AP499" s="2">
        <v>5.6219999999999999</v>
      </c>
      <c r="AQ499" s="3">
        <v>45505</v>
      </c>
      <c r="AR499" s="2">
        <v>5.2024999999999997</v>
      </c>
      <c r="AS499" s="3">
        <v>45505</v>
      </c>
      <c r="AT499" s="2">
        <v>4.78</v>
      </c>
      <c r="AU499" s="3">
        <v>45505</v>
      </c>
      <c r="AV499" s="2">
        <v>4.4349999999999996</v>
      </c>
      <c r="AW499" s="3">
        <v>45505</v>
      </c>
      <c r="AX499" s="2">
        <v>4.1749999999999998</v>
      </c>
      <c r="AY499" s="3">
        <v>45505</v>
      </c>
      <c r="AZ499" s="2">
        <v>4.0199999999999996</v>
      </c>
      <c r="BB499" s="3">
        <v>45476</v>
      </c>
      <c r="BC499" s="1">
        <v>4.75</v>
      </c>
      <c r="BD499" s="3">
        <v>45477</v>
      </c>
      <c r="BE499" s="1">
        <v>4.68</v>
      </c>
      <c r="BF499" s="3">
        <v>45505</v>
      </c>
      <c r="BG499" s="1">
        <v>4.34</v>
      </c>
      <c r="BH499" s="3">
        <v>45505</v>
      </c>
      <c r="BI499" s="1">
        <v>4.13</v>
      </c>
      <c r="BJ499" s="3">
        <v>45505</v>
      </c>
      <c r="BK499" s="1">
        <v>4.0599999999999996</v>
      </c>
      <c r="BL499" s="3">
        <v>45505</v>
      </c>
      <c r="BM499" s="1">
        <v>3.6349999999999998</v>
      </c>
      <c r="BN499" s="3">
        <v>45505</v>
      </c>
      <c r="BO499" s="1">
        <v>3.2549999999999999</v>
      </c>
      <c r="BP499" s="3">
        <v>45505</v>
      </c>
      <c r="BQ499" s="1">
        <v>3.08</v>
      </c>
      <c r="BR499" s="3">
        <v>45505</v>
      </c>
      <c r="BS499" s="1">
        <v>3.0550000000000002</v>
      </c>
      <c r="BT499" s="3">
        <v>45505</v>
      </c>
      <c r="BU499" s="1">
        <v>3.0449999999999999</v>
      </c>
      <c r="BV499" s="3">
        <v>45505</v>
      </c>
      <c r="BW499" s="1">
        <v>3.06</v>
      </c>
      <c r="BY499" s="3">
        <v>45481</v>
      </c>
      <c r="BZ499" s="1">
        <v>7</v>
      </c>
      <c r="CA499" s="3">
        <v>45469</v>
      </c>
      <c r="CB499" s="1">
        <v>6.89</v>
      </c>
      <c r="CC499" s="3">
        <v>45505</v>
      </c>
      <c r="CD499" s="1">
        <v>6.41</v>
      </c>
      <c r="CE499" s="3">
        <v>45505</v>
      </c>
      <c r="CF499" s="1">
        <v>6.23</v>
      </c>
      <c r="CG499" s="3">
        <v>45505</v>
      </c>
      <c r="CH499" s="1">
        <v>6.07</v>
      </c>
      <c r="CI499" s="3">
        <v>45505</v>
      </c>
      <c r="CJ499" s="1">
        <v>5.69</v>
      </c>
      <c r="CK499" s="3">
        <v>45505</v>
      </c>
      <c r="CL499" s="1">
        <v>5.29</v>
      </c>
      <c r="CM499" s="3">
        <v>45505</v>
      </c>
      <c r="CN499" s="1">
        <v>4.9000000000000004</v>
      </c>
      <c r="CO499" s="3">
        <v>45497</v>
      </c>
      <c r="CP499" s="1">
        <v>5.2050000000000001</v>
      </c>
      <c r="CQ499" s="3">
        <v>45497</v>
      </c>
      <c r="CR499" s="1">
        <v>5.09</v>
      </c>
      <c r="CS499" s="3">
        <v>45497</v>
      </c>
      <c r="CT499" s="1">
        <v>5.1124999999999998</v>
      </c>
    </row>
    <row r="500" spans="31:98" x14ac:dyDescent="0.2">
      <c r="AE500" s="3">
        <v>45496</v>
      </c>
      <c r="AF500" s="1">
        <v>5.75</v>
      </c>
      <c r="AG500" s="3">
        <v>45475</v>
      </c>
      <c r="AH500" s="1">
        <v>5.85</v>
      </c>
      <c r="AI500" s="3">
        <v>45504</v>
      </c>
      <c r="AJ500" s="2">
        <v>5.8395000000000001</v>
      </c>
      <c r="AK500" s="3">
        <v>45504</v>
      </c>
      <c r="AL500" s="2">
        <v>5.8224999999999998</v>
      </c>
      <c r="AM500" s="3">
        <v>45504</v>
      </c>
      <c r="AN500" s="2">
        <v>5.79</v>
      </c>
      <c r="AO500" s="3">
        <v>45504</v>
      </c>
      <c r="AP500" s="2">
        <v>5.6449999999999996</v>
      </c>
      <c r="AQ500" s="3">
        <v>45504</v>
      </c>
      <c r="AR500" s="2">
        <v>5.26</v>
      </c>
      <c r="AS500" s="3">
        <v>45504</v>
      </c>
      <c r="AT500" s="2">
        <v>4.8574999999999999</v>
      </c>
      <c r="AU500" s="3">
        <v>45504</v>
      </c>
      <c r="AV500" s="2">
        <v>4.5175000000000001</v>
      </c>
      <c r="AW500" s="3">
        <v>45504</v>
      </c>
      <c r="AX500" s="2">
        <v>4.2525000000000004</v>
      </c>
      <c r="AY500" s="3">
        <v>45504</v>
      </c>
      <c r="AZ500" s="2">
        <v>4.1025</v>
      </c>
      <c r="BB500" s="3">
        <v>45475</v>
      </c>
      <c r="BC500" s="1">
        <v>4.75</v>
      </c>
      <c r="BD500" s="3">
        <v>45476</v>
      </c>
      <c r="BE500" s="1">
        <v>4.6900000000000004</v>
      </c>
      <c r="BF500" s="3">
        <v>45504</v>
      </c>
      <c r="BG500" s="1">
        <v>4.26</v>
      </c>
      <c r="BH500" s="3">
        <v>45504</v>
      </c>
      <c r="BI500" s="1">
        <v>4.05</v>
      </c>
      <c r="BJ500" s="3">
        <v>45504</v>
      </c>
      <c r="BK500" s="1">
        <v>3.9550000000000001</v>
      </c>
      <c r="BL500" s="3">
        <v>45504</v>
      </c>
      <c r="BM500" s="1">
        <v>3.585</v>
      </c>
      <c r="BN500" s="3">
        <v>45504</v>
      </c>
      <c r="BO500" s="1">
        <v>3.2480000000000002</v>
      </c>
      <c r="BP500" s="3">
        <v>45504</v>
      </c>
      <c r="BQ500" s="1">
        <v>3.06</v>
      </c>
      <c r="BR500" s="3">
        <v>45504</v>
      </c>
      <c r="BS500" s="1">
        <v>3.0230000000000001</v>
      </c>
      <c r="BT500" s="3">
        <v>45504</v>
      </c>
      <c r="BU500" s="1">
        <v>3.0049999999999999</v>
      </c>
      <c r="BV500" s="3">
        <v>45504</v>
      </c>
      <c r="BW500" s="1">
        <v>3.028</v>
      </c>
      <c r="BY500" s="3">
        <v>45478</v>
      </c>
      <c r="BZ500" s="1">
        <v>7</v>
      </c>
      <c r="CA500" s="3">
        <v>45468</v>
      </c>
      <c r="CB500" s="1">
        <v>6.89</v>
      </c>
      <c r="CC500" s="3">
        <v>45504</v>
      </c>
      <c r="CD500" s="1">
        <v>6.4260000000000002</v>
      </c>
      <c r="CE500" s="3">
        <v>45504</v>
      </c>
      <c r="CF500" s="1">
        <v>6.2619999999999996</v>
      </c>
      <c r="CG500" s="3">
        <v>45504</v>
      </c>
      <c r="CH500" s="1">
        <v>6.11</v>
      </c>
      <c r="CI500" s="3">
        <v>45504</v>
      </c>
      <c r="CJ500" s="1">
        <v>5.75</v>
      </c>
      <c r="CK500" s="3">
        <v>45504</v>
      </c>
      <c r="CL500" s="1">
        <v>5.35</v>
      </c>
      <c r="CM500" s="3">
        <v>45504</v>
      </c>
      <c r="CN500" s="1">
        <v>4.9625000000000004</v>
      </c>
      <c r="CO500" s="3">
        <v>45496</v>
      </c>
      <c r="CP500" s="1">
        <v>5.2275</v>
      </c>
      <c r="CQ500" s="3">
        <v>45496</v>
      </c>
      <c r="CR500" s="1">
        <v>5.1124999999999998</v>
      </c>
      <c r="CS500" s="3">
        <v>45496</v>
      </c>
      <c r="CT500" s="1">
        <v>5.1349999999999998</v>
      </c>
    </row>
    <row r="501" spans="31:98" x14ac:dyDescent="0.2">
      <c r="AE501" s="3">
        <v>45495</v>
      </c>
      <c r="AF501" s="1">
        <v>5.75</v>
      </c>
      <c r="AG501" s="3">
        <v>45474</v>
      </c>
      <c r="AH501" s="1">
        <v>5.85</v>
      </c>
      <c r="AI501" s="3">
        <v>45503</v>
      </c>
      <c r="AJ501" s="2">
        <v>5.8448000000000002</v>
      </c>
      <c r="AK501" s="3">
        <v>45503</v>
      </c>
      <c r="AL501" s="2">
        <v>5.83</v>
      </c>
      <c r="AM501" s="3">
        <v>45503</v>
      </c>
      <c r="AN501" s="2">
        <v>5.8049999999999997</v>
      </c>
      <c r="AO501" s="3">
        <v>45503</v>
      </c>
      <c r="AP501" s="2">
        <v>5.665</v>
      </c>
      <c r="AQ501" s="3">
        <v>45503</v>
      </c>
      <c r="AR501" s="2">
        <v>5.35</v>
      </c>
      <c r="AS501" s="3">
        <v>45503</v>
      </c>
      <c r="AT501" s="2">
        <v>4.9800000000000004</v>
      </c>
      <c r="AU501" s="3">
        <v>45503</v>
      </c>
      <c r="AV501" s="2">
        <v>4.6749999999999998</v>
      </c>
      <c r="AW501" s="3">
        <v>45503</v>
      </c>
      <c r="AX501" s="2">
        <v>4.4450000000000003</v>
      </c>
      <c r="AY501" s="3">
        <v>45503</v>
      </c>
      <c r="AZ501" s="2">
        <v>4.3049999999999997</v>
      </c>
      <c r="BB501" s="3">
        <v>45474</v>
      </c>
      <c r="BC501" s="1">
        <v>4.75</v>
      </c>
      <c r="BD501" s="3">
        <v>45475</v>
      </c>
      <c r="BE501" s="1">
        <v>4.7</v>
      </c>
      <c r="BF501" s="3">
        <v>45503</v>
      </c>
      <c r="BG501" s="1">
        <v>4.26</v>
      </c>
      <c r="BH501" s="3">
        <v>45503</v>
      </c>
      <c r="BI501" s="1">
        <v>4.05</v>
      </c>
      <c r="BJ501" s="3">
        <v>45503</v>
      </c>
      <c r="BK501" s="1">
        <v>3.9750000000000001</v>
      </c>
      <c r="BL501" s="3">
        <v>45503</v>
      </c>
      <c r="BM501" s="1">
        <v>3.6</v>
      </c>
      <c r="BN501" s="3">
        <v>45503</v>
      </c>
      <c r="BO501" s="1">
        <v>3.2749999999999999</v>
      </c>
      <c r="BP501" s="3">
        <v>45503</v>
      </c>
      <c r="BQ501" s="1">
        <v>3.09</v>
      </c>
      <c r="BR501" s="3">
        <v>45503</v>
      </c>
      <c r="BS501" s="1">
        <v>3.0579999999999998</v>
      </c>
      <c r="BT501" s="3">
        <v>45503</v>
      </c>
      <c r="BU501" s="1">
        <v>3.05</v>
      </c>
      <c r="BV501" s="3">
        <v>45503</v>
      </c>
      <c r="BW501" s="1">
        <v>3.0750000000000002</v>
      </c>
      <c r="BY501" s="3">
        <v>45477</v>
      </c>
      <c r="BZ501" s="1">
        <v>7</v>
      </c>
      <c r="CA501" s="3">
        <v>45467</v>
      </c>
      <c r="CB501" s="1">
        <v>6.89</v>
      </c>
      <c r="CC501" s="3">
        <v>45503</v>
      </c>
      <c r="CD501" s="1">
        <v>6.407</v>
      </c>
      <c r="CE501" s="3">
        <v>45503</v>
      </c>
      <c r="CF501" s="1">
        <v>6.23</v>
      </c>
      <c r="CG501" s="3">
        <v>45503</v>
      </c>
      <c r="CH501" s="1">
        <v>6.07</v>
      </c>
      <c r="CI501" s="3">
        <v>45503</v>
      </c>
      <c r="CJ501" s="1">
        <v>5.74</v>
      </c>
      <c r="CK501" s="3">
        <v>45503</v>
      </c>
      <c r="CL501" s="1">
        <v>5.32</v>
      </c>
      <c r="CM501" s="3">
        <v>45503</v>
      </c>
      <c r="CN501" s="1">
        <v>4.9625000000000004</v>
      </c>
      <c r="CO501" s="3">
        <v>45495</v>
      </c>
      <c r="CP501" s="1">
        <v>5.1825000000000001</v>
      </c>
      <c r="CQ501" s="3">
        <v>45495</v>
      </c>
      <c r="CR501" s="1">
        <v>5.085</v>
      </c>
      <c r="CS501" s="3">
        <v>45495</v>
      </c>
      <c r="CT501" s="1">
        <v>5.1074999999999999</v>
      </c>
    </row>
    <row r="502" spans="31:98" x14ac:dyDescent="0.2">
      <c r="AE502" s="3">
        <v>45492</v>
      </c>
      <c r="AF502" s="1">
        <v>5.75</v>
      </c>
      <c r="AG502" s="3">
        <v>45471</v>
      </c>
      <c r="AH502" s="1">
        <v>5.85</v>
      </c>
      <c r="AI502" s="3">
        <v>45502</v>
      </c>
      <c r="AJ502" s="2">
        <v>5.8472999999999997</v>
      </c>
      <c r="AK502" s="3">
        <v>45502</v>
      </c>
      <c r="AL502" s="2">
        <v>5.83</v>
      </c>
      <c r="AM502" s="3">
        <v>45502</v>
      </c>
      <c r="AN502" s="2">
        <v>5.8049999999999997</v>
      </c>
      <c r="AO502" s="3">
        <v>45502</v>
      </c>
      <c r="AP502" s="2">
        <v>5.6775000000000002</v>
      </c>
      <c r="AQ502" s="3">
        <v>45502</v>
      </c>
      <c r="AR502" s="2">
        <v>5.37</v>
      </c>
      <c r="AS502" s="3">
        <v>45502</v>
      </c>
      <c r="AT502" s="2">
        <v>5.0149999999999997</v>
      </c>
      <c r="AU502" s="3">
        <v>45502</v>
      </c>
      <c r="AV502" s="2">
        <v>4.74</v>
      </c>
      <c r="AW502" s="3">
        <v>45502</v>
      </c>
      <c r="AX502" s="2">
        <v>4.51</v>
      </c>
      <c r="AY502" s="3">
        <v>45502</v>
      </c>
      <c r="AZ502" s="2">
        <v>4.375</v>
      </c>
      <c r="BB502" s="3">
        <v>45471</v>
      </c>
      <c r="BC502" s="1">
        <v>4.75</v>
      </c>
      <c r="BD502" s="3">
        <v>45474</v>
      </c>
      <c r="BE502" s="1">
        <v>4.7</v>
      </c>
      <c r="BF502" s="3">
        <v>45502</v>
      </c>
      <c r="BG502" s="1">
        <v>4.3150000000000004</v>
      </c>
      <c r="BH502" s="3">
        <v>45502</v>
      </c>
      <c r="BI502" s="1">
        <v>4.09</v>
      </c>
      <c r="BJ502" s="3">
        <v>45502</v>
      </c>
      <c r="BK502" s="1">
        <v>4.0380000000000003</v>
      </c>
      <c r="BL502" s="3">
        <v>45502</v>
      </c>
      <c r="BM502" s="1">
        <v>3.6930000000000001</v>
      </c>
      <c r="BN502" s="3">
        <v>45502</v>
      </c>
      <c r="BO502" s="1">
        <v>3.4049999999999998</v>
      </c>
      <c r="BP502" s="3">
        <v>45502</v>
      </c>
      <c r="BQ502" s="1">
        <v>3.2349999999999999</v>
      </c>
      <c r="BR502" s="3">
        <v>45502</v>
      </c>
      <c r="BS502" s="1">
        <v>3.19</v>
      </c>
      <c r="BT502" s="3">
        <v>45502</v>
      </c>
      <c r="BU502" s="1">
        <v>3.1680000000000001</v>
      </c>
      <c r="BV502" s="3">
        <v>45502</v>
      </c>
      <c r="BW502" s="1">
        <v>3.18</v>
      </c>
      <c r="BY502" s="3">
        <v>45476</v>
      </c>
      <c r="BZ502" s="1">
        <v>7</v>
      </c>
      <c r="CA502" s="3">
        <v>45464</v>
      </c>
      <c r="CB502" s="1">
        <v>6.88</v>
      </c>
      <c r="CC502" s="3">
        <v>45502</v>
      </c>
      <c r="CD502" s="1">
        <v>6.46</v>
      </c>
      <c r="CE502" s="3">
        <v>45502</v>
      </c>
      <c r="CF502" s="1">
        <v>6.31</v>
      </c>
      <c r="CG502" s="3">
        <v>45502</v>
      </c>
      <c r="CH502" s="1">
        <v>6.21</v>
      </c>
      <c r="CI502" s="3">
        <v>45502</v>
      </c>
      <c r="CJ502" s="1">
        <v>5.95</v>
      </c>
      <c r="CK502" s="3">
        <v>45502</v>
      </c>
      <c r="CL502" s="1">
        <v>5.57</v>
      </c>
      <c r="CM502" s="3">
        <v>45502</v>
      </c>
      <c r="CN502" s="1">
        <v>5.2175000000000002</v>
      </c>
      <c r="CO502" s="3">
        <v>45492</v>
      </c>
      <c r="CP502" s="1">
        <v>5.29</v>
      </c>
      <c r="CQ502" s="3">
        <v>45492</v>
      </c>
      <c r="CR502" s="1">
        <v>5.1924999999999999</v>
      </c>
      <c r="CS502" s="3">
        <v>45492</v>
      </c>
      <c r="CT502" s="1">
        <v>5.2175000000000002</v>
      </c>
    </row>
    <row r="503" spans="31:98" x14ac:dyDescent="0.2">
      <c r="AE503" s="3">
        <v>45491</v>
      </c>
      <c r="AF503" s="1">
        <v>5.75</v>
      </c>
      <c r="AG503" s="3">
        <v>45470</v>
      </c>
      <c r="AH503" s="1">
        <v>5.85</v>
      </c>
      <c r="AI503" s="3">
        <v>45499</v>
      </c>
      <c r="AJ503" s="2">
        <v>5.8525</v>
      </c>
      <c r="AK503" s="3">
        <v>45499</v>
      </c>
      <c r="AL503" s="2">
        <v>5.835</v>
      </c>
      <c r="AM503" s="3">
        <v>45499</v>
      </c>
      <c r="AN503" s="2">
        <v>5.81</v>
      </c>
      <c r="AO503" s="3">
        <v>45499</v>
      </c>
      <c r="AP503" s="2">
        <v>5.6849999999999996</v>
      </c>
      <c r="AQ503" s="3">
        <v>45499</v>
      </c>
      <c r="AR503" s="2">
        <v>5.3775000000000004</v>
      </c>
      <c r="AS503" s="3">
        <v>45499</v>
      </c>
      <c r="AT503" s="2">
        <v>5.0324999999999998</v>
      </c>
      <c r="AU503" s="3">
        <v>45499</v>
      </c>
      <c r="AV503" s="2">
        <v>4.7575000000000003</v>
      </c>
      <c r="AW503" s="3">
        <v>45499</v>
      </c>
      <c r="AX503" s="2">
        <v>4.5324999999999998</v>
      </c>
      <c r="AY503" s="3">
        <v>45499</v>
      </c>
      <c r="AZ503" s="2">
        <v>4.3975</v>
      </c>
      <c r="BB503" s="3">
        <v>45470</v>
      </c>
      <c r="BC503" s="1">
        <v>5.25</v>
      </c>
      <c r="BD503" s="3">
        <v>45471</v>
      </c>
      <c r="BE503" s="1">
        <v>4.71</v>
      </c>
      <c r="BF503" s="3">
        <v>45499</v>
      </c>
      <c r="BG503" s="1">
        <v>4.335</v>
      </c>
      <c r="BH503" s="3">
        <v>45499</v>
      </c>
      <c r="BI503" s="1">
        <v>4.1050000000000004</v>
      </c>
      <c r="BJ503" s="3">
        <v>45499</v>
      </c>
      <c r="BK503" s="1">
        <v>4.0549999999999997</v>
      </c>
      <c r="BL503" s="3">
        <v>45499</v>
      </c>
      <c r="BM503" s="1">
        <v>3.7229999999999999</v>
      </c>
      <c r="BN503" s="3">
        <v>45499</v>
      </c>
      <c r="BO503" s="1">
        <v>3.4430000000000001</v>
      </c>
      <c r="BP503" s="3">
        <v>45499</v>
      </c>
      <c r="BQ503" s="1">
        <v>3.27</v>
      </c>
      <c r="BR503" s="3">
        <v>45499</v>
      </c>
      <c r="BS503" s="1">
        <v>3.2280000000000002</v>
      </c>
      <c r="BT503" s="3">
        <v>45499</v>
      </c>
      <c r="BU503" s="1">
        <v>3.21</v>
      </c>
      <c r="BV503" s="3">
        <v>45499</v>
      </c>
      <c r="BW503" s="1">
        <v>3.2250000000000001</v>
      </c>
      <c r="BY503" s="3">
        <v>45475</v>
      </c>
      <c r="BZ503" s="1">
        <v>7</v>
      </c>
      <c r="CA503" s="3">
        <v>45463</v>
      </c>
      <c r="CB503" s="1">
        <v>6.87</v>
      </c>
      <c r="CC503" s="3">
        <v>45499</v>
      </c>
      <c r="CD503" s="1">
        <v>6.5</v>
      </c>
      <c r="CE503" s="3">
        <v>45499</v>
      </c>
      <c r="CF503" s="1">
        <v>6.38</v>
      </c>
      <c r="CG503" s="3">
        <v>45499</v>
      </c>
      <c r="CH503" s="1">
        <v>6.31</v>
      </c>
      <c r="CI503" s="3">
        <v>45499</v>
      </c>
      <c r="CJ503" s="1">
        <v>6.06</v>
      </c>
      <c r="CK503" s="3">
        <v>45499</v>
      </c>
      <c r="CL503" s="1">
        <v>5.69</v>
      </c>
      <c r="CM503" s="3">
        <v>45499</v>
      </c>
      <c r="CN503" s="1">
        <v>5.3775000000000004</v>
      </c>
      <c r="CO503" s="3">
        <v>45491</v>
      </c>
      <c r="CP503" s="1">
        <v>5.2649999999999997</v>
      </c>
      <c r="CQ503" s="3">
        <v>45491</v>
      </c>
      <c r="CR503" s="1">
        <v>5.1675000000000004</v>
      </c>
      <c r="CS503" s="3">
        <v>45491</v>
      </c>
      <c r="CT503" s="1">
        <v>5.1924999999999999</v>
      </c>
    </row>
    <row r="504" spans="31:98" x14ac:dyDescent="0.2">
      <c r="AE504" s="3">
        <v>45490</v>
      </c>
      <c r="AF504" s="1">
        <v>5.75</v>
      </c>
      <c r="AG504" s="3">
        <v>45469</v>
      </c>
      <c r="AH504" s="1">
        <v>5.85</v>
      </c>
      <c r="AI504" s="3">
        <v>45498</v>
      </c>
      <c r="AJ504" s="2">
        <v>5.8574999999999999</v>
      </c>
      <c r="AK504" s="3">
        <v>45498</v>
      </c>
      <c r="AL504" s="2">
        <v>5.835</v>
      </c>
      <c r="AM504" s="3">
        <v>45498</v>
      </c>
      <c r="AN504" s="2">
        <v>5.8075000000000001</v>
      </c>
      <c r="AO504" s="3">
        <v>45498</v>
      </c>
      <c r="AP504" s="2">
        <v>5.6749999999999998</v>
      </c>
      <c r="AQ504" s="3">
        <v>45498</v>
      </c>
      <c r="AR504" s="2">
        <v>5.35</v>
      </c>
      <c r="AS504" s="3">
        <v>45498</v>
      </c>
      <c r="AT504" s="2">
        <v>4.99</v>
      </c>
      <c r="AU504" s="3">
        <v>45498</v>
      </c>
      <c r="AV504" s="2">
        <v>4.7050000000000001</v>
      </c>
      <c r="AW504" s="3">
        <v>45498</v>
      </c>
      <c r="AX504" s="2">
        <v>4.4850000000000003</v>
      </c>
      <c r="AY504" s="3">
        <v>45498</v>
      </c>
      <c r="AZ504" s="2">
        <v>4.3499999999999996</v>
      </c>
      <c r="BB504" s="3">
        <v>45469</v>
      </c>
      <c r="BC504" s="1">
        <v>5.25</v>
      </c>
      <c r="BD504" s="3">
        <v>45470</v>
      </c>
      <c r="BE504" s="1">
        <v>4.96</v>
      </c>
      <c r="BF504" s="3">
        <v>45498</v>
      </c>
      <c r="BG504" s="1">
        <v>4.3449999999999998</v>
      </c>
      <c r="BH504" s="3">
        <v>45498</v>
      </c>
      <c r="BI504" s="1">
        <v>4.1180000000000003</v>
      </c>
      <c r="BJ504" s="3">
        <v>45498</v>
      </c>
      <c r="BK504" s="1">
        <v>4.07</v>
      </c>
      <c r="BL504" s="3">
        <v>45498</v>
      </c>
      <c r="BM504" s="1">
        <v>3.7450000000000001</v>
      </c>
      <c r="BN504" s="3">
        <v>45498</v>
      </c>
      <c r="BO504" s="1">
        <v>3.4830000000000001</v>
      </c>
      <c r="BP504" s="3">
        <v>45498</v>
      </c>
      <c r="BQ504" s="1">
        <v>3.3149999999999999</v>
      </c>
      <c r="BR504" s="3">
        <v>45498</v>
      </c>
      <c r="BS504" s="1">
        <v>3.28</v>
      </c>
      <c r="BT504" s="3">
        <v>45498</v>
      </c>
      <c r="BU504" s="1">
        <v>3.2650000000000001</v>
      </c>
      <c r="BV504" s="3">
        <v>45498</v>
      </c>
      <c r="BW504" s="1">
        <v>3.2879999999999998</v>
      </c>
      <c r="BY504" s="3">
        <v>45474</v>
      </c>
      <c r="BZ504" s="1">
        <v>7</v>
      </c>
      <c r="CA504" s="3">
        <v>45462</v>
      </c>
      <c r="CB504" s="1">
        <v>6.87</v>
      </c>
      <c r="CC504" s="3">
        <v>45498</v>
      </c>
      <c r="CD504" s="1">
        <v>6.5759999999999996</v>
      </c>
      <c r="CE504" s="3">
        <v>45498</v>
      </c>
      <c r="CF504" s="1">
        <v>6.4029999999999996</v>
      </c>
      <c r="CG504" s="3">
        <v>45498</v>
      </c>
      <c r="CH504" s="1">
        <v>6.32</v>
      </c>
      <c r="CI504" s="3">
        <v>45498</v>
      </c>
      <c r="CJ504" s="1">
        <v>6.07</v>
      </c>
      <c r="CK504" s="3">
        <v>45498</v>
      </c>
      <c r="CL504" s="1">
        <v>5.7</v>
      </c>
      <c r="CM504" s="3">
        <v>45498</v>
      </c>
      <c r="CN504" s="1">
        <v>5.3624999999999998</v>
      </c>
      <c r="CO504" s="3">
        <v>45490</v>
      </c>
      <c r="CP504" s="1">
        <v>5.2949999999999999</v>
      </c>
      <c r="CQ504" s="3">
        <v>45490</v>
      </c>
      <c r="CR504" s="1">
        <v>5.1974999999999998</v>
      </c>
      <c r="CS504" s="3">
        <v>45490</v>
      </c>
      <c r="CT504" s="1">
        <v>5.2225000000000001</v>
      </c>
    </row>
    <row r="505" spans="31:98" x14ac:dyDescent="0.2">
      <c r="AE505" s="3">
        <v>45489</v>
      </c>
      <c r="AF505" s="1">
        <v>5.75</v>
      </c>
      <c r="AG505" s="3">
        <v>45468</v>
      </c>
      <c r="AH505" s="1">
        <v>5.85</v>
      </c>
      <c r="AI505" s="3">
        <v>45497</v>
      </c>
      <c r="AJ505" s="2">
        <v>5.8550000000000004</v>
      </c>
      <c r="AK505" s="3">
        <v>45497</v>
      </c>
      <c r="AL505" s="2">
        <v>5.85</v>
      </c>
      <c r="AM505" s="3">
        <v>45497</v>
      </c>
      <c r="AN505" s="2">
        <v>5.8150000000000004</v>
      </c>
      <c r="AO505" s="3">
        <v>45497</v>
      </c>
      <c r="AP505" s="2">
        <v>5.68</v>
      </c>
      <c r="AQ505" s="3">
        <v>45497</v>
      </c>
      <c r="AR505" s="2">
        <v>5.3550000000000004</v>
      </c>
      <c r="AS505" s="3">
        <v>45497</v>
      </c>
      <c r="AT505" s="2">
        <v>4.99</v>
      </c>
      <c r="AU505" s="3">
        <v>45497</v>
      </c>
      <c r="AV505" s="2">
        <v>4.6950000000000003</v>
      </c>
      <c r="AW505" s="3">
        <v>45497</v>
      </c>
      <c r="AX505" s="2">
        <v>4.47</v>
      </c>
      <c r="AY505" s="3">
        <v>45497</v>
      </c>
      <c r="AZ505" s="2">
        <v>4.33</v>
      </c>
      <c r="BB505" s="3">
        <v>45468</v>
      </c>
      <c r="BC505" s="1">
        <v>5.25</v>
      </c>
      <c r="BD505" s="3">
        <v>45469</v>
      </c>
      <c r="BE505" s="1">
        <v>4.97</v>
      </c>
      <c r="BF505" s="3">
        <v>45497</v>
      </c>
      <c r="BG505" s="1">
        <v>4.3449999999999998</v>
      </c>
      <c r="BH505" s="3">
        <v>45497</v>
      </c>
      <c r="BI505" s="1">
        <v>4.2549999999999999</v>
      </c>
      <c r="BJ505" s="3">
        <v>45497</v>
      </c>
      <c r="BK505" s="1">
        <v>4.0549999999999997</v>
      </c>
      <c r="BL505" s="3">
        <v>45497</v>
      </c>
      <c r="BM505" s="1">
        <v>3.7149999999999999</v>
      </c>
      <c r="BN505" s="3">
        <v>45497</v>
      </c>
      <c r="BO505" s="1">
        <v>3.4350000000000001</v>
      </c>
      <c r="BP505" s="3">
        <v>45497</v>
      </c>
      <c r="BQ505" s="1">
        <v>3.24</v>
      </c>
      <c r="BR505" s="3">
        <v>45497</v>
      </c>
      <c r="BS505" s="1">
        <v>3.2</v>
      </c>
      <c r="BT505" s="3">
        <v>45497</v>
      </c>
      <c r="BU505" s="1">
        <v>3.19</v>
      </c>
      <c r="BV505" s="3">
        <v>45497</v>
      </c>
      <c r="BW505" s="1">
        <v>3.21</v>
      </c>
      <c r="BY505" s="3">
        <v>45471</v>
      </c>
      <c r="BZ505" s="1">
        <v>7</v>
      </c>
      <c r="CA505" s="3">
        <v>45461</v>
      </c>
      <c r="CB505" s="1">
        <v>6.87</v>
      </c>
      <c r="CC505" s="3">
        <v>45497</v>
      </c>
      <c r="CD505" s="1">
        <v>6.58</v>
      </c>
      <c r="CE505" s="3">
        <v>45497</v>
      </c>
      <c r="CF505" s="1">
        <v>6.44</v>
      </c>
      <c r="CG505" s="3">
        <v>45497</v>
      </c>
      <c r="CH505" s="1">
        <v>6.31</v>
      </c>
      <c r="CI505" s="3">
        <v>45497</v>
      </c>
      <c r="CJ505" s="1">
        <v>6.05</v>
      </c>
      <c r="CK505" s="3">
        <v>45497</v>
      </c>
      <c r="CL505" s="1">
        <v>5.69</v>
      </c>
      <c r="CM505" s="3">
        <v>45497</v>
      </c>
      <c r="CN505" s="1">
        <v>5.33</v>
      </c>
      <c r="CO505" s="3">
        <v>45489</v>
      </c>
      <c r="CP505" s="1">
        <v>5.2149999999999999</v>
      </c>
      <c r="CQ505" s="3">
        <v>45489</v>
      </c>
      <c r="CR505" s="1">
        <v>5.1174999999999997</v>
      </c>
      <c r="CS505" s="3">
        <v>45489</v>
      </c>
      <c r="CT505" s="1">
        <v>5.1425000000000001</v>
      </c>
    </row>
    <row r="506" spans="31:98" x14ac:dyDescent="0.2">
      <c r="AE506" s="3">
        <v>45488</v>
      </c>
      <c r="AF506" s="1">
        <v>5.75</v>
      </c>
      <c r="AG506" s="3">
        <v>45467</v>
      </c>
      <c r="AH506" s="1">
        <v>5.85</v>
      </c>
      <c r="AI506" s="3">
        <v>45496</v>
      </c>
      <c r="AJ506" s="2">
        <v>5.8550000000000004</v>
      </c>
      <c r="AK506" s="3">
        <v>45496</v>
      </c>
      <c r="AL506" s="2">
        <v>5.85</v>
      </c>
      <c r="AM506" s="3">
        <v>45496</v>
      </c>
      <c r="AN506" s="2">
        <v>5.8174999999999999</v>
      </c>
      <c r="AO506" s="3">
        <v>45496</v>
      </c>
      <c r="AP506" s="2">
        <v>5.6950000000000003</v>
      </c>
      <c r="AQ506" s="3">
        <v>45496</v>
      </c>
      <c r="AR506" s="2">
        <v>5.3825000000000003</v>
      </c>
      <c r="AS506" s="3">
        <v>45496</v>
      </c>
      <c r="AT506" s="2">
        <v>5.0374999999999996</v>
      </c>
      <c r="AU506" s="3">
        <v>45496</v>
      </c>
      <c r="AV506" s="2">
        <v>4.7525000000000004</v>
      </c>
      <c r="AW506" s="3">
        <v>45496</v>
      </c>
      <c r="AX506" s="2">
        <v>4.5374999999999996</v>
      </c>
      <c r="AY506" s="3">
        <v>45496</v>
      </c>
      <c r="AZ506" s="2">
        <v>4.3975</v>
      </c>
      <c r="BB506" s="3">
        <v>45467</v>
      </c>
      <c r="BC506" s="1">
        <v>5.25</v>
      </c>
      <c r="BD506" s="3">
        <v>45468</v>
      </c>
      <c r="BE506" s="1">
        <v>4.9800000000000004</v>
      </c>
      <c r="BF506" s="3">
        <v>45496</v>
      </c>
      <c r="BG506" s="1">
        <v>4.3099999999999996</v>
      </c>
      <c r="BH506" s="3">
        <v>45496</v>
      </c>
      <c r="BI506" s="1">
        <v>4.2229999999999999</v>
      </c>
      <c r="BJ506" s="3">
        <v>45496</v>
      </c>
      <c r="BK506" s="1">
        <v>4.04</v>
      </c>
      <c r="BL506" s="3">
        <v>45496</v>
      </c>
      <c r="BM506" s="1">
        <v>3.6749999999999998</v>
      </c>
      <c r="BN506" s="3">
        <v>45496</v>
      </c>
      <c r="BO506" s="1">
        <v>3.375</v>
      </c>
      <c r="BP506" s="3">
        <v>45496</v>
      </c>
      <c r="BQ506" s="1">
        <v>3.1749999999999998</v>
      </c>
      <c r="BR506" s="3">
        <v>45496</v>
      </c>
      <c r="BS506" s="1">
        <v>3.14</v>
      </c>
      <c r="BT506" s="3">
        <v>45496</v>
      </c>
      <c r="BU506" s="1">
        <v>3.125</v>
      </c>
      <c r="BV506" s="3">
        <v>45496</v>
      </c>
      <c r="BW506" s="1">
        <v>3.14</v>
      </c>
      <c r="BY506" s="3">
        <v>45470</v>
      </c>
      <c r="BZ506" s="1">
        <v>7</v>
      </c>
      <c r="CA506" s="3">
        <v>45460</v>
      </c>
      <c r="CB506" s="1">
        <v>6.88</v>
      </c>
      <c r="CC506" s="3">
        <v>45496</v>
      </c>
      <c r="CD506" s="1">
        <v>6.6529999999999996</v>
      </c>
      <c r="CE506" s="3">
        <v>45496</v>
      </c>
      <c r="CF506" s="1">
        <v>6.5069999999999997</v>
      </c>
      <c r="CG506" s="3">
        <v>45496</v>
      </c>
      <c r="CH506" s="1">
        <v>6.36</v>
      </c>
      <c r="CI506" s="3">
        <v>45496</v>
      </c>
      <c r="CJ506" s="1">
        <v>6.06</v>
      </c>
      <c r="CK506" s="3">
        <v>45496</v>
      </c>
      <c r="CL506" s="1">
        <v>5.72</v>
      </c>
      <c r="CM506" s="3">
        <v>45496</v>
      </c>
      <c r="CN506" s="1">
        <v>5.3525</v>
      </c>
      <c r="CO506" s="3">
        <v>45488</v>
      </c>
      <c r="CP506" s="1">
        <v>5.2675000000000001</v>
      </c>
      <c r="CQ506" s="3">
        <v>45488</v>
      </c>
      <c r="CR506" s="1">
        <v>5.1950000000000003</v>
      </c>
      <c r="CS506" s="3">
        <v>45488</v>
      </c>
      <c r="CT506" s="1">
        <v>5.2249999999999996</v>
      </c>
    </row>
    <row r="507" spans="31:98" x14ac:dyDescent="0.2">
      <c r="AE507" s="3">
        <v>45485</v>
      </c>
      <c r="AF507" s="1">
        <v>5.75</v>
      </c>
      <c r="AG507" s="3">
        <v>45464</v>
      </c>
      <c r="AH507" s="1">
        <v>5.85</v>
      </c>
      <c r="AI507" s="3">
        <v>45495</v>
      </c>
      <c r="AJ507" s="2">
        <v>5.8449999999999998</v>
      </c>
      <c r="AK507" s="3">
        <v>45495</v>
      </c>
      <c r="AL507" s="2">
        <v>5.85</v>
      </c>
      <c r="AM507" s="3">
        <v>45495</v>
      </c>
      <c r="AN507" s="2">
        <v>5.82</v>
      </c>
      <c r="AO507" s="3">
        <v>45495</v>
      </c>
      <c r="AP507" s="2">
        <v>5.7</v>
      </c>
      <c r="AQ507" s="3">
        <v>45495</v>
      </c>
      <c r="AR507" s="2">
        <v>5.4</v>
      </c>
      <c r="AS507" s="3">
        <v>45495</v>
      </c>
      <c r="AT507" s="2">
        <v>5.07</v>
      </c>
      <c r="AU507" s="3">
        <v>45495</v>
      </c>
      <c r="AV507" s="2">
        <v>4.8</v>
      </c>
      <c r="AW507" s="3">
        <v>45495</v>
      </c>
      <c r="AX507" s="2">
        <v>4.59</v>
      </c>
      <c r="AY507" s="3">
        <v>45495</v>
      </c>
      <c r="AZ507" s="2">
        <v>4.45</v>
      </c>
      <c r="BB507" s="3">
        <v>45464</v>
      </c>
      <c r="BC507" s="1">
        <v>5.25</v>
      </c>
      <c r="BD507" s="3">
        <v>45467</v>
      </c>
      <c r="BE507" s="1">
        <v>4.99</v>
      </c>
      <c r="BF507" s="3">
        <v>45495</v>
      </c>
      <c r="BG507" s="1">
        <v>4.3449999999999998</v>
      </c>
      <c r="BH507" s="3">
        <v>45495</v>
      </c>
      <c r="BI507" s="1">
        <v>4.26</v>
      </c>
      <c r="BJ507" s="3">
        <v>45495</v>
      </c>
      <c r="BK507" s="1">
        <v>4.085</v>
      </c>
      <c r="BL507" s="3">
        <v>45495</v>
      </c>
      <c r="BM507" s="1">
        <v>3.7050000000000001</v>
      </c>
      <c r="BN507" s="3">
        <v>45495</v>
      </c>
      <c r="BO507" s="1">
        <v>3.4249999999999998</v>
      </c>
      <c r="BP507" s="3">
        <v>45495</v>
      </c>
      <c r="BQ507" s="1">
        <v>3.2530000000000001</v>
      </c>
      <c r="BR507" s="3">
        <v>45495</v>
      </c>
      <c r="BS507" s="1">
        <v>3.2229999999999999</v>
      </c>
      <c r="BT507" s="3">
        <v>45495</v>
      </c>
      <c r="BU507" s="1">
        <v>3.2029999999999998</v>
      </c>
      <c r="BV507" s="3">
        <v>45495</v>
      </c>
      <c r="BW507" s="1">
        <v>3.2080000000000002</v>
      </c>
      <c r="BY507" s="3">
        <v>45469</v>
      </c>
      <c r="BZ507" s="1">
        <v>7</v>
      </c>
      <c r="CA507" s="3">
        <v>45457</v>
      </c>
      <c r="CB507" s="1">
        <v>6.87</v>
      </c>
      <c r="CC507" s="3">
        <v>45495</v>
      </c>
      <c r="CD507" s="1">
        <v>6.64</v>
      </c>
      <c r="CE507" s="3">
        <v>45495</v>
      </c>
      <c r="CF507" s="1">
        <v>6.47</v>
      </c>
      <c r="CG507" s="3">
        <v>45495</v>
      </c>
      <c r="CH507" s="1">
        <v>6.32</v>
      </c>
      <c r="CI507" s="3">
        <v>45495</v>
      </c>
      <c r="CJ507" s="1">
        <v>5.97</v>
      </c>
      <c r="CK507" s="3">
        <v>45495</v>
      </c>
      <c r="CL507" s="1">
        <v>5.63</v>
      </c>
      <c r="CM507" s="3">
        <v>45495</v>
      </c>
      <c r="CN507" s="1">
        <v>5.2949999999999999</v>
      </c>
      <c r="CO507" s="3">
        <v>45485</v>
      </c>
      <c r="CP507" s="1">
        <v>5.3724999999999996</v>
      </c>
      <c r="CQ507" s="3">
        <v>45485</v>
      </c>
      <c r="CR507" s="1">
        <v>5.3</v>
      </c>
      <c r="CS507" s="3">
        <v>45485</v>
      </c>
      <c r="CT507" s="1">
        <v>5.34</v>
      </c>
    </row>
    <row r="508" spans="31:98" x14ac:dyDescent="0.2">
      <c r="AE508" s="3">
        <v>45484</v>
      </c>
      <c r="AF508" s="1">
        <v>5.75</v>
      </c>
      <c r="AG508" s="3">
        <v>45463</v>
      </c>
      <c r="AH508" s="1">
        <v>5.85</v>
      </c>
      <c r="AI508" s="3">
        <v>45492</v>
      </c>
      <c r="AJ508" s="2">
        <v>5.85</v>
      </c>
      <c r="AK508" s="3">
        <v>45492</v>
      </c>
      <c r="AL508" s="2">
        <v>5.84</v>
      </c>
      <c r="AM508" s="3">
        <v>45492</v>
      </c>
      <c r="AN508" s="2">
        <v>5.81</v>
      </c>
      <c r="AO508" s="3">
        <v>45492</v>
      </c>
      <c r="AP508" s="2">
        <v>5.6974999999999998</v>
      </c>
      <c r="AQ508" s="3">
        <v>45492</v>
      </c>
      <c r="AR508" s="2">
        <v>5.42</v>
      </c>
      <c r="AS508" s="3">
        <v>45492</v>
      </c>
      <c r="AT508" s="2">
        <v>5.0949999999999998</v>
      </c>
      <c r="AU508" s="3">
        <v>45492</v>
      </c>
      <c r="AV508" s="2">
        <v>4.83</v>
      </c>
      <c r="AW508" s="3">
        <v>45492</v>
      </c>
      <c r="AX508" s="2">
        <v>4.62</v>
      </c>
      <c r="AY508" s="3">
        <v>45492</v>
      </c>
      <c r="AZ508" s="2">
        <v>4.4800000000000004</v>
      </c>
      <c r="BB508" s="3">
        <v>45463</v>
      </c>
      <c r="BC508" s="1">
        <v>5.25</v>
      </c>
      <c r="BD508" s="3">
        <v>45464</v>
      </c>
      <c r="BE508" s="1">
        <v>5</v>
      </c>
      <c r="BF508" s="3">
        <v>45492</v>
      </c>
      <c r="BG508" s="1">
        <v>4.3499999999999996</v>
      </c>
      <c r="BH508" s="3">
        <v>45492</v>
      </c>
      <c r="BI508" s="1">
        <v>4.29</v>
      </c>
      <c r="BJ508" s="3">
        <v>45492</v>
      </c>
      <c r="BK508" s="1">
        <v>4.1150000000000002</v>
      </c>
      <c r="BL508" s="3">
        <v>45492</v>
      </c>
      <c r="BM508" s="1">
        <v>3.77</v>
      </c>
      <c r="BN508" s="3">
        <v>45492</v>
      </c>
      <c r="BO508" s="1">
        <v>3.5329999999999999</v>
      </c>
      <c r="BP508" s="3">
        <v>45492</v>
      </c>
      <c r="BQ508" s="1">
        <v>3.375</v>
      </c>
      <c r="BR508" s="3">
        <v>45492</v>
      </c>
      <c r="BS508" s="1">
        <v>3.3380000000000001</v>
      </c>
      <c r="BT508" s="3">
        <v>45492</v>
      </c>
      <c r="BU508" s="1">
        <v>3.3130000000000002</v>
      </c>
      <c r="BV508" s="3">
        <v>45492</v>
      </c>
      <c r="BW508" s="1">
        <v>3.3130000000000002</v>
      </c>
      <c r="BY508" s="3">
        <v>45468</v>
      </c>
      <c r="BZ508" s="1">
        <v>7</v>
      </c>
      <c r="CA508" s="3">
        <v>45456</v>
      </c>
      <c r="CB508" s="1">
        <v>6.88</v>
      </c>
      <c r="CC508" s="3">
        <v>45492</v>
      </c>
      <c r="CD508" s="1">
        <v>6.67</v>
      </c>
      <c r="CE508" s="3">
        <v>45492</v>
      </c>
      <c r="CF508" s="1">
        <v>6.51</v>
      </c>
      <c r="CG508" s="3">
        <v>45492</v>
      </c>
      <c r="CH508" s="1">
        <v>6.36</v>
      </c>
      <c r="CI508" s="3">
        <v>45492</v>
      </c>
      <c r="CJ508" s="1">
        <v>6.03</v>
      </c>
      <c r="CK508" s="3">
        <v>45492</v>
      </c>
      <c r="CL508" s="1">
        <v>5.71</v>
      </c>
      <c r="CM508" s="3">
        <v>45492</v>
      </c>
      <c r="CN508" s="1">
        <v>5.4024999999999999</v>
      </c>
      <c r="CO508" s="3">
        <v>45484</v>
      </c>
      <c r="CP508" s="1">
        <v>5.44</v>
      </c>
      <c r="CQ508" s="3">
        <v>45484</v>
      </c>
      <c r="CR508" s="1">
        <v>5.3674999999999997</v>
      </c>
      <c r="CS508" s="3">
        <v>45484</v>
      </c>
      <c r="CT508" s="1">
        <v>5.4074999999999998</v>
      </c>
    </row>
    <row r="509" spans="31:98" x14ac:dyDescent="0.2">
      <c r="AE509" s="3">
        <v>45483</v>
      </c>
      <c r="AF509" s="1">
        <v>5.75</v>
      </c>
      <c r="AG509" s="3">
        <v>45462</v>
      </c>
      <c r="AH509" s="1">
        <v>5.85</v>
      </c>
      <c r="AI509" s="3">
        <v>45491</v>
      </c>
      <c r="AJ509" s="2">
        <v>5.8505000000000003</v>
      </c>
      <c r="AK509" s="3">
        <v>45491</v>
      </c>
      <c r="AL509" s="2">
        <v>5.8375000000000004</v>
      </c>
      <c r="AM509" s="3">
        <v>45491</v>
      </c>
      <c r="AN509" s="2">
        <v>5.8</v>
      </c>
      <c r="AO509" s="3">
        <v>45491</v>
      </c>
      <c r="AP509" s="2">
        <v>5.6675000000000004</v>
      </c>
      <c r="AQ509" s="3">
        <v>45491</v>
      </c>
      <c r="AR509" s="2">
        <v>5.3624999999999998</v>
      </c>
      <c r="AS509" s="3">
        <v>45491</v>
      </c>
      <c r="AT509" s="2">
        <v>5.0175000000000001</v>
      </c>
      <c r="AU509" s="3">
        <v>45491</v>
      </c>
      <c r="AV509" s="2">
        <v>4.7275</v>
      </c>
      <c r="AW509" s="3">
        <v>45491</v>
      </c>
      <c r="AX509" s="2">
        <v>4.5125000000000002</v>
      </c>
      <c r="AY509" s="3">
        <v>45491</v>
      </c>
      <c r="AZ509" s="2">
        <v>4.3724999999999996</v>
      </c>
      <c r="BB509" s="3">
        <v>45462</v>
      </c>
      <c r="BC509" s="1">
        <v>5.25</v>
      </c>
      <c r="BD509" s="3">
        <v>45463</v>
      </c>
      <c r="BE509" s="1">
        <v>5.0199999999999996</v>
      </c>
      <c r="BF509" s="3">
        <v>45491</v>
      </c>
      <c r="BG509" s="1">
        <v>4.3499999999999996</v>
      </c>
      <c r="BH509" s="3">
        <v>45491</v>
      </c>
      <c r="BI509" s="1">
        <v>4.2850000000000001</v>
      </c>
      <c r="BJ509" s="3">
        <v>45491</v>
      </c>
      <c r="BK509" s="1">
        <v>4.1100000000000003</v>
      </c>
      <c r="BL509" s="3">
        <v>45491</v>
      </c>
      <c r="BM509" s="1">
        <v>3.7450000000000001</v>
      </c>
      <c r="BN509" s="3">
        <v>45491</v>
      </c>
      <c r="BO509" s="1">
        <v>3.4929999999999999</v>
      </c>
      <c r="BP509" s="3">
        <v>45491</v>
      </c>
      <c r="BQ509" s="1">
        <v>3.33</v>
      </c>
      <c r="BR509" s="3">
        <v>45491</v>
      </c>
      <c r="BS509" s="1">
        <v>3.2879999999999998</v>
      </c>
      <c r="BT509" s="3">
        <v>45491</v>
      </c>
      <c r="BU509" s="1">
        <v>3.26</v>
      </c>
      <c r="BV509" s="3">
        <v>45491</v>
      </c>
      <c r="BW509" s="1">
        <v>3.2679999999999998</v>
      </c>
      <c r="BY509" s="3">
        <v>45464</v>
      </c>
      <c r="BZ509" s="1">
        <v>7</v>
      </c>
      <c r="CA509" s="3">
        <v>45455</v>
      </c>
      <c r="CB509" s="1">
        <v>6.9</v>
      </c>
      <c r="CC509" s="3">
        <v>45491</v>
      </c>
      <c r="CD509" s="1">
        <v>6.6840000000000002</v>
      </c>
      <c r="CE509" s="3">
        <v>45491</v>
      </c>
      <c r="CF509" s="1">
        <v>6.5060000000000002</v>
      </c>
      <c r="CG509" s="3">
        <v>45491</v>
      </c>
      <c r="CH509" s="1">
        <v>6.36</v>
      </c>
      <c r="CI509" s="3">
        <v>45491</v>
      </c>
      <c r="CJ509" s="1">
        <v>6.03</v>
      </c>
      <c r="CK509" s="3">
        <v>45491</v>
      </c>
      <c r="CL509" s="1">
        <v>5.71</v>
      </c>
      <c r="CM509" s="3">
        <v>45491</v>
      </c>
      <c r="CN509" s="1">
        <v>5.3775000000000004</v>
      </c>
      <c r="CO509" s="3">
        <v>45483</v>
      </c>
      <c r="CP509" s="1">
        <v>5.54</v>
      </c>
      <c r="CQ509" s="3">
        <v>45483</v>
      </c>
      <c r="CR509" s="1">
        <v>5.4649999999999999</v>
      </c>
      <c r="CS509" s="3">
        <v>45483</v>
      </c>
      <c r="CT509" s="1">
        <v>5.5049999999999999</v>
      </c>
    </row>
    <row r="510" spans="31:98" x14ac:dyDescent="0.2">
      <c r="AE510" s="3">
        <v>45482</v>
      </c>
      <c r="AF510" s="1">
        <v>5.75</v>
      </c>
      <c r="AG510" s="3">
        <v>45461</v>
      </c>
      <c r="AH510" s="1">
        <v>5.86</v>
      </c>
      <c r="AI510" s="3">
        <v>45490</v>
      </c>
      <c r="AJ510" s="2">
        <v>5.8573000000000004</v>
      </c>
      <c r="AK510" s="3">
        <v>45490</v>
      </c>
      <c r="AL510" s="2">
        <v>5.84</v>
      </c>
      <c r="AM510" s="3">
        <v>45490</v>
      </c>
      <c r="AN510" s="2">
        <v>5.8</v>
      </c>
      <c r="AO510" s="3">
        <v>45490</v>
      </c>
      <c r="AP510" s="2">
        <v>5.67</v>
      </c>
      <c r="AQ510" s="3">
        <v>45490</v>
      </c>
      <c r="AR510" s="2">
        <v>5.3550000000000004</v>
      </c>
      <c r="AS510" s="3">
        <v>45490</v>
      </c>
      <c r="AT510" s="2">
        <v>4.9950000000000001</v>
      </c>
      <c r="AU510" s="3">
        <v>45490</v>
      </c>
      <c r="AV510" s="2">
        <v>4.6950000000000003</v>
      </c>
      <c r="AW510" s="3">
        <v>45490</v>
      </c>
      <c r="AX510" s="2">
        <v>4.4800000000000004</v>
      </c>
      <c r="AY510" s="3">
        <v>45490</v>
      </c>
      <c r="AZ510" s="2">
        <v>4.34</v>
      </c>
      <c r="BB510" s="3">
        <v>45461</v>
      </c>
      <c r="BC510" s="1">
        <v>5.25</v>
      </c>
      <c r="BD510" s="3">
        <v>45462</v>
      </c>
      <c r="BE510" s="1">
        <v>5.04</v>
      </c>
      <c r="BF510" s="3">
        <v>45490</v>
      </c>
      <c r="BG510" s="1">
        <v>4.3650000000000002</v>
      </c>
      <c r="BH510" s="3">
        <v>45490</v>
      </c>
      <c r="BI510" s="1">
        <v>4.3029999999999999</v>
      </c>
      <c r="BJ510" s="3">
        <v>45490</v>
      </c>
      <c r="BK510" s="1">
        <v>4.13</v>
      </c>
      <c r="BL510" s="3">
        <v>45490</v>
      </c>
      <c r="BM510" s="1">
        <v>3.758</v>
      </c>
      <c r="BN510" s="3">
        <v>45490</v>
      </c>
      <c r="BO510" s="1">
        <v>3.5249999999999999</v>
      </c>
      <c r="BP510" s="3">
        <v>45490</v>
      </c>
      <c r="BQ510" s="1">
        <v>3.3530000000000002</v>
      </c>
      <c r="BR510" s="3">
        <v>45490</v>
      </c>
      <c r="BS510" s="1">
        <v>3.3050000000000002</v>
      </c>
      <c r="BT510" s="3">
        <v>45490</v>
      </c>
      <c r="BU510" s="1">
        <v>3.2749999999999999</v>
      </c>
      <c r="BV510" s="3">
        <v>45490</v>
      </c>
      <c r="BW510" s="1">
        <v>3.2749999999999999</v>
      </c>
      <c r="BY510" s="3">
        <v>45463</v>
      </c>
      <c r="BZ510" s="1">
        <v>7</v>
      </c>
      <c r="CA510" s="3">
        <v>45454</v>
      </c>
      <c r="CB510" s="1">
        <v>6.9</v>
      </c>
      <c r="CC510" s="3">
        <v>45490</v>
      </c>
      <c r="CD510" s="1">
        <v>6.6929999999999996</v>
      </c>
      <c r="CE510" s="3">
        <v>45490</v>
      </c>
      <c r="CF510" s="1">
        <v>6.5270000000000001</v>
      </c>
      <c r="CG510" s="3">
        <v>45490</v>
      </c>
      <c r="CH510" s="1">
        <v>6.38</v>
      </c>
      <c r="CI510" s="3">
        <v>45490</v>
      </c>
      <c r="CJ510" s="1">
        <v>6.05</v>
      </c>
      <c r="CK510" s="3">
        <v>45490</v>
      </c>
      <c r="CL510" s="1">
        <v>5.73</v>
      </c>
      <c r="CM510" s="3">
        <v>45490</v>
      </c>
      <c r="CN510" s="1">
        <v>5.4074999999999998</v>
      </c>
      <c r="CO510" s="3">
        <v>45482</v>
      </c>
      <c r="CP510" s="1">
        <v>5.6449999999999996</v>
      </c>
      <c r="CQ510" s="3">
        <v>45482</v>
      </c>
      <c r="CR510" s="1">
        <v>5.59</v>
      </c>
      <c r="CS510" s="3">
        <v>45482</v>
      </c>
      <c r="CT510" s="1">
        <v>5.63</v>
      </c>
    </row>
    <row r="511" spans="31:98" x14ac:dyDescent="0.2">
      <c r="AE511" s="3">
        <v>45481</v>
      </c>
      <c r="AF511" s="1">
        <v>5.75</v>
      </c>
      <c r="AG511" s="3">
        <v>45460</v>
      </c>
      <c r="AH511" s="1">
        <v>5.85</v>
      </c>
      <c r="AI511" s="3">
        <v>45489</v>
      </c>
      <c r="AJ511" s="2">
        <v>5.8514999999999997</v>
      </c>
      <c r="AK511" s="3">
        <v>45489</v>
      </c>
      <c r="AL511" s="2">
        <v>5.835</v>
      </c>
      <c r="AM511" s="3">
        <v>45489</v>
      </c>
      <c r="AN511" s="2">
        <v>5.8</v>
      </c>
      <c r="AO511" s="3">
        <v>45489</v>
      </c>
      <c r="AP511" s="2">
        <v>5.6749999999999998</v>
      </c>
      <c r="AQ511" s="3">
        <v>45489</v>
      </c>
      <c r="AR511" s="2">
        <v>5.36</v>
      </c>
      <c r="AS511" s="3">
        <v>45489</v>
      </c>
      <c r="AT511" s="2">
        <v>5</v>
      </c>
      <c r="AU511" s="3">
        <v>45489</v>
      </c>
      <c r="AV511" s="2">
        <v>4.7149999999999999</v>
      </c>
      <c r="AW511" s="3">
        <v>45489</v>
      </c>
      <c r="AX511" s="2">
        <v>4.51</v>
      </c>
      <c r="AY511" s="3">
        <v>45489</v>
      </c>
      <c r="AZ511" s="2">
        <v>4.375</v>
      </c>
      <c r="BB511" s="3">
        <v>45460</v>
      </c>
      <c r="BC511" s="1">
        <v>5.25</v>
      </c>
      <c r="BD511" s="3">
        <v>45461</v>
      </c>
      <c r="BE511" s="1">
        <v>5.04</v>
      </c>
      <c r="BF511" s="3">
        <v>45489</v>
      </c>
      <c r="BG511" s="1">
        <v>4.3650000000000002</v>
      </c>
      <c r="BH511" s="3">
        <v>45489</v>
      </c>
      <c r="BI511" s="1">
        <v>4.2930000000000001</v>
      </c>
      <c r="BJ511" s="3">
        <v>45489</v>
      </c>
      <c r="BK511" s="1">
        <v>4.1130000000000004</v>
      </c>
      <c r="BL511" s="3">
        <v>45489</v>
      </c>
      <c r="BM511" s="1">
        <v>3.71</v>
      </c>
      <c r="BN511" s="3">
        <v>45489</v>
      </c>
      <c r="BO511" s="1">
        <v>3.4529999999999998</v>
      </c>
      <c r="BP511" s="3">
        <v>45489</v>
      </c>
      <c r="BQ511" s="1">
        <v>3.27</v>
      </c>
      <c r="BR511" s="3">
        <v>45489</v>
      </c>
      <c r="BS511" s="1">
        <v>3.2280000000000002</v>
      </c>
      <c r="BT511" s="3">
        <v>45489</v>
      </c>
      <c r="BU511" s="1">
        <v>3.1949999999999998</v>
      </c>
      <c r="BV511" s="3">
        <v>45489</v>
      </c>
      <c r="BW511" s="1">
        <v>3.198</v>
      </c>
      <c r="BY511" s="3">
        <v>45462</v>
      </c>
      <c r="BZ511" s="1">
        <v>7</v>
      </c>
      <c r="CA511" s="3">
        <v>45453</v>
      </c>
      <c r="CB511" s="1">
        <v>6.92</v>
      </c>
      <c r="CC511" s="3">
        <v>45489</v>
      </c>
      <c r="CD511" s="1">
        <v>6.7</v>
      </c>
      <c r="CE511" s="3">
        <v>45489</v>
      </c>
      <c r="CF511" s="1">
        <v>6.53</v>
      </c>
      <c r="CG511" s="3">
        <v>45489</v>
      </c>
      <c r="CH511" s="1">
        <v>6.37</v>
      </c>
      <c r="CI511" s="3">
        <v>45489</v>
      </c>
      <c r="CJ511" s="1">
        <v>6.04</v>
      </c>
      <c r="CK511" s="3">
        <v>45489</v>
      </c>
      <c r="CL511" s="1">
        <v>5.72</v>
      </c>
      <c r="CM511" s="3">
        <v>45489</v>
      </c>
      <c r="CN511" s="1">
        <v>5.3274999999999997</v>
      </c>
      <c r="CO511" s="3">
        <v>45481</v>
      </c>
      <c r="CP511" s="1">
        <v>5.74</v>
      </c>
      <c r="CQ511" s="3">
        <v>45481</v>
      </c>
      <c r="CR511" s="1">
        <v>5.6749999999999998</v>
      </c>
      <c r="CS511" s="3">
        <v>45481</v>
      </c>
      <c r="CT511" s="1">
        <v>5.7050000000000001</v>
      </c>
    </row>
    <row r="512" spans="31:98" x14ac:dyDescent="0.2">
      <c r="AE512" s="3">
        <v>45478</v>
      </c>
      <c r="AF512" s="1">
        <v>5.75</v>
      </c>
      <c r="AG512" s="3">
        <v>45457</v>
      </c>
      <c r="AH512" s="1">
        <v>5.85</v>
      </c>
      <c r="AI512" s="3">
        <v>45488</v>
      </c>
      <c r="AJ512" s="2">
        <v>5.8470000000000004</v>
      </c>
      <c r="AK512" s="3">
        <v>45488</v>
      </c>
      <c r="AL512" s="2">
        <v>5.83</v>
      </c>
      <c r="AM512" s="3">
        <v>45488</v>
      </c>
      <c r="AN512" s="2">
        <v>5.7949999999999999</v>
      </c>
      <c r="AO512" s="3">
        <v>45488</v>
      </c>
      <c r="AP512" s="2">
        <v>5.67</v>
      </c>
      <c r="AQ512" s="3">
        <v>45488</v>
      </c>
      <c r="AR512" s="2">
        <v>5.3849999999999998</v>
      </c>
      <c r="AS512" s="3">
        <v>45488</v>
      </c>
      <c r="AT512" s="2">
        <v>5.07</v>
      </c>
      <c r="AU512" s="3">
        <v>45488</v>
      </c>
      <c r="AV512" s="2">
        <v>4.8099999999999996</v>
      </c>
      <c r="AW512" s="3">
        <v>45488</v>
      </c>
      <c r="AX512" s="2">
        <v>4.5999999999999996</v>
      </c>
      <c r="AY512" s="3">
        <v>45488</v>
      </c>
      <c r="AZ512" s="2">
        <v>4.4625000000000004</v>
      </c>
      <c r="BB512" s="3">
        <v>45457</v>
      </c>
      <c r="BC512" s="1">
        <v>5.25</v>
      </c>
      <c r="BD512" s="3">
        <v>45460</v>
      </c>
      <c r="BE512" s="1">
        <v>5.05</v>
      </c>
      <c r="BF512" s="3">
        <v>45488</v>
      </c>
      <c r="BG512" s="1">
        <v>4.3650000000000002</v>
      </c>
      <c r="BH512" s="3">
        <v>45488</v>
      </c>
      <c r="BI512" s="1">
        <v>4.3049999999999997</v>
      </c>
      <c r="BJ512" s="3">
        <v>45488</v>
      </c>
      <c r="BK512" s="1">
        <v>4.1150000000000002</v>
      </c>
      <c r="BL512" s="3">
        <v>45488</v>
      </c>
      <c r="BM512" s="1">
        <v>3.6850000000000001</v>
      </c>
      <c r="BN512" s="3">
        <v>45488</v>
      </c>
      <c r="BO512" s="1">
        <v>3.41</v>
      </c>
      <c r="BP512" s="3">
        <v>45488</v>
      </c>
      <c r="BQ512" s="1">
        <v>3.2149999999999999</v>
      </c>
      <c r="BR512" s="3">
        <v>45488</v>
      </c>
      <c r="BS512" s="1">
        <v>3.153</v>
      </c>
      <c r="BT512" s="3">
        <v>45488</v>
      </c>
      <c r="BU512" s="1">
        <v>3.1280000000000001</v>
      </c>
      <c r="BV512" s="3">
        <v>45488</v>
      </c>
      <c r="BW512" s="1">
        <v>3.14</v>
      </c>
      <c r="BY512" s="3">
        <v>45461</v>
      </c>
      <c r="BZ512" s="1">
        <v>7.25</v>
      </c>
      <c r="CA512" s="3">
        <v>45450</v>
      </c>
      <c r="CB512" s="1">
        <v>6.93</v>
      </c>
      <c r="CC512" s="3">
        <v>45488</v>
      </c>
      <c r="CD512" s="1">
        <v>6.7</v>
      </c>
      <c r="CE512" s="3">
        <v>45488</v>
      </c>
      <c r="CF512" s="1">
        <v>6.54</v>
      </c>
      <c r="CG512" s="3">
        <v>45488</v>
      </c>
      <c r="CH512" s="1">
        <v>6.39</v>
      </c>
      <c r="CI512" s="3">
        <v>45488</v>
      </c>
      <c r="CJ512" s="1">
        <v>6.06</v>
      </c>
      <c r="CK512" s="3">
        <v>45488</v>
      </c>
      <c r="CL512" s="1">
        <v>5.73</v>
      </c>
      <c r="CM512" s="3">
        <v>45488</v>
      </c>
      <c r="CN512" s="1">
        <v>5.36</v>
      </c>
      <c r="CO512" s="3">
        <v>45478</v>
      </c>
      <c r="CP512" s="1">
        <v>5.835</v>
      </c>
      <c r="CQ512" s="3">
        <v>45478</v>
      </c>
      <c r="CR512" s="1">
        <v>5.78</v>
      </c>
      <c r="CS512" s="3">
        <v>45478</v>
      </c>
      <c r="CT512" s="1">
        <v>5.81</v>
      </c>
    </row>
    <row r="513" spans="31:98" x14ac:dyDescent="0.2">
      <c r="AE513" s="3">
        <v>45477</v>
      </c>
      <c r="AF513" s="1">
        <v>5.75</v>
      </c>
      <c r="AG513" s="3">
        <v>45456</v>
      </c>
      <c r="AH513" s="1">
        <v>5.85</v>
      </c>
      <c r="AI513" s="3">
        <v>45485</v>
      </c>
      <c r="AJ513" s="2">
        <v>5.851</v>
      </c>
      <c r="AK513" s="3">
        <v>45485</v>
      </c>
      <c r="AL513" s="2">
        <v>5.8324999999999996</v>
      </c>
      <c r="AM513" s="3">
        <v>45485</v>
      </c>
      <c r="AN513" s="2">
        <v>5.8</v>
      </c>
      <c r="AO513" s="3">
        <v>45485</v>
      </c>
      <c r="AP513" s="2">
        <v>5.69</v>
      </c>
      <c r="AQ513" s="3">
        <v>45485</v>
      </c>
      <c r="AR513" s="2">
        <v>5.4325000000000001</v>
      </c>
      <c r="AS513" s="3">
        <v>45485</v>
      </c>
      <c r="AT513" s="2">
        <v>5.1275000000000004</v>
      </c>
      <c r="AU513" s="3">
        <v>45485</v>
      </c>
      <c r="AV513" s="2">
        <v>4.8724999999999996</v>
      </c>
      <c r="AW513" s="3">
        <v>45485</v>
      </c>
      <c r="AX513" s="2">
        <v>4.6775000000000002</v>
      </c>
      <c r="AY513" s="3">
        <v>45485</v>
      </c>
      <c r="AZ513" s="2">
        <v>4.5374999999999996</v>
      </c>
      <c r="BB513" s="3">
        <v>45456</v>
      </c>
      <c r="BC513" s="1">
        <v>5.25</v>
      </c>
      <c r="BD513" s="3">
        <v>45457</v>
      </c>
      <c r="BE513" s="1">
        <v>5.0599999999999996</v>
      </c>
      <c r="BF513" s="3">
        <v>45485</v>
      </c>
      <c r="BG513" s="1">
        <v>4.3600000000000003</v>
      </c>
      <c r="BH513" s="3">
        <v>45485</v>
      </c>
      <c r="BI513" s="1">
        <v>4.32</v>
      </c>
      <c r="BJ513" s="3">
        <v>45485</v>
      </c>
      <c r="BK513" s="1">
        <v>4.12</v>
      </c>
      <c r="BL513" s="3">
        <v>45485</v>
      </c>
      <c r="BM513" s="1">
        <v>3.7149999999999999</v>
      </c>
      <c r="BN513" s="3">
        <v>45485</v>
      </c>
      <c r="BO513" s="1">
        <v>3.46</v>
      </c>
      <c r="BP513" s="3">
        <v>45485</v>
      </c>
      <c r="BQ513" s="1">
        <v>3.27</v>
      </c>
      <c r="BR513" s="3">
        <v>45485</v>
      </c>
      <c r="BS513" s="1">
        <v>3.218</v>
      </c>
      <c r="BT513" s="3">
        <v>45485</v>
      </c>
      <c r="BU513" s="1">
        <v>3.1829999999999998</v>
      </c>
      <c r="BV513" s="3">
        <v>45485</v>
      </c>
      <c r="BW513" s="1">
        <v>3.1930000000000001</v>
      </c>
      <c r="BY513" s="3">
        <v>45460</v>
      </c>
      <c r="BZ513" s="1">
        <v>7.25</v>
      </c>
      <c r="CA513" s="3">
        <v>45449</v>
      </c>
      <c r="CB513" s="1">
        <v>6.95</v>
      </c>
      <c r="CC513" s="3">
        <v>45485</v>
      </c>
      <c r="CD513" s="1">
        <v>6.7169999999999996</v>
      </c>
      <c r="CE513" s="3">
        <v>45485</v>
      </c>
      <c r="CF513" s="1">
        <v>6.5629999999999997</v>
      </c>
      <c r="CG513" s="3">
        <v>45485</v>
      </c>
      <c r="CH513" s="1">
        <v>6.42</v>
      </c>
      <c r="CI513" s="3">
        <v>45485</v>
      </c>
      <c r="CJ513" s="1">
        <v>6.11</v>
      </c>
      <c r="CK513" s="3">
        <v>45485</v>
      </c>
      <c r="CL513" s="1">
        <v>5.79</v>
      </c>
      <c r="CM513" s="3">
        <v>45485</v>
      </c>
      <c r="CN513" s="1">
        <v>5.4649999999999999</v>
      </c>
      <c r="CO513" s="3">
        <v>45477</v>
      </c>
      <c r="CP513" s="1">
        <v>5.7874999999999996</v>
      </c>
      <c r="CQ513" s="3">
        <v>45477</v>
      </c>
      <c r="CR513" s="1">
        <v>5.7249999999999996</v>
      </c>
      <c r="CS513" s="3">
        <v>45477</v>
      </c>
      <c r="CT513" s="1">
        <v>5.7575000000000003</v>
      </c>
    </row>
    <row r="514" spans="31:98" x14ac:dyDescent="0.2">
      <c r="AE514" s="3">
        <v>45476</v>
      </c>
      <c r="AF514" s="1">
        <v>5.75</v>
      </c>
      <c r="AG514" s="3">
        <v>45455</v>
      </c>
      <c r="AH514" s="1">
        <v>5.85</v>
      </c>
      <c r="AI514" s="3">
        <v>45484</v>
      </c>
      <c r="AJ514" s="2">
        <v>5.851</v>
      </c>
      <c r="AK514" s="3">
        <v>45484</v>
      </c>
      <c r="AL514" s="2">
        <v>5.83</v>
      </c>
      <c r="AM514" s="3">
        <v>45484</v>
      </c>
      <c r="AN514" s="2">
        <v>5.8</v>
      </c>
      <c r="AO514" s="3">
        <v>45484</v>
      </c>
      <c r="AP514" s="2">
        <v>5.68</v>
      </c>
      <c r="AQ514" s="3">
        <v>45484</v>
      </c>
      <c r="AR514" s="2">
        <v>5.44</v>
      </c>
      <c r="AS514" s="3">
        <v>45484</v>
      </c>
      <c r="AT514" s="2">
        <v>5.1449999999999996</v>
      </c>
      <c r="AU514" s="3">
        <v>45484</v>
      </c>
      <c r="AV514" s="2">
        <v>4.9000000000000004</v>
      </c>
      <c r="AW514" s="3">
        <v>45484</v>
      </c>
      <c r="AX514" s="2">
        <v>4.7149999999999999</v>
      </c>
      <c r="AY514" s="3">
        <v>45484</v>
      </c>
      <c r="AZ514" s="2">
        <v>4.57</v>
      </c>
      <c r="BB514" s="3">
        <v>45455</v>
      </c>
      <c r="BC514" s="1">
        <v>5.25</v>
      </c>
      <c r="BD514" s="3">
        <v>45456</v>
      </c>
      <c r="BE514" s="1">
        <v>5.07</v>
      </c>
      <c r="BF514" s="3">
        <v>45484</v>
      </c>
      <c r="BG514" s="1">
        <v>4.3650000000000002</v>
      </c>
      <c r="BH514" s="3">
        <v>45484</v>
      </c>
      <c r="BI514" s="1">
        <v>4.2930000000000001</v>
      </c>
      <c r="BJ514" s="3">
        <v>45484</v>
      </c>
      <c r="BK514" s="1">
        <v>4.0999999999999996</v>
      </c>
      <c r="BL514" s="3">
        <v>45484</v>
      </c>
      <c r="BM514" s="1">
        <v>3.7080000000000002</v>
      </c>
      <c r="BN514" s="3">
        <v>45484</v>
      </c>
      <c r="BO514" s="1">
        <v>3.5129999999999999</v>
      </c>
      <c r="BP514" s="3">
        <v>45484</v>
      </c>
      <c r="BQ514" s="1">
        <v>3.3479999999999999</v>
      </c>
      <c r="BR514" s="3">
        <v>45484</v>
      </c>
      <c r="BS514" s="1">
        <v>3.298</v>
      </c>
      <c r="BT514" s="3">
        <v>45484</v>
      </c>
      <c r="BU514" s="1">
        <v>3.258</v>
      </c>
      <c r="BV514" s="3">
        <v>45484</v>
      </c>
      <c r="BW514" s="1">
        <v>3.2480000000000002</v>
      </c>
      <c r="BY514" s="3">
        <v>45457</v>
      </c>
      <c r="BZ514" s="1">
        <v>7.25</v>
      </c>
      <c r="CA514" s="3">
        <v>45448</v>
      </c>
      <c r="CB514" s="1">
        <v>6.96</v>
      </c>
      <c r="CC514" s="3">
        <v>45484</v>
      </c>
      <c r="CD514" s="1">
        <v>6.73</v>
      </c>
      <c r="CE514" s="3">
        <v>45484</v>
      </c>
      <c r="CF514" s="1">
        <v>6.5750000000000002</v>
      </c>
      <c r="CG514" s="3">
        <v>45484</v>
      </c>
      <c r="CH514" s="1">
        <v>6.44</v>
      </c>
      <c r="CI514" s="3">
        <v>45484</v>
      </c>
      <c r="CJ514" s="1">
        <v>6.13</v>
      </c>
      <c r="CK514" s="3">
        <v>45484</v>
      </c>
      <c r="CL514" s="1">
        <v>5.81</v>
      </c>
      <c r="CM514" s="3">
        <v>45484</v>
      </c>
      <c r="CN514" s="1">
        <v>5.5175000000000001</v>
      </c>
      <c r="CO514" s="3">
        <v>45476</v>
      </c>
      <c r="CP514" s="1">
        <v>5.78</v>
      </c>
      <c r="CQ514" s="3">
        <v>45476</v>
      </c>
      <c r="CR514" s="1">
        <v>5.73</v>
      </c>
      <c r="CS514" s="3">
        <v>45476</v>
      </c>
      <c r="CT514" s="1">
        <v>5.7625000000000002</v>
      </c>
    </row>
    <row r="515" spans="31:98" x14ac:dyDescent="0.2">
      <c r="AE515" s="3">
        <v>45475</v>
      </c>
      <c r="AF515" s="1">
        <v>5.75</v>
      </c>
      <c r="AG515" s="3">
        <v>45454</v>
      </c>
      <c r="AH515" s="1">
        <v>5.85</v>
      </c>
      <c r="AI515" s="3">
        <v>45483</v>
      </c>
      <c r="AJ515" s="2">
        <v>5.8464999999999998</v>
      </c>
      <c r="AK515" s="3">
        <v>45483</v>
      </c>
      <c r="AL515" s="2">
        <v>5.83</v>
      </c>
      <c r="AM515" s="3">
        <v>45483</v>
      </c>
      <c r="AN515" s="2">
        <v>5.8049999999999997</v>
      </c>
      <c r="AO515" s="3">
        <v>45483</v>
      </c>
      <c r="AP515" s="2">
        <v>5.71</v>
      </c>
      <c r="AQ515" s="3">
        <v>45483</v>
      </c>
      <c r="AR515" s="2">
        <v>5.5</v>
      </c>
      <c r="AS515" s="3">
        <v>45483</v>
      </c>
      <c r="AT515" s="2">
        <v>5.23</v>
      </c>
      <c r="AU515" s="3">
        <v>45483</v>
      </c>
      <c r="AV515" s="2">
        <v>5.0175000000000001</v>
      </c>
      <c r="AW515" s="3">
        <v>45483</v>
      </c>
      <c r="AX515" s="2">
        <v>4.8449999999999998</v>
      </c>
      <c r="AY515" s="3">
        <v>45483</v>
      </c>
      <c r="AZ515" s="2">
        <v>4.72</v>
      </c>
      <c r="BB515" s="3">
        <v>45454</v>
      </c>
      <c r="BC515" s="1">
        <v>5.25</v>
      </c>
      <c r="BD515" s="3">
        <v>45455</v>
      </c>
      <c r="BE515" s="1">
        <v>5.07</v>
      </c>
      <c r="BF515" s="3">
        <v>45483</v>
      </c>
      <c r="BG515" s="1">
        <v>4.37</v>
      </c>
      <c r="BH515" s="3">
        <v>45483</v>
      </c>
      <c r="BI515" s="1">
        <v>4.3099999999999996</v>
      </c>
      <c r="BJ515" s="3">
        <v>45483</v>
      </c>
      <c r="BK515" s="1">
        <v>4.12</v>
      </c>
      <c r="BL515" s="3">
        <v>45483</v>
      </c>
      <c r="BM515" s="1">
        <v>3.78</v>
      </c>
      <c r="BN515" s="3">
        <v>45483</v>
      </c>
      <c r="BO515" s="1">
        <v>3.6</v>
      </c>
      <c r="BP515" s="3">
        <v>45483</v>
      </c>
      <c r="BQ515" s="1">
        <v>3.4380000000000002</v>
      </c>
      <c r="BR515" s="3">
        <v>45483</v>
      </c>
      <c r="BS515" s="1">
        <v>3.3780000000000001</v>
      </c>
      <c r="BT515" s="3">
        <v>45483</v>
      </c>
      <c r="BU515" s="1">
        <v>3.3330000000000002</v>
      </c>
      <c r="BV515" s="3">
        <v>45483</v>
      </c>
      <c r="BW515" s="1">
        <v>3.3130000000000002</v>
      </c>
      <c r="BY515" s="3">
        <v>45456</v>
      </c>
      <c r="BZ515" s="1">
        <v>7.25</v>
      </c>
      <c r="CA515" s="3">
        <v>45447</v>
      </c>
      <c r="CB515" s="1">
        <v>6.97</v>
      </c>
      <c r="CC515" s="3">
        <v>45483</v>
      </c>
      <c r="CD515" s="1">
        <v>6.7469999999999999</v>
      </c>
      <c r="CE515" s="3">
        <v>45483</v>
      </c>
      <c r="CF515" s="1">
        <v>6.6180000000000003</v>
      </c>
      <c r="CG515" s="3">
        <v>45483</v>
      </c>
      <c r="CH515" s="1">
        <v>6.49</v>
      </c>
      <c r="CI515" s="3">
        <v>45483</v>
      </c>
      <c r="CJ515" s="1">
        <v>6.21</v>
      </c>
      <c r="CK515" s="3">
        <v>45483</v>
      </c>
      <c r="CL515" s="1">
        <v>5.91</v>
      </c>
      <c r="CM515" s="3">
        <v>45483</v>
      </c>
      <c r="CN515" s="1">
        <v>5.63</v>
      </c>
      <c r="CO515" s="3">
        <v>45475</v>
      </c>
      <c r="CP515" s="1">
        <v>5.7850000000000001</v>
      </c>
      <c r="CQ515" s="3">
        <v>45475</v>
      </c>
      <c r="CR515" s="1">
        <v>5.7350000000000003</v>
      </c>
      <c r="CS515" s="3">
        <v>45475</v>
      </c>
      <c r="CT515" s="1">
        <v>5.7675000000000001</v>
      </c>
    </row>
    <row r="516" spans="31:98" x14ac:dyDescent="0.2">
      <c r="AE516" s="3">
        <v>45474</v>
      </c>
      <c r="AF516" s="1">
        <v>5.75</v>
      </c>
      <c r="AG516" s="3">
        <v>45453</v>
      </c>
      <c r="AH516" s="1">
        <v>5.85</v>
      </c>
      <c r="AI516" s="3">
        <v>45482</v>
      </c>
      <c r="AJ516" s="2">
        <v>5.8455000000000004</v>
      </c>
      <c r="AK516" s="3">
        <v>45482</v>
      </c>
      <c r="AL516" s="2">
        <v>5.835</v>
      </c>
      <c r="AM516" s="3">
        <v>45482</v>
      </c>
      <c r="AN516" s="2">
        <v>5.8049999999999997</v>
      </c>
      <c r="AO516" s="3">
        <v>45482</v>
      </c>
      <c r="AP516" s="2">
        <v>5.74</v>
      </c>
      <c r="AQ516" s="3">
        <v>45482</v>
      </c>
      <c r="AR516" s="2">
        <v>5.5350000000000001</v>
      </c>
      <c r="AS516" s="3">
        <v>45482</v>
      </c>
      <c r="AT516" s="2">
        <v>5.3150000000000004</v>
      </c>
      <c r="AU516" s="3">
        <v>45482</v>
      </c>
      <c r="AV516" s="2">
        <v>5.1224999999999996</v>
      </c>
      <c r="AW516" s="3">
        <v>45482</v>
      </c>
      <c r="AX516" s="2">
        <v>4.95</v>
      </c>
      <c r="AY516" s="3">
        <v>45482</v>
      </c>
      <c r="AZ516" s="2">
        <v>4.7949999999999999</v>
      </c>
      <c r="BB516" s="3">
        <v>45453</v>
      </c>
      <c r="BC516" s="1">
        <v>5.25</v>
      </c>
      <c r="BD516" s="3">
        <v>45454</v>
      </c>
      <c r="BE516" s="1">
        <v>5.07</v>
      </c>
      <c r="BF516" s="3">
        <v>45482</v>
      </c>
      <c r="BG516" s="1">
        <v>4.4550000000000001</v>
      </c>
      <c r="BH516" s="3">
        <v>45482</v>
      </c>
      <c r="BI516" s="1">
        <v>4.4050000000000002</v>
      </c>
      <c r="BJ516" s="3">
        <v>45482</v>
      </c>
      <c r="BK516" s="1">
        <v>4.2350000000000003</v>
      </c>
      <c r="BL516" s="3">
        <v>45482</v>
      </c>
      <c r="BM516" s="1">
        <v>3.97</v>
      </c>
      <c r="BN516" s="3">
        <v>45482</v>
      </c>
      <c r="BO516" s="1">
        <v>3.7879999999999998</v>
      </c>
      <c r="BP516" s="3">
        <v>45482</v>
      </c>
      <c r="BQ516" s="1">
        <v>3.63</v>
      </c>
      <c r="BR516" s="3">
        <v>45482</v>
      </c>
      <c r="BS516" s="1">
        <v>3.55</v>
      </c>
      <c r="BT516" s="3">
        <v>45482</v>
      </c>
      <c r="BU516" s="1">
        <v>3.4830000000000001</v>
      </c>
      <c r="BV516" s="3">
        <v>45482</v>
      </c>
      <c r="BW516" s="1">
        <v>3.47</v>
      </c>
      <c r="BY516" s="3">
        <v>45455</v>
      </c>
      <c r="BZ516" s="1">
        <v>7.25</v>
      </c>
      <c r="CA516" s="3">
        <v>45446</v>
      </c>
      <c r="CB516" s="1">
        <v>6.98</v>
      </c>
      <c r="CC516" s="3">
        <v>45482</v>
      </c>
      <c r="CD516" s="1">
        <v>6.75</v>
      </c>
      <c r="CE516" s="3">
        <v>45482</v>
      </c>
      <c r="CF516" s="1">
        <v>6.64</v>
      </c>
      <c r="CG516" s="3">
        <v>45482</v>
      </c>
      <c r="CH516" s="1">
        <v>6.53</v>
      </c>
      <c r="CI516" s="3">
        <v>45482</v>
      </c>
      <c r="CJ516" s="1">
        <v>6.26</v>
      </c>
      <c r="CK516" s="3">
        <v>45482</v>
      </c>
      <c r="CL516" s="1">
        <v>5.97</v>
      </c>
      <c r="CM516" s="3">
        <v>45482</v>
      </c>
      <c r="CN516" s="1">
        <v>5.7249999999999996</v>
      </c>
      <c r="CO516" s="3">
        <v>45474</v>
      </c>
      <c r="CP516" s="1">
        <v>5.8</v>
      </c>
      <c r="CQ516" s="3">
        <v>45474</v>
      </c>
      <c r="CR516" s="1">
        <v>5.7350000000000003</v>
      </c>
      <c r="CS516" s="3">
        <v>45474</v>
      </c>
      <c r="CT516" s="1">
        <v>5.7675000000000001</v>
      </c>
    </row>
    <row r="517" spans="31:98" x14ac:dyDescent="0.2">
      <c r="AE517" s="3">
        <v>45471</v>
      </c>
      <c r="AF517" s="1">
        <v>5.75</v>
      </c>
      <c r="AG517" s="3">
        <v>45450</v>
      </c>
      <c r="AH517" s="1">
        <v>5.85</v>
      </c>
      <c r="AI517" s="3">
        <v>45481</v>
      </c>
      <c r="AJ517" s="2">
        <v>5.8395000000000001</v>
      </c>
      <c r="AK517" s="3">
        <v>45481</v>
      </c>
      <c r="AL517" s="2">
        <v>5.8274999999999997</v>
      </c>
      <c r="AM517" s="3">
        <v>45481</v>
      </c>
      <c r="AN517" s="2">
        <v>5.8049999999999997</v>
      </c>
      <c r="AO517" s="3">
        <v>45481</v>
      </c>
      <c r="AP517" s="2">
        <v>5.75</v>
      </c>
      <c r="AQ517" s="3">
        <v>45481</v>
      </c>
      <c r="AR517" s="2">
        <v>5.55</v>
      </c>
      <c r="AS517" s="3">
        <v>45481</v>
      </c>
      <c r="AT517" s="2">
        <v>5.33</v>
      </c>
      <c r="AU517" s="3">
        <v>45481</v>
      </c>
      <c r="AV517" s="2">
        <v>5.13</v>
      </c>
      <c r="AW517" s="3">
        <v>45481</v>
      </c>
      <c r="AX517" s="2">
        <v>4.9450000000000003</v>
      </c>
      <c r="AY517" s="3">
        <v>45481</v>
      </c>
      <c r="AZ517" s="2">
        <v>4.7774999999999999</v>
      </c>
      <c r="BB517" s="3">
        <v>45450</v>
      </c>
      <c r="BC517" s="1">
        <v>5.25</v>
      </c>
      <c r="BD517" s="3">
        <v>45453</v>
      </c>
      <c r="BE517" s="1">
        <v>5.08</v>
      </c>
      <c r="BF517" s="3">
        <v>45481</v>
      </c>
      <c r="BG517" s="1">
        <v>4.4800000000000004</v>
      </c>
      <c r="BH517" s="3">
        <v>45481</v>
      </c>
      <c r="BI517" s="1">
        <v>4.4329999999999998</v>
      </c>
      <c r="BJ517" s="3">
        <v>45481</v>
      </c>
      <c r="BK517" s="1">
        <v>4.28</v>
      </c>
      <c r="BL517" s="3">
        <v>45481</v>
      </c>
      <c r="BM517" s="1">
        <v>4.0250000000000004</v>
      </c>
      <c r="BN517" s="3">
        <v>45481</v>
      </c>
      <c r="BO517" s="1">
        <v>3.8479999999999999</v>
      </c>
      <c r="BP517" s="3">
        <v>45481</v>
      </c>
      <c r="BQ517" s="1">
        <v>3.71</v>
      </c>
      <c r="BR517" s="3">
        <v>45481</v>
      </c>
      <c r="BS517" s="1">
        <v>3.6230000000000002</v>
      </c>
      <c r="BT517" s="3">
        <v>45481</v>
      </c>
      <c r="BU517" s="1">
        <v>3.5550000000000002</v>
      </c>
      <c r="BV517" s="3">
        <v>45481</v>
      </c>
      <c r="BW517" s="1">
        <v>3.5249999999999999</v>
      </c>
      <c r="BY517" s="3">
        <v>45454</v>
      </c>
      <c r="BZ517" s="1">
        <v>7.25</v>
      </c>
      <c r="CA517" s="3">
        <v>45443</v>
      </c>
      <c r="CB517" s="1">
        <v>6.99</v>
      </c>
      <c r="CC517" s="3">
        <v>45481</v>
      </c>
      <c r="CD517" s="1">
        <v>6.8010000000000002</v>
      </c>
      <c r="CE517" s="3">
        <v>45481</v>
      </c>
      <c r="CF517" s="1">
        <v>6.7009999999999996</v>
      </c>
      <c r="CG517" s="3">
        <v>45481</v>
      </c>
      <c r="CH517" s="1">
        <v>6.6</v>
      </c>
      <c r="CI517" s="3">
        <v>45481</v>
      </c>
      <c r="CJ517" s="1">
        <v>6.34</v>
      </c>
      <c r="CK517" s="3">
        <v>45481</v>
      </c>
      <c r="CL517" s="1">
        <v>6.06</v>
      </c>
      <c r="CM517" s="3">
        <v>45481</v>
      </c>
      <c r="CN517" s="1">
        <v>5.83</v>
      </c>
      <c r="CO517" s="3">
        <v>45471</v>
      </c>
      <c r="CP517" s="1">
        <v>5.6849999999999996</v>
      </c>
      <c r="CQ517" s="3">
        <v>45471</v>
      </c>
      <c r="CR517" s="1">
        <v>5.61</v>
      </c>
      <c r="CS517" s="3">
        <v>45471</v>
      </c>
      <c r="CT517" s="1">
        <v>5.6425000000000001</v>
      </c>
    </row>
    <row r="518" spans="31:98" x14ac:dyDescent="0.2">
      <c r="AE518" s="3">
        <v>45470</v>
      </c>
      <c r="AF518" s="1">
        <v>5.75</v>
      </c>
      <c r="AG518" s="3">
        <v>45449</v>
      </c>
      <c r="AH518" s="1">
        <v>5.85</v>
      </c>
      <c r="AI518" s="3">
        <v>45478</v>
      </c>
      <c r="AJ518" s="2">
        <v>5.8470000000000004</v>
      </c>
      <c r="AK518" s="3">
        <v>45478</v>
      </c>
      <c r="AL518" s="2">
        <v>5.83</v>
      </c>
      <c r="AM518" s="3">
        <v>45478</v>
      </c>
      <c r="AN518" s="2">
        <v>5.81</v>
      </c>
      <c r="AO518" s="3">
        <v>45478</v>
      </c>
      <c r="AP518" s="2">
        <v>5.7625000000000002</v>
      </c>
      <c r="AQ518" s="3">
        <v>45478</v>
      </c>
      <c r="AR518" s="2">
        <v>5.58</v>
      </c>
      <c r="AS518" s="3">
        <v>45478</v>
      </c>
      <c r="AT518" s="2">
        <v>5.375</v>
      </c>
      <c r="AU518" s="3">
        <v>45478</v>
      </c>
      <c r="AV518" s="2">
        <v>5.19</v>
      </c>
      <c r="AW518" s="3">
        <v>45478</v>
      </c>
      <c r="AX518" s="2">
        <v>5.0250000000000004</v>
      </c>
      <c r="AY518" s="3">
        <v>45478</v>
      </c>
      <c r="AZ518" s="2">
        <v>4.875</v>
      </c>
      <c r="BB518" s="3">
        <v>45449</v>
      </c>
      <c r="BC518" s="1">
        <v>5.25</v>
      </c>
      <c r="BD518" s="3">
        <v>45450</v>
      </c>
      <c r="BE518" s="1">
        <v>5.08</v>
      </c>
      <c r="BF518" s="3">
        <v>45478</v>
      </c>
      <c r="BG518" s="1">
        <v>4.4800000000000004</v>
      </c>
      <c r="BH518" s="3">
        <v>45478</v>
      </c>
      <c r="BI518" s="1">
        <v>4.4450000000000003</v>
      </c>
      <c r="BJ518" s="3">
        <v>45478</v>
      </c>
      <c r="BK518" s="1">
        <v>4.2949999999999999</v>
      </c>
      <c r="BL518" s="3">
        <v>45478</v>
      </c>
      <c r="BM518" s="1">
        <v>4.0679999999999996</v>
      </c>
      <c r="BN518" s="3">
        <v>45478</v>
      </c>
      <c r="BO518" s="1">
        <v>3.875</v>
      </c>
      <c r="BP518" s="3">
        <v>45478</v>
      </c>
      <c r="BQ518" s="1">
        <v>3.7280000000000002</v>
      </c>
      <c r="BR518" s="3">
        <v>45478</v>
      </c>
      <c r="BS518" s="1">
        <v>3.6349999999999998</v>
      </c>
      <c r="BT518" s="3">
        <v>45478</v>
      </c>
      <c r="BU518" s="1">
        <v>3.5750000000000002</v>
      </c>
      <c r="BV518" s="3">
        <v>45478</v>
      </c>
      <c r="BW518" s="1">
        <v>3.5449999999999999</v>
      </c>
      <c r="BY518" s="3">
        <v>45453</v>
      </c>
      <c r="BZ518" s="1">
        <v>7.25</v>
      </c>
      <c r="CA518" s="3">
        <v>45442</v>
      </c>
      <c r="CB518" s="1">
        <v>7</v>
      </c>
      <c r="CC518" s="3">
        <v>45478</v>
      </c>
      <c r="CD518" s="1">
        <v>6.82</v>
      </c>
      <c r="CE518" s="3">
        <v>45478</v>
      </c>
      <c r="CF518" s="1">
        <v>6.73</v>
      </c>
      <c r="CG518" s="3">
        <v>45478</v>
      </c>
      <c r="CH518" s="1">
        <v>6.64</v>
      </c>
      <c r="CI518" s="3">
        <v>45478</v>
      </c>
      <c r="CJ518" s="1">
        <v>6.39</v>
      </c>
      <c r="CK518" s="3">
        <v>45478</v>
      </c>
      <c r="CL518" s="1">
        <v>6.11</v>
      </c>
      <c r="CM518" s="3">
        <v>45478</v>
      </c>
      <c r="CN518" s="1">
        <v>5.9050000000000002</v>
      </c>
      <c r="CO518" s="3">
        <v>45470</v>
      </c>
      <c r="CP518" s="1">
        <v>5.78</v>
      </c>
      <c r="CQ518" s="3">
        <v>45470</v>
      </c>
      <c r="CR518" s="1">
        <v>5.69</v>
      </c>
      <c r="CS518" s="3">
        <v>45470</v>
      </c>
      <c r="CT518" s="1">
        <v>5.7</v>
      </c>
    </row>
    <row r="519" spans="31:98" x14ac:dyDescent="0.2">
      <c r="AE519" s="3">
        <v>45469</v>
      </c>
      <c r="AF519" s="1">
        <v>5.75</v>
      </c>
      <c r="AG519" s="3">
        <v>45448</v>
      </c>
      <c r="AH519" s="1">
        <v>5.86</v>
      </c>
      <c r="AI519" s="3">
        <v>45477</v>
      </c>
      <c r="AJ519" s="2">
        <v>5.8555000000000001</v>
      </c>
      <c r="AK519" s="3">
        <v>45477</v>
      </c>
      <c r="AL519" s="2">
        <v>5.8449999999999998</v>
      </c>
      <c r="AM519" s="3">
        <v>45477</v>
      </c>
      <c r="AN519" s="2">
        <v>5.82</v>
      </c>
      <c r="AO519" s="3">
        <v>45477</v>
      </c>
      <c r="AP519" s="2">
        <v>5.78</v>
      </c>
      <c r="AQ519" s="3">
        <v>45477</v>
      </c>
      <c r="AR519" s="2">
        <v>5.5625</v>
      </c>
      <c r="AS519" s="3">
        <v>45477</v>
      </c>
      <c r="AT519" s="2">
        <v>5.3650000000000002</v>
      </c>
      <c r="AU519" s="3">
        <v>45477</v>
      </c>
      <c r="AV519" s="2">
        <v>5.19</v>
      </c>
      <c r="AW519" s="3">
        <v>45477</v>
      </c>
      <c r="AX519" s="2">
        <v>5.0350000000000001</v>
      </c>
      <c r="AY519" s="3">
        <v>45477</v>
      </c>
      <c r="AZ519" s="2">
        <v>4.8899999999999997</v>
      </c>
      <c r="BB519" s="3">
        <v>45448</v>
      </c>
      <c r="BC519" s="1">
        <v>5.25</v>
      </c>
      <c r="BD519" s="3">
        <v>45449</v>
      </c>
      <c r="BE519" s="1">
        <v>5.08</v>
      </c>
      <c r="BF519" s="3">
        <v>45477</v>
      </c>
      <c r="BG519" s="1">
        <v>4.4800000000000004</v>
      </c>
      <c r="BH519" s="3">
        <v>45477</v>
      </c>
      <c r="BI519" s="1">
        <v>4.4450000000000003</v>
      </c>
      <c r="BJ519" s="3">
        <v>45477</v>
      </c>
      <c r="BK519" s="1">
        <v>4.2949999999999999</v>
      </c>
      <c r="BL519" s="3">
        <v>45477</v>
      </c>
      <c r="BM519" s="1">
        <v>4.0679999999999996</v>
      </c>
      <c r="BN519" s="3">
        <v>45477</v>
      </c>
      <c r="BO519" s="1">
        <v>3.875</v>
      </c>
      <c r="BP519" s="3">
        <v>45477</v>
      </c>
      <c r="BQ519" s="1">
        <v>3.7280000000000002</v>
      </c>
      <c r="BR519" s="3">
        <v>45477</v>
      </c>
      <c r="BS519" s="1">
        <v>3.6349999999999998</v>
      </c>
      <c r="BT519" s="3">
        <v>45477</v>
      </c>
      <c r="BU519" s="1">
        <v>3.5750000000000002</v>
      </c>
      <c r="BV519" s="3">
        <v>45477</v>
      </c>
      <c r="BW519" s="1">
        <v>3.5449999999999999</v>
      </c>
      <c r="BY519" s="3">
        <v>45450</v>
      </c>
      <c r="BZ519" s="1">
        <v>7.25</v>
      </c>
      <c r="CA519" s="3">
        <v>45441</v>
      </c>
      <c r="CB519" s="1">
        <v>7.01</v>
      </c>
      <c r="CC519" s="3">
        <v>45477</v>
      </c>
      <c r="CD519" s="1">
        <v>6.82</v>
      </c>
      <c r="CE519" s="3">
        <v>45477</v>
      </c>
      <c r="CF519" s="1">
        <v>6.7249999999999996</v>
      </c>
      <c r="CG519" s="3">
        <v>45477</v>
      </c>
      <c r="CH519" s="1">
        <v>6.64</v>
      </c>
      <c r="CI519" s="3">
        <v>45477</v>
      </c>
      <c r="CJ519" s="1">
        <v>6.39</v>
      </c>
      <c r="CK519" s="3">
        <v>45477</v>
      </c>
      <c r="CL519" s="1">
        <v>6.11</v>
      </c>
      <c r="CM519" s="3">
        <v>45477</v>
      </c>
      <c r="CN519" s="1">
        <v>5.8574999999999999</v>
      </c>
      <c r="CO519" s="3">
        <v>45469</v>
      </c>
      <c r="CP519" s="1">
        <v>5.81</v>
      </c>
      <c r="CQ519" s="3">
        <v>45469</v>
      </c>
      <c r="CR519" s="1">
        <v>5.7350000000000003</v>
      </c>
      <c r="CS519" s="3">
        <v>45469</v>
      </c>
      <c r="CT519" s="1">
        <v>5.7450000000000001</v>
      </c>
    </row>
    <row r="520" spans="31:98" x14ac:dyDescent="0.2">
      <c r="AE520" s="3">
        <v>45468</v>
      </c>
      <c r="AF520" s="1">
        <v>5.75</v>
      </c>
      <c r="AG520" s="3">
        <v>45447</v>
      </c>
      <c r="AH520" s="1">
        <v>5.85</v>
      </c>
      <c r="AI520" s="3">
        <v>45476</v>
      </c>
      <c r="AJ520" s="2">
        <v>5.8442999999999996</v>
      </c>
      <c r="AK520" s="3">
        <v>45476</v>
      </c>
      <c r="AL520" s="2">
        <v>5.82</v>
      </c>
      <c r="AM520" s="3">
        <v>45476</v>
      </c>
      <c r="AN520" s="2">
        <v>5.7725</v>
      </c>
      <c r="AO520" s="3">
        <v>45476</v>
      </c>
      <c r="AP520" s="2">
        <v>5.6775000000000002</v>
      </c>
      <c r="AQ520" s="3">
        <v>45476</v>
      </c>
      <c r="AR520" s="2">
        <v>5.42</v>
      </c>
      <c r="AS520" s="3">
        <v>45476</v>
      </c>
      <c r="AT520" s="2">
        <v>5.1749999999999998</v>
      </c>
      <c r="AU520" s="3">
        <v>45476</v>
      </c>
      <c r="AV520" s="2">
        <v>4.9649999999999999</v>
      </c>
      <c r="AW520" s="3">
        <v>45476</v>
      </c>
      <c r="AX520" s="2">
        <v>4.8049999999999997</v>
      </c>
      <c r="AY520" s="3">
        <v>45476</v>
      </c>
      <c r="AZ520" s="2">
        <v>4.6849999999999996</v>
      </c>
      <c r="BB520" s="3">
        <v>45447</v>
      </c>
      <c r="BC520" s="1">
        <v>5.25</v>
      </c>
      <c r="BD520" s="3">
        <v>45448</v>
      </c>
      <c r="BE520" s="1">
        <v>5.09</v>
      </c>
      <c r="BF520" s="3">
        <v>45476</v>
      </c>
      <c r="BG520" s="1">
        <v>4.49</v>
      </c>
      <c r="BH520" s="3">
        <v>45476</v>
      </c>
      <c r="BI520" s="1">
        <v>4.4400000000000004</v>
      </c>
      <c r="BJ520" s="3">
        <v>45476</v>
      </c>
      <c r="BK520" s="1">
        <v>4.29</v>
      </c>
      <c r="BL520" s="3">
        <v>45476</v>
      </c>
      <c r="BM520" s="1">
        <v>4.05</v>
      </c>
      <c r="BN520" s="3">
        <v>45476</v>
      </c>
      <c r="BO520" s="1">
        <v>3.855</v>
      </c>
      <c r="BP520" s="3">
        <v>45476</v>
      </c>
      <c r="BQ520" s="1">
        <v>3.71</v>
      </c>
      <c r="BR520" s="3">
        <v>45476</v>
      </c>
      <c r="BS520" s="1">
        <v>3.625</v>
      </c>
      <c r="BT520" s="3">
        <v>45476</v>
      </c>
      <c r="BU520" s="1">
        <v>3.573</v>
      </c>
      <c r="BV520" s="3">
        <v>45476</v>
      </c>
      <c r="BW520" s="1">
        <v>3.5430000000000001</v>
      </c>
      <c r="BY520" s="3">
        <v>45449</v>
      </c>
      <c r="BZ520" s="1">
        <v>7.25</v>
      </c>
      <c r="CA520" s="3">
        <v>45440</v>
      </c>
      <c r="CB520" s="1">
        <v>7.02</v>
      </c>
      <c r="CC520" s="3">
        <v>45476</v>
      </c>
      <c r="CD520" s="1">
        <v>6.82</v>
      </c>
      <c r="CE520" s="3">
        <v>45476</v>
      </c>
      <c r="CF520" s="1">
        <v>6.73</v>
      </c>
      <c r="CG520" s="3">
        <v>45476</v>
      </c>
      <c r="CH520" s="1">
        <v>6.64</v>
      </c>
      <c r="CI520" s="3">
        <v>45476</v>
      </c>
      <c r="CJ520" s="1">
        <v>6.38</v>
      </c>
      <c r="CK520" s="3">
        <v>45476</v>
      </c>
      <c r="CL520" s="1">
        <v>6.1</v>
      </c>
      <c r="CM520" s="3">
        <v>45476</v>
      </c>
      <c r="CN520" s="1">
        <v>5.8425000000000002</v>
      </c>
      <c r="CO520" s="3">
        <v>45468</v>
      </c>
      <c r="CP520" s="1">
        <v>5.875</v>
      </c>
      <c r="CQ520" s="3">
        <v>45468</v>
      </c>
      <c r="CR520" s="1">
        <v>5.8</v>
      </c>
      <c r="CS520" s="3">
        <v>45468</v>
      </c>
      <c r="CT520" s="1">
        <v>5.81</v>
      </c>
    </row>
    <row r="521" spans="31:98" x14ac:dyDescent="0.2">
      <c r="AE521" s="3">
        <v>45467</v>
      </c>
      <c r="AF521" s="1">
        <v>5.75</v>
      </c>
      <c r="AG521" s="3">
        <v>45446</v>
      </c>
      <c r="AH521" s="1">
        <v>5.85</v>
      </c>
      <c r="AI521" s="3">
        <v>45475</v>
      </c>
      <c r="AJ521" s="2">
        <v>5.8377999999999997</v>
      </c>
      <c r="AK521" s="3">
        <v>45475</v>
      </c>
      <c r="AL521" s="2">
        <v>5.8150000000000004</v>
      </c>
      <c r="AM521" s="3">
        <v>45475</v>
      </c>
      <c r="AN521" s="2">
        <v>5.7774999999999999</v>
      </c>
      <c r="AO521" s="3">
        <v>45475</v>
      </c>
      <c r="AP521" s="2">
        <v>5.66</v>
      </c>
      <c r="AQ521" s="3">
        <v>45475</v>
      </c>
      <c r="AR521" s="2">
        <v>5.4050000000000002</v>
      </c>
      <c r="AS521" s="3">
        <v>45475</v>
      </c>
      <c r="AT521" s="2">
        <v>5.165</v>
      </c>
      <c r="AU521" s="3">
        <v>45475</v>
      </c>
      <c r="AV521" s="2">
        <v>4.9649999999999999</v>
      </c>
      <c r="AW521" s="3">
        <v>45475</v>
      </c>
      <c r="AX521" s="2">
        <v>4.8150000000000004</v>
      </c>
      <c r="AY521" s="3">
        <v>45475</v>
      </c>
      <c r="AZ521" s="2">
        <v>4.71</v>
      </c>
      <c r="BB521" s="3">
        <v>45446</v>
      </c>
      <c r="BC521" s="1">
        <v>5.25</v>
      </c>
      <c r="BD521" s="3">
        <v>45447</v>
      </c>
      <c r="BE521" s="1">
        <v>5.09</v>
      </c>
      <c r="BF521" s="3">
        <v>45475</v>
      </c>
      <c r="BG521" s="1">
        <v>4.6050000000000004</v>
      </c>
      <c r="BH521" s="3">
        <v>45475</v>
      </c>
      <c r="BI521" s="1">
        <v>4.4649999999999999</v>
      </c>
      <c r="BJ521" s="3">
        <v>45475</v>
      </c>
      <c r="BK521" s="1">
        <v>4.3129999999999997</v>
      </c>
      <c r="BL521" s="3">
        <v>45475</v>
      </c>
      <c r="BM521" s="1">
        <v>4.085</v>
      </c>
      <c r="BN521" s="3">
        <v>45475</v>
      </c>
      <c r="BO521" s="1">
        <v>3.9079999999999999</v>
      </c>
      <c r="BP521" s="3">
        <v>45475</v>
      </c>
      <c r="BQ521" s="1">
        <v>3.77</v>
      </c>
      <c r="BR521" s="3">
        <v>45475</v>
      </c>
      <c r="BS521" s="1">
        <v>3.6850000000000001</v>
      </c>
      <c r="BT521" s="3">
        <v>45475</v>
      </c>
      <c r="BU521" s="1">
        <v>3.633</v>
      </c>
      <c r="BV521" s="3">
        <v>45475</v>
      </c>
      <c r="BW521" s="1">
        <v>3.613</v>
      </c>
      <c r="BY521" s="3">
        <v>45448</v>
      </c>
      <c r="BZ521" s="1">
        <v>7.25</v>
      </c>
      <c r="CA521" s="3">
        <v>45439</v>
      </c>
      <c r="CB521" s="1">
        <v>7.03</v>
      </c>
      <c r="CC521" s="3">
        <v>45475</v>
      </c>
      <c r="CD521" s="1">
        <v>6.82</v>
      </c>
      <c r="CE521" s="3">
        <v>45475</v>
      </c>
      <c r="CF521" s="1">
        <v>6.73</v>
      </c>
      <c r="CG521" s="3">
        <v>45475</v>
      </c>
      <c r="CH521" s="1">
        <v>6.64</v>
      </c>
      <c r="CI521" s="3">
        <v>45475</v>
      </c>
      <c r="CJ521" s="1">
        <v>6.38</v>
      </c>
      <c r="CK521" s="3">
        <v>45475</v>
      </c>
      <c r="CL521" s="1">
        <v>6.1</v>
      </c>
      <c r="CM521" s="3">
        <v>45475</v>
      </c>
      <c r="CN521" s="1">
        <v>5.8525</v>
      </c>
      <c r="CO521" s="3">
        <v>45467</v>
      </c>
      <c r="CP521" s="1">
        <v>5.9</v>
      </c>
      <c r="CQ521" s="3">
        <v>45467</v>
      </c>
      <c r="CR521" s="1">
        <v>5.83</v>
      </c>
      <c r="CS521" s="3">
        <v>45467</v>
      </c>
      <c r="CT521" s="1">
        <v>5.83</v>
      </c>
    </row>
    <row r="522" spans="31:98" x14ac:dyDescent="0.2">
      <c r="AE522" s="3">
        <v>45464</v>
      </c>
      <c r="AF522" s="1">
        <v>5.75</v>
      </c>
      <c r="AG522" s="3">
        <v>45443</v>
      </c>
      <c r="AH522" s="1">
        <v>5.85</v>
      </c>
      <c r="AI522" s="3">
        <v>45474</v>
      </c>
      <c r="AJ522" s="2">
        <v>5.8372999999999999</v>
      </c>
      <c r="AK522" s="3">
        <v>45474</v>
      </c>
      <c r="AL522" s="2">
        <v>5.8250000000000002</v>
      </c>
      <c r="AM522" s="3">
        <v>45474</v>
      </c>
      <c r="AN522" s="2">
        <v>5.7874999999999996</v>
      </c>
      <c r="AO522" s="3">
        <v>45474</v>
      </c>
      <c r="AP522" s="2">
        <v>5.6675000000000004</v>
      </c>
      <c r="AQ522" s="3">
        <v>45474</v>
      </c>
      <c r="AR522" s="2">
        <v>5.4</v>
      </c>
      <c r="AS522" s="3">
        <v>45474</v>
      </c>
      <c r="AT522" s="2">
        <v>5.1449999999999996</v>
      </c>
      <c r="AU522" s="3">
        <v>45474</v>
      </c>
      <c r="AV522" s="2">
        <v>4.9349999999999996</v>
      </c>
      <c r="AW522" s="3">
        <v>45474</v>
      </c>
      <c r="AX522" s="2">
        <v>4.78</v>
      </c>
      <c r="AY522" s="3">
        <v>45474</v>
      </c>
      <c r="AZ522" s="2">
        <v>4.68</v>
      </c>
      <c r="BB522" s="3">
        <v>45443</v>
      </c>
      <c r="BC522" s="1">
        <v>5.25</v>
      </c>
      <c r="BD522" s="3">
        <v>45446</v>
      </c>
      <c r="BE522" s="1">
        <v>5.0999999999999996</v>
      </c>
      <c r="BF522" s="3">
        <v>45474</v>
      </c>
      <c r="BG522" s="1">
        <v>4.6150000000000002</v>
      </c>
      <c r="BH522" s="3">
        <v>45474</v>
      </c>
      <c r="BI522" s="1">
        <v>4.4800000000000004</v>
      </c>
      <c r="BJ522" s="3">
        <v>45474</v>
      </c>
      <c r="BK522" s="1">
        <v>4.3499999999999996</v>
      </c>
      <c r="BL522" s="3">
        <v>45474</v>
      </c>
      <c r="BM522" s="1">
        <v>4.125</v>
      </c>
      <c r="BN522" s="3">
        <v>45474</v>
      </c>
      <c r="BO522" s="1">
        <v>3.948</v>
      </c>
      <c r="BP522" s="3">
        <v>45474</v>
      </c>
      <c r="BQ522" s="1">
        <v>3.8180000000000001</v>
      </c>
      <c r="BR522" s="3">
        <v>45474</v>
      </c>
      <c r="BS522" s="1">
        <v>3.74</v>
      </c>
      <c r="BT522" s="3">
        <v>45474</v>
      </c>
      <c r="BU522" s="1">
        <v>3.69</v>
      </c>
      <c r="BV522" s="3">
        <v>45474</v>
      </c>
      <c r="BW522" s="1">
        <v>3.67</v>
      </c>
      <c r="BY522" s="3">
        <v>45447</v>
      </c>
      <c r="BZ522" s="1">
        <v>7.25</v>
      </c>
      <c r="CA522" s="3">
        <v>45436</v>
      </c>
      <c r="CB522" s="1">
        <v>7.04</v>
      </c>
      <c r="CC522" s="3">
        <v>45474</v>
      </c>
      <c r="CD522" s="1">
        <v>6.8289999999999997</v>
      </c>
      <c r="CE522" s="3">
        <v>45474</v>
      </c>
      <c r="CF522" s="1">
        <v>6.7320000000000002</v>
      </c>
      <c r="CG522" s="3">
        <v>45474</v>
      </c>
      <c r="CH522" s="1">
        <v>6.65</v>
      </c>
      <c r="CI522" s="3">
        <v>45474</v>
      </c>
      <c r="CJ522" s="1">
        <v>6.39</v>
      </c>
      <c r="CK522" s="3">
        <v>45474</v>
      </c>
      <c r="CL522" s="1">
        <v>6.11</v>
      </c>
      <c r="CM522" s="3">
        <v>45474</v>
      </c>
      <c r="CN522" s="1">
        <v>5.8674999999999997</v>
      </c>
      <c r="CO522" s="3">
        <v>45464</v>
      </c>
      <c r="CP522" s="1">
        <v>5.915</v>
      </c>
      <c r="CQ522" s="3">
        <v>45464</v>
      </c>
      <c r="CR522" s="1">
        <v>5.835</v>
      </c>
      <c r="CS522" s="3">
        <v>45464</v>
      </c>
      <c r="CT522" s="1">
        <v>5.8449999999999998</v>
      </c>
    </row>
    <row r="523" spans="31:98" x14ac:dyDescent="0.2">
      <c r="AE523" s="3">
        <v>45463</v>
      </c>
      <c r="AF523" s="1">
        <v>5.75</v>
      </c>
      <c r="AG523" s="3">
        <v>45441</v>
      </c>
      <c r="AH523" s="1">
        <v>5.86</v>
      </c>
      <c r="AI523" s="3">
        <v>45471</v>
      </c>
      <c r="AJ523" s="2">
        <v>5.8342999999999998</v>
      </c>
      <c r="AK523" s="3">
        <v>45471</v>
      </c>
      <c r="AL523" s="2">
        <v>5.8150000000000004</v>
      </c>
      <c r="AM523" s="3">
        <v>45471</v>
      </c>
      <c r="AN523" s="2">
        <v>5.77</v>
      </c>
      <c r="AO523" s="3">
        <v>45471</v>
      </c>
      <c r="AP523" s="2">
        <v>5.625</v>
      </c>
      <c r="AQ523" s="3">
        <v>45471</v>
      </c>
      <c r="AR523" s="2">
        <v>5.3250000000000002</v>
      </c>
      <c r="AS523" s="3">
        <v>45471</v>
      </c>
      <c r="AT523" s="2">
        <v>5.03</v>
      </c>
      <c r="AU523" s="3">
        <v>45471</v>
      </c>
      <c r="AV523" s="2">
        <v>4.8150000000000004</v>
      </c>
      <c r="AW523" s="3">
        <v>45471</v>
      </c>
      <c r="AX523" s="2">
        <v>4.6574999999999998</v>
      </c>
      <c r="AY523" s="3">
        <v>45471</v>
      </c>
      <c r="AZ523" s="2">
        <v>4.55</v>
      </c>
      <c r="BB523" s="3">
        <v>45442</v>
      </c>
      <c r="BC523" s="1">
        <v>5.25</v>
      </c>
      <c r="BD523" s="3">
        <v>45443</v>
      </c>
      <c r="BE523" s="1">
        <v>5.1100000000000003</v>
      </c>
      <c r="BF523" s="3">
        <v>45471</v>
      </c>
      <c r="BG523" s="1">
        <v>4.6100000000000003</v>
      </c>
      <c r="BH523" s="3">
        <v>45471</v>
      </c>
      <c r="BI523" s="1">
        <v>4.4749999999999996</v>
      </c>
      <c r="BJ523" s="3">
        <v>45471</v>
      </c>
      <c r="BK523" s="1">
        <v>4.335</v>
      </c>
      <c r="BL523" s="3">
        <v>45471</v>
      </c>
      <c r="BM523" s="1">
        <v>4.0949999999999998</v>
      </c>
      <c r="BN523" s="3">
        <v>45471</v>
      </c>
      <c r="BO523" s="1">
        <v>3.9</v>
      </c>
      <c r="BP523" s="3">
        <v>45471</v>
      </c>
      <c r="BQ523" s="1">
        <v>3.7549999999999999</v>
      </c>
      <c r="BR523" s="3">
        <v>45471</v>
      </c>
      <c r="BS523" s="1">
        <v>3.67</v>
      </c>
      <c r="BT523" s="3">
        <v>45471</v>
      </c>
      <c r="BU523" s="1">
        <v>3.6080000000000001</v>
      </c>
      <c r="BV523" s="3">
        <v>45471</v>
      </c>
      <c r="BW523" s="1">
        <v>3.5830000000000002</v>
      </c>
      <c r="BY523" s="3">
        <v>45443</v>
      </c>
      <c r="BZ523" s="1">
        <v>7.25</v>
      </c>
      <c r="CA523" s="3">
        <v>45435</v>
      </c>
      <c r="CB523" s="1">
        <v>7.05</v>
      </c>
      <c r="CC523" s="3">
        <v>45471</v>
      </c>
      <c r="CD523" s="1">
        <v>6.8140000000000001</v>
      </c>
      <c r="CE523" s="3">
        <v>45471</v>
      </c>
      <c r="CF523" s="1">
        <v>6.7190000000000003</v>
      </c>
      <c r="CG523" s="3">
        <v>45471</v>
      </c>
      <c r="CH523" s="1">
        <v>6.62</v>
      </c>
      <c r="CI523" s="3">
        <v>45471</v>
      </c>
      <c r="CJ523" s="1">
        <v>6.36</v>
      </c>
      <c r="CK523" s="3">
        <v>45471</v>
      </c>
      <c r="CL523" s="1">
        <v>6.07</v>
      </c>
      <c r="CM523" s="3">
        <v>45471</v>
      </c>
      <c r="CN523" s="1">
        <v>5.7774999999999999</v>
      </c>
      <c r="CO523" s="3">
        <v>45463</v>
      </c>
      <c r="CP523" s="1">
        <v>5.8550000000000004</v>
      </c>
      <c r="CQ523" s="3">
        <v>45463</v>
      </c>
      <c r="CR523" s="1">
        <v>5.7750000000000004</v>
      </c>
      <c r="CS523" s="3">
        <v>45463</v>
      </c>
      <c r="CT523" s="1">
        <v>5.7850000000000001</v>
      </c>
    </row>
    <row r="524" spans="31:98" x14ac:dyDescent="0.2">
      <c r="AE524" s="3">
        <v>45462</v>
      </c>
      <c r="AF524" s="1">
        <v>5.75</v>
      </c>
      <c r="AG524" s="3">
        <v>45440</v>
      </c>
      <c r="AH524" s="1">
        <v>5.85</v>
      </c>
      <c r="AI524" s="3">
        <v>45470</v>
      </c>
      <c r="AJ524" s="2">
        <v>5.8282999999999996</v>
      </c>
      <c r="AK524" s="3">
        <v>45470</v>
      </c>
      <c r="AL524" s="2">
        <v>5.8</v>
      </c>
      <c r="AM524" s="3">
        <v>45470</v>
      </c>
      <c r="AN524" s="2">
        <v>5.7575000000000003</v>
      </c>
      <c r="AO524" s="3">
        <v>45470</v>
      </c>
      <c r="AP524" s="2">
        <v>5.59</v>
      </c>
      <c r="AQ524" s="3">
        <v>45470</v>
      </c>
      <c r="AR524" s="2">
        <v>5.2774999999999999</v>
      </c>
      <c r="AS524" s="3">
        <v>45470</v>
      </c>
      <c r="AT524" s="2">
        <v>4.9850000000000003</v>
      </c>
      <c r="AU524" s="3">
        <v>45470</v>
      </c>
      <c r="AV524" s="2">
        <v>4.7675000000000001</v>
      </c>
      <c r="AW524" s="3">
        <v>45470</v>
      </c>
      <c r="AX524" s="2">
        <v>4.6025</v>
      </c>
      <c r="AY524" s="3">
        <v>45470</v>
      </c>
      <c r="AZ524" s="2">
        <v>4.49</v>
      </c>
      <c r="BB524" s="3">
        <v>45441</v>
      </c>
      <c r="BC524" s="1">
        <v>5.25</v>
      </c>
      <c r="BD524" s="3">
        <v>45442</v>
      </c>
      <c r="BE524" s="1">
        <v>5.12</v>
      </c>
      <c r="BF524" s="3">
        <v>45470</v>
      </c>
      <c r="BG524" s="1">
        <v>4.6399999999999997</v>
      </c>
      <c r="BH524" s="3">
        <v>45470</v>
      </c>
      <c r="BI524" s="1">
        <v>4.4950000000000001</v>
      </c>
      <c r="BJ524" s="3">
        <v>45470</v>
      </c>
      <c r="BK524" s="1">
        <v>4.3600000000000003</v>
      </c>
      <c r="BL524" s="3">
        <v>45470</v>
      </c>
      <c r="BM524" s="1">
        <v>4.1100000000000003</v>
      </c>
      <c r="BN524" s="3">
        <v>45470</v>
      </c>
      <c r="BO524" s="1">
        <v>3.895</v>
      </c>
      <c r="BP524" s="3">
        <v>45470</v>
      </c>
      <c r="BQ524" s="1">
        <v>3.7349999999999999</v>
      </c>
      <c r="BR524" s="3">
        <v>45470</v>
      </c>
      <c r="BS524" s="1">
        <v>3.6549999999999998</v>
      </c>
      <c r="BT524" s="3">
        <v>45470</v>
      </c>
      <c r="BU524" s="1">
        <v>3.58</v>
      </c>
      <c r="BV524" s="3">
        <v>45470</v>
      </c>
      <c r="BW524" s="1">
        <v>3.5750000000000002</v>
      </c>
      <c r="BY524" s="3">
        <v>45441</v>
      </c>
      <c r="BZ524" s="1">
        <v>7.25</v>
      </c>
      <c r="CA524" s="3">
        <v>45434</v>
      </c>
      <c r="CB524" s="1">
        <v>7.06</v>
      </c>
      <c r="CC524" s="3">
        <v>45470</v>
      </c>
      <c r="CD524" s="1">
        <v>6.81</v>
      </c>
      <c r="CE524" s="3">
        <v>45470</v>
      </c>
      <c r="CF524" s="1">
        <v>6.73</v>
      </c>
      <c r="CG524" s="3">
        <v>45470</v>
      </c>
      <c r="CH524" s="1">
        <v>6.65</v>
      </c>
      <c r="CI524" s="3">
        <v>45470</v>
      </c>
      <c r="CJ524" s="1">
        <v>6.39</v>
      </c>
      <c r="CK524" s="3">
        <v>45470</v>
      </c>
      <c r="CL524" s="1">
        <v>6.12</v>
      </c>
      <c r="CM524" s="3">
        <v>45470</v>
      </c>
      <c r="CN524" s="1">
        <v>5.89</v>
      </c>
      <c r="CO524" s="3">
        <v>45462</v>
      </c>
      <c r="CP524" s="1">
        <v>5.835</v>
      </c>
      <c r="CQ524" s="3">
        <v>45462</v>
      </c>
      <c r="CR524" s="1">
        <v>5.7649999999999997</v>
      </c>
      <c r="CS524" s="3">
        <v>45462</v>
      </c>
      <c r="CT524" s="1">
        <v>5.7824999999999998</v>
      </c>
    </row>
    <row r="525" spans="31:98" x14ac:dyDescent="0.2">
      <c r="AE525" s="3">
        <v>45461</v>
      </c>
      <c r="AF525" s="1">
        <v>5.75</v>
      </c>
      <c r="AG525" s="3">
        <v>45439</v>
      </c>
      <c r="AH525" s="1">
        <v>5.85</v>
      </c>
      <c r="AI525" s="3">
        <v>45469</v>
      </c>
      <c r="AJ525" s="2">
        <v>5.8304999999999998</v>
      </c>
      <c r="AK525" s="3">
        <v>45469</v>
      </c>
      <c r="AL525" s="2">
        <v>5.8049999999999997</v>
      </c>
      <c r="AM525" s="3">
        <v>45469</v>
      </c>
      <c r="AN525" s="2">
        <v>5.7625000000000002</v>
      </c>
      <c r="AO525" s="3">
        <v>45469</v>
      </c>
      <c r="AP525" s="2">
        <v>5.5975000000000001</v>
      </c>
      <c r="AQ525" s="3">
        <v>45469</v>
      </c>
      <c r="AR525" s="2">
        <v>5.29</v>
      </c>
      <c r="AS525" s="3">
        <v>45469</v>
      </c>
      <c r="AT525" s="2">
        <v>4.9950000000000001</v>
      </c>
      <c r="AU525" s="3">
        <v>45469</v>
      </c>
      <c r="AV525" s="2">
        <v>4.78</v>
      </c>
      <c r="AW525" s="3">
        <v>45469</v>
      </c>
      <c r="AX525" s="2">
        <v>4.62</v>
      </c>
      <c r="AY525" s="3">
        <v>45469</v>
      </c>
      <c r="AZ525" s="2">
        <v>4.51</v>
      </c>
      <c r="BB525" s="3">
        <v>45440</v>
      </c>
      <c r="BC525" s="1">
        <v>5.25</v>
      </c>
      <c r="BD525" s="3">
        <v>45441</v>
      </c>
      <c r="BE525" s="1">
        <v>5.14</v>
      </c>
      <c r="BF525" s="3">
        <v>45469</v>
      </c>
      <c r="BG525" s="1">
        <v>4.7699999999999996</v>
      </c>
      <c r="BH525" s="3">
        <v>45469</v>
      </c>
      <c r="BI525" s="1">
        <v>4.6029999999999998</v>
      </c>
      <c r="BJ525" s="3">
        <v>45469</v>
      </c>
      <c r="BK525" s="1">
        <v>4.46</v>
      </c>
      <c r="BL525" s="3">
        <v>45469</v>
      </c>
      <c r="BM525" s="1">
        <v>4.1849999999999996</v>
      </c>
      <c r="BN525" s="3">
        <v>45469</v>
      </c>
      <c r="BO525" s="1">
        <v>3.99</v>
      </c>
      <c r="BP525" s="3">
        <v>45469</v>
      </c>
      <c r="BQ525" s="1">
        <v>3.82</v>
      </c>
      <c r="BR525" s="3">
        <v>45469</v>
      </c>
      <c r="BS525" s="1">
        <v>3.7</v>
      </c>
      <c r="BT525" s="3">
        <v>45469</v>
      </c>
      <c r="BU525" s="1">
        <v>3.6349999999999998</v>
      </c>
      <c r="BV525" s="3">
        <v>45469</v>
      </c>
      <c r="BW525" s="1">
        <v>3.6150000000000002</v>
      </c>
      <c r="BY525" s="3">
        <v>45439</v>
      </c>
      <c r="BZ525" s="1">
        <v>7.25</v>
      </c>
      <c r="CA525" s="3">
        <v>45433</v>
      </c>
      <c r="CB525" s="1">
        <v>7.16</v>
      </c>
      <c r="CC525" s="3">
        <v>45469</v>
      </c>
      <c r="CD525" s="1">
        <v>6.82</v>
      </c>
      <c r="CE525" s="3">
        <v>45469</v>
      </c>
      <c r="CF525" s="1">
        <v>6.75</v>
      </c>
      <c r="CG525" s="3">
        <v>45469</v>
      </c>
      <c r="CH525" s="1">
        <v>6.66</v>
      </c>
      <c r="CI525" s="3">
        <v>45469</v>
      </c>
      <c r="CJ525" s="1">
        <v>6.4</v>
      </c>
      <c r="CK525" s="3">
        <v>45469</v>
      </c>
      <c r="CL525" s="1">
        <v>6.14</v>
      </c>
      <c r="CM525" s="3">
        <v>45469</v>
      </c>
      <c r="CN525" s="1">
        <v>5.93</v>
      </c>
      <c r="CO525" s="3">
        <v>45461</v>
      </c>
      <c r="CP525" s="1">
        <v>5.8525</v>
      </c>
      <c r="CQ525" s="3">
        <v>45461</v>
      </c>
      <c r="CR525" s="1">
        <v>5.79</v>
      </c>
      <c r="CS525" s="3">
        <v>45461</v>
      </c>
      <c r="CT525" s="1">
        <v>5.8075000000000001</v>
      </c>
    </row>
    <row r="526" spans="31:98" x14ac:dyDescent="0.2">
      <c r="AE526" s="3">
        <v>45460</v>
      </c>
      <c r="AF526" s="1">
        <v>5.75</v>
      </c>
      <c r="AG526" s="3">
        <v>45436</v>
      </c>
      <c r="AH526" s="1">
        <v>5.85</v>
      </c>
      <c r="AI526" s="3">
        <v>45468</v>
      </c>
      <c r="AJ526" s="2">
        <v>5.8289999999999997</v>
      </c>
      <c r="AK526" s="3">
        <v>45468</v>
      </c>
      <c r="AL526" s="2">
        <v>5.8025000000000002</v>
      </c>
      <c r="AM526" s="3">
        <v>45468</v>
      </c>
      <c r="AN526" s="2">
        <v>5.76</v>
      </c>
      <c r="AO526" s="3">
        <v>45468</v>
      </c>
      <c r="AP526" s="2">
        <v>5.585</v>
      </c>
      <c r="AQ526" s="3">
        <v>45468</v>
      </c>
      <c r="AR526" s="2">
        <v>5.2649999999999997</v>
      </c>
      <c r="AS526" s="3">
        <v>45468</v>
      </c>
      <c r="AT526" s="2">
        <v>4.96</v>
      </c>
      <c r="AU526" s="3">
        <v>45468</v>
      </c>
      <c r="AV526" s="2">
        <v>4.7374999999999998</v>
      </c>
      <c r="AW526" s="3">
        <v>45468</v>
      </c>
      <c r="AX526" s="2">
        <v>4.5750000000000002</v>
      </c>
      <c r="AY526" s="3">
        <v>45468</v>
      </c>
      <c r="AZ526" s="2">
        <v>4.4649999999999999</v>
      </c>
      <c r="BB526" s="3">
        <v>45439</v>
      </c>
      <c r="BC526" s="1">
        <v>5.25</v>
      </c>
      <c r="BD526" s="3">
        <v>45440</v>
      </c>
      <c r="BE526" s="1">
        <v>5.15</v>
      </c>
      <c r="BF526" s="3">
        <v>45468</v>
      </c>
      <c r="BG526" s="1">
        <v>4.7750000000000004</v>
      </c>
      <c r="BH526" s="3">
        <v>45468</v>
      </c>
      <c r="BI526" s="1">
        <v>4.6079999999999997</v>
      </c>
      <c r="BJ526" s="3">
        <v>45468</v>
      </c>
      <c r="BK526" s="1">
        <v>4.5529999999999999</v>
      </c>
      <c r="BL526" s="3">
        <v>45468</v>
      </c>
      <c r="BM526" s="1">
        <v>4.1929999999999996</v>
      </c>
      <c r="BN526" s="3">
        <v>45468</v>
      </c>
      <c r="BO526" s="1">
        <v>3.988</v>
      </c>
      <c r="BP526" s="3">
        <v>45468</v>
      </c>
      <c r="BQ526" s="1">
        <v>3.81</v>
      </c>
      <c r="BR526" s="3">
        <v>45468</v>
      </c>
      <c r="BS526" s="1">
        <v>3.69</v>
      </c>
      <c r="BT526" s="3">
        <v>45468</v>
      </c>
      <c r="BU526" s="1">
        <v>3.625</v>
      </c>
      <c r="BV526" s="3">
        <v>45468</v>
      </c>
      <c r="BW526" s="1">
        <v>3.5979999999999999</v>
      </c>
      <c r="BY526" s="3">
        <v>45436</v>
      </c>
      <c r="BZ526" s="1">
        <v>7.25</v>
      </c>
      <c r="CA526" s="3">
        <v>45429</v>
      </c>
      <c r="CB526" s="1">
        <v>7.22</v>
      </c>
      <c r="CC526" s="3">
        <v>45468</v>
      </c>
      <c r="CD526" s="1">
        <v>6.82</v>
      </c>
      <c r="CE526" s="3">
        <v>45468</v>
      </c>
      <c r="CF526" s="1">
        <v>6.78</v>
      </c>
      <c r="CG526" s="3">
        <v>45468</v>
      </c>
      <c r="CH526" s="1">
        <v>6.67</v>
      </c>
      <c r="CI526" s="3">
        <v>45468</v>
      </c>
      <c r="CJ526" s="1">
        <v>6.43</v>
      </c>
      <c r="CK526" s="3">
        <v>45468</v>
      </c>
      <c r="CL526" s="1">
        <v>6.19</v>
      </c>
      <c r="CM526" s="3">
        <v>45468</v>
      </c>
      <c r="CN526" s="1">
        <v>5.9950000000000001</v>
      </c>
      <c r="CO526" s="3">
        <v>45460</v>
      </c>
      <c r="CP526" s="1">
        <v>5.9024999999999999</v>
      </c>
      <c r="CQ526" s="3">
        <v>45460</v>
      </c>
      <c r="CR526" s="1">
        <v>5.8550000000000004</v>
      </c>
      <c r="CS526" s="3">
        <v>45460</v>
      </c>
      <c r="CT526" s="1">
        <v>5.8724999999999996</v>
      </c>
    </row>
    <row r="527" spans="31:98" x14ac:dyDescent="0.2">
      <c r="AE527" s="3">
        <v>45457</v>
      </c>
      <c r="AF527" s="1">
        <v>5.75</v>
      </c>
      <c r="AG527" s="3">
        <v>45435</v>
      </c>
      <c r="AH527" s="1">
        <v>5.85</v>
      </c>
      <c r="AI527" s="3">
        <v>45467</v>
      </c>
      <c r="AJ527" s="2">
        <v>5.8310000000000004</v>
      </c>
      <c r="AK527" s="3">
        <v>45467</v>
      </c>
      <c r="AL527" s="2">
        <v>5.8150000000000004</v>
      </c>
      <c r="AM527" s="3">
        <v>45467</v>
      </c>
      <c r="AN527" s="2">
        <v>5.7824999999999998</v>
      </c>
      <c r="AO527" s="3">
        <v>45467</v>
      </c>
      <c r="AP527" s="2">
        <v>5.6124999999999998</v>
      </c>
      <c r="AQ527" s="3">
        <v>45467</v>
      </c>
      <c r="AR527" s="2">
        <v>5.3</v>
      </c>
      <c r="AS527" s="3">
        <v>45467</v>
      </c>
      <c r="AT527" s="2">
        <v>4.9974999999999996</v>
      </c>
      <c r="AU527" s="3">
        <v>45467</v>
      </c>
      <c r="AV527" s="2">
        <v>4.79</v>
      </c>
      <c r="AW527" s="3">
        <v>45467</v>
      </c>
      <c r="AX527" s="2">
        <v>4.6275000000000004</v>
      </c>
      <c r="AY527" s="3">
        <v>45467</v>
      </c>
      <c r="AZ527" s="2">
        <v>4.5175000000000001</v>
      </c>
      <c r="BB527" s="3">
        <v>45436</v>
      </c>
      <c r="BC527" s="1">
        <v>5.25</v>
      </c>
      <c r="BD527" s="3">
        <v>45439</v>
      </c>
      <c r="BE527" s="1">
        <v>5.15</v>
      </c>
      <c r="BF527" s="3">
        <v>45467</v>
      </c>
      <c r="BG527" s="1">
        <v>4.78</v>
      </c>
      <c r="BH527" s="3">
        <v>45467</v>
      </c>
      <c r="BI527" s="1">
        <v>4.6150000000000002</v>
      </c>
      <c r="BJ527" s="3">
        <v>45467</v>
      </c>
      <c r="BK527" s="1">
        <v>4.5780000000000003</v>
      </c>
      <c r="BL527" s="3">
        <v>45467</v>
      </c>
      <c r="BM527" s="1">
        <v>4.2279999999999998</v>
      </c>
      <c r="BN527" s="3">
        <v>45467</v>
      </c>
      <c r="BO527" s="1">
        <v>4.0350000000000001</v>
      </c>
      <c r="BP527" s="3">
        <v>45467</v>
      </c>
      <c r="BQ527" s="1">
        <v>3.8849999999999998</v>
      </c>
      <c r="BR527" s="3">
        <v>45467</v>
      </c>
      <c r="BS527" s="1">
        <v>3.76</v>
      </c>
      <c r="BT527" s="3">
        <v>45467</v>
      </c>
      <c r="BU527" s="1">
        <v>3.6949999999999998</v>
      </c>
      <c r="BV527" s="3">
        <v>45467</v>
      </c>
      <c r="BW527" s="1">
        <v>3.68</v>
      </c>
      <c r="BY527" s="3">
        <v>45435</v>
      </c>
      <c r="BZ527" s="1">
        <v>7.25</v>
      </c>
      <c r="CA527" s="3">
        <v>45428</v>
      </c>
      <c r="CB527" s="1">
        <v>7.28</v>
      </c>
      <c r="CC527" s="3">
        <v>45467</v>
      </c>
      <c r="CD527" s="1">
        <v>6.83</v>
      </c>
      <c r="CE527" s="3">
        <v>45467</v>
      </c>
      <c r="CF527" s="1">
        <v>6.79</v>
      </c>
      <c r="CG527" s="3">
        <v>45467</v>
      </c>
      <c r="CH527" s="1">
        <v>6.74</v>
      </c>
      <c r="CI527" s="3">
        <v>45467</v>
      </c>
      <c r="CJ527" s="1">
        <v>6.49</v>
      </c>
      <c r="CK527" s="3">
        <v>45467</v>
      </c>
      <c r="CL527" s="1">
        <v>6.23</v>
      </c>
      <c r="CM527" s="3">
        <v>45467</v>
      </c>
      <c r="CN527" s="1">
        <v>6.03</v>
      </c>
      <c r="CO527" s="3">
        <v>45457</v>
      </c>
      <c r="CP527" s="1">
        <v>5.8775000000000004</v>
      </c>
      <c r="CQ527" s="3">
        <v>45457</v>
      </c>
      <c r="CR527" s="1">
        <v>5.83</v>
      </c>
      <c r="CS527" s="3">
        <v>45457</v>
      </c>
      <c r="CT527" s="1">
        <v>5.8475000000000001</v>
      </c>
    </row>
    <row r="528" spans="31:98" x14ac:dyDescent="0.2">
      <c r="AE528" s="3">
        <v>45456</v>
      </c>
      <c r="AF528" s="1">
        <v>5.75</v>
      </c>
      <c r="AG528" s="3">
        <v>45434</v>
      </c>
      <c r="AH528" s="1">
        <v>5.86</v>
      </c>
      <c r="AI528" s="3">
        <v>45464</v>
      </c>
      <c r="AJ528" s="2">
        <v>5.8319999999999999</v>
      </c>
      <c r="AK528" s="3">
        <v>45464</v>
      </c>
      <c r="AL528" s="2">
        <v>5.8150000000000004</v>
      </c>
      <c r="AM528" s="3">
        <v>45464</v>
      </c>
      <c r="AN528" s="2">
        <v>5.78</v>
      </c>
      <c r="AO528" s="3">
        <v>45464</v>
      </c>
      <c r="AP528" s="2">
        <v>5.6375000000000002</v>
      </c>
      <c r="AQ528" s="3">
        <v>45464</v>
      </c>
      <c r="AR528" s="2">
        <v>5.3324999999999996</v>
      </c>
      <c r="AS528" s="3">
        <v>45464</v>
      </c>
      <c r="AT528" s="2">
        <v>5.0575000000000001</v>
      </c>
      <c r="AU528" s="3">
        <v>45464</v>
      </c>
      <c r="AV528" s="2">
        <v>4.8499999999999996</v>
      </c>
      <c r="AW528" s="3">
        <v>45464</v>
      </c>
      <c r="AX528" s="2">
        <v>4.6900000000000004</v>
      </c>
      <c r="AY528" s="3">
        <v>45464</v>
      </c>
      <c r="AZ528" s="2">
        <v>4.58</v>
      </c>
      <c r="BB528" s="3">
        <v>45435</v>
      </c>
      <c r="BC528" s="1">
        <v>5.25</v>
      </c>
      <c r="BD528" s="3">
        <v>45436</v>
      </c>
      <c r="BE528" s="1">
        <v>5.15</v>
      </c>
      <c r="BF528" s="3">
        <v>45464</v>
      </c>
      <c r="BG528" s="1">
        <v>4.7549999999999999</v>
      </c>
      <c r="BH528" s="3">
        <v>45464</v>
      </c>
      <c r="BI528" s="1">
        <v>4.6100000000000003</v>
      </c>
      <c r="BJ528" s="3">
        <v>45464</v>
      </c>
      <c r="BK528" s="1">
        <v>4.57</v>
      </c>
      <c r="BL528" s="3">
        <v>45464</v>
      </c>
      <c r="BM528" s="1">
        <v>4.2249999999999996</v>
      </c>
      <c r="BN528" s="3">
        <v>45464</v>
      </c>
      <c r="BO528" s="1">
        <v>4.03</v>
      </c>
      <c r="BP528" s="3">
        <v>45464</v>
      </c>
      <c r="BQ528" s="1">
        <v>3.88</v>
      </c>
      <c r="BR528" s="3">
        <v>45464</v>
      </c>
      <c r="BS528" s="1">
        <v>3.7450000000000001</v>
      </c>
      <c r="BT528" s="3">
        <v>45464</v>
      </c>
      <c r="BU528" s="1">
        <v>3.7</v>
      </c>
      <c r="BV528" s="3">
        <v>45464</v>
      </c>
      <c r="BW528" s="1">
        <v>3.6850000000000001</v>
      </c>
      <c r="BY528" s="3">
        <v>45434</v>
      </c>
      <c r="BZ528" s="1">
        <v>7.25</v>
      </c>
      <c r="CA528" s="3">
        <v>45427</v>
      </c>
      <c r="CB528" s="1">
        <v>7.33</v>
      </c>
      <c r="CC528" s="3">
        <v>45464</v>
      </c>
      <c r="CD528" s="1">
        <v>6.8380000000000001</v>
      </c>
      <c r="CE528" s="3">
        <v>45464</v>
      </c>
      <c r="CF528" s="1">
        <v>6.7869999999999999</v>
      </c>
      <c r="CG528" s="3">
        <v>45464</v>
      </c>
      <c r="CH528" s="1">
        <v>6.74</v>
      </c>
      <c r="CI528" s="3">
        <v>45464</v>
      </c>
      <c r="CJ528" s="1">
        <v>6.49</v>
      </c>
      <c r="CK528" s="3">
        <v>45464</v>
      </c>
      <c r="CL528" s="1">
        <v>6.23</v>
      </c>
      <c r="CM528" s="3">
        <v>45464</v>
      </c>
      <c r="CN528" s="1">
        <v>6.0350000000000001</v>
      </c>
      <c r="CO528" s="3">
        <v>45456</v>
      </c>
      <c r="CP528" s="1">
        <v>5.7874999999999996</v>
      </c>
      <c r="CQ528" s="3">
        <v>45456</v>
      </c>
      <c r="CR528" s="1">
        <v>5.74</v>
      </c>
      <c r="CS528" s="3">
        <v>45456</v>
      </c>
      <c r="CT528" s="1">
        <v>5.7575000000000003</v>
      </c>
    </row>
    <row r="529" spans="31:98" x14ac:dyDescent="0.2">
      <c r="AE529" s="3">
        <v>45455</v>
      </c>
      <c r="AF529" s="1">
        <v>5.75</v>
      </c>
      <c r="AG529" s="3">
        <v>45433</v>
      </c>
      <c r="AH529" s="1">
        <v>5.85</v>
      </c>
      <c r="AI529" s="3">
        <v>45463</v>
      </c>
      <c r="AJ529" s="2">
        <v>5.8384999999999998</v>
      </c>
      <c r="AK529" s="3">
        <v>45463</v>
      </c>
      <c r="AL529" s="2">
        <v>5.8274999999999997</v>
      </c>
      <c r="AM529" s="3">
        <v>45463</v>
      </c>
      <c r="AN529" s="2">
        <v>5.7949999999999999</v>
      </c>
      <c r="AO529" s="3">
        <v>45463</v>
      </c>
      <c r="AP529" s="2">
        <v>5.6675000000000004</v>
      </c>
      <c r="AQ529" s="3">
        <v>45463</v>
      </c>
      <c r="AR529" s="2">
        <v>5.3650000000000002</v>
      </c>
      <c r="AS529" s="3">
        <v>45463</v>
      </c>
      <c r="AT529" s="2">
        <v>5.0999999999999996</v>
      </c>
      <c r="AU529" s="3">
        <v>45463</v>
      </c>
      <c r="AV529" s="2">
        <v>4.8949999999999996</v>
      </c>
      <c r="AW529" s="3">
        <v>45463</v>
      </c>
      <c r="AX529" s="2">
        <v>4.7350000000000003</v>
      </c>
      <c r="AY529" s="3">
        <v>45463</v>
      </c>
      <c r="AZ529" s="2">
        <v>4.625</v>
      </c>
      <c r="BB529" s="3">
        <v>45434</v>
      </c>
      <c r="BC529" s="1">
        <v>5.25</v>
      </c>
      <c r="BD529" s="3">
        <v>45435</v>
      </c>
      <c r="BE529" s="1">
        <v>5.15</v>
      </c>
      <c r="BF529" s="3">
        <v>45463</v>
      </c>
      <c r="BG529" s="1">
        <v>4.7850000000000001</v>
      </c>
      <c r="BH529" s="3">
        <v>45463</v>
      </c>
      <c r="BI529" s="1">
        <v>4.5999999999999996</v>
      </c>
      <c r="BJ529" s="3">
        <v>45463</v>
      </c>
      <c r="BK529" s="1">
        <v>4.5529999999999999</v>
      </c>
      <c r="BL529" s="3">
        <v>45463</v>
      </c>
      <c r="BM529" s="1">
        <v>4.1950000000000003</v>
      </c>
      <c r="BN529" s="3">
        <v>45463</v>
      </c>
      <c r="BO529" s="1">
        <v>4.0279999999999996</v>
      </c>
      <c r="BP529" s="3">
        <v>45463</v>
      </c>
      <c r="BQ529" s="1">
        <v>3.86</v>
      </c>
      <c r="BR529" s="3">
        <v>45463</v>
      </c>
      <c r="BS529" s="1">
        <v>3.738</v>
      </c>
      <c r="BT529" s="3">
        <v>45463</v>
      </c>
      <c r="BU529" s="1">
        <v>3.68</v>
      </c>
      <c r="BV529" s="3">
        <v>45463</v>
      </c>
      <c r="BW529" s="1">
        <v>3.6629999999999998</v>
      </c>
      <c r="BY529" s="3">
        <v>45433</v>
      </c>
      <c r="BZ529" s="1">
        <v>7.75</v>
      </c>
      <c r="CA529" s="3">
        <v>45426</v>
      </c>
      <c r="CB529" s="1">
        <v>7.34</v>
      </c>
      <c r="CC529" s="3">
        <v>45463</v>
      </c>
      <c r="CD529" s="1">
        <v>6.8250000000000002</v>
      </c>
      <c r="CE529" s="3">
        <v>45463</v>
      </c>
      <c r="CF529" s="1">
        <v>6.7720000000000002</v>
      </c>
      <c r="CG529" s="3">
        <v>45463</v>
      </c>
      <c r="CH529" s="1">
        <v>6.72</v>
      </c>
      <c r="CI529" s="3">
        <v>45463</v>
      </c>
      <c r="CJ529" s="1">
        <v>6.47</v>
      </c>
      <c r="CK529" s="3">
        <v>45463</v>
      </c>
      <c r="CL529" s="1">
        <v>6.21</v>
      </c>
      <c r="CM529" s="3">
        <v>45463</v>
      </c>
      <c r="CN529" s="1">
        <v>5.98</v>
      </c>
      <c r="CO529" s="3">
        <v>45455</v>
      </c>
      <c r="CP529" s="1">
        <v>5.6875</v>
      </c>
      <c r="CQ529" s="3">
        <v>45455</v>
      </c>
      <c r="CR529" s="1">
        <v>5.6349999999999998</v>
      </c>
      <c r="CS529" s="3">
        <v>45455</v>
      </c>
      <c r="CT529" s="1">
        <v>5.6524999999999999</v>
      </c>
    </row>
    <row r="530" spans="31:98" x14ac:dyDescent="0.2">
      <c r="AE530" s="3">
        <v>45454</v>
      </c>
      <c r="AF530" s="1">
        <v>5.75</v>
      </c>
      <c r="AG530" s="3">
        <v>45432</v>
      </c>
      <c r="AH530" s="1">
        <v>5.85</v>
      </c>
      <c r="AI530" s="3">
        <v>45462</v>
      </c>
      <c r="AJ530" s="2">
        <v>5.8342999999999998</v>
      </c>
      <c r="AK530" s="3">
        <v>45462</v>
      </c>
      <c r="AL530" s="2">
        <v>5.8250000000000002</v>
      </c>
      <c r="AM530" s="3">
        <v>45462</v>
      </c>
      <c r="AN530" s="2">
        <v>5.7949999999999999</v>
      </c>
      <c r="AO530" s="3">
        <v>45462</v>
      </c>
      <c r="AP530" s="2">
        <v>5.6675000000000004</v>
      </c>
      <c r="AQ530" s="3">
        <v>45462</v>
      </c>
      <c r="AR530" s="2">
        <v>5.3775000000000004</v>
      </c>
      <c r="AS530" s="3">
        <v>45462</v>
      </c>
      <c r="AT530" s="2">
        <v>5.1025</v>
      </c>
      <c r="AU530" s="3">
        <v>45462</v>
      </c>
      <c r="AV530" s="2">
        <v>4.8949999999999996</v>
      </c>
      <c r="AW530" s="3">
        <v>45462</v>
      </c>
      <c r="AX530" s="2">
        <v>4.7300000000000004</v>
      </c>
      <c r="AY530" s="3">
        <v>45462</v>
      </c>
      <c r="AZ530" s="2">
        <v>4.625</v>
      </c>
      <c r="BB530" s="3">
        <v>45433</v>
      </c>
      <c r="BC530" s="1">
        <v>5.25</v>
      </c>
      <c r="BD530" s="3">
        <v>45434</v>
      </c>
      <c r="BE530" s="1">
        <v>5.15</v>
      </c>
      <c r="BF530" s="3">
        <v>45462</v>
      </c>
      <c r="BG530" s="1">
        <v>4.8049999999999997</v>
      </c>
      <c r="BH530" s="3">
        <v>45462</v>
      </c>
      <c r="BI530" s="1">
        <v>4.6180000000000003</v>
      </c>
      <c r="BJ530" s="3">
        <v>45462</v>
      </c>
      <c r="BK530" s="1">
        <v>4.5750000000000002</v>
      </c>
      <c r="BL530" s="3">
        <v>45462</v>
      </c>
      <c r="BM530" s="1">
        <v>4.2350000000000003</v>
      </c>
      <c r="BN530" s="3">
        <v>45462</v>
      </c>
      <c r="BO530" s="1">
        <v>3.9649999999999999</v>
      </c>
      <c r="BP530" s="3">
        <v>45462</v>
      </c>
      <c r="BQ530" s="1">
        <v>3.7629999999999999</v>
      </c>
      <c r="BR530" s="3">
        <v>45462</v>
      </c>
      <c r="BS530" s="1">
        <v>3.64</v>
      </c>
      <c r="BT530" s="3">
        <v>45462</v>
      </c>
      <c r="BU530" s="1">
        <v>3.5830000000000002</v>
      </c>
      <c r="BV530" s="3">
        <v>45462</v>
      </c>
      <c r="BW530" s="1">
        <v>3.5649999999999999</v>
      </c>
      <c r="BY530" s="3">
        <v>45432</v>
      </c>
      <c r="BZ530" s="1">
        <v>7.75</v>
      </c>
      <c r="CA530" s="3">
        <v>45425</v>
      </c>
      <c r="CB530" s="1">
        <v>7.36</v>
      </c>
      <c r="CC530" s="3">
        <v>45462</v>
      </c>
      <c r="CD530" s="1">
        <v>6.8129999999999997</v>
      </c>
      <c r="CE530" s="3">
        <v>45462</v>
      </c>
      <c r="CF530" s="1">
        <v>6.7569999999999997</v>
      </c>
      <c r="CG530" s="3">
        <v>45462</v>
      </c>
      <c r="CH530" s="1">
        <v>6.7</v>
      </c>
      <c r="CI530" s="3">
        <v>45462</v>
      </c>
      <c r="CJ530" s="1">
        <v>6.43</v>
      </c>
      <c r="CK530" s="3">
        <v>45462</v>
      </c>
      <c r="CL530" s="1">
        <v>6.17</v>
      </c>
      <c r="CM530" s="3">
        <v>45462</v>
      </c>
      <c r="CN530" s="1">
        <v>5.94</v>
      </c>
      <c r="CO530" s="3">
        <v>45454</v>
      </c>
      <c r="CP530" s="1">
        <v>5.8574999999999999</v>
      </c>
      <c r="CQ530" s="3">
        <v>45454</v>
      </c>
      <c r="CR530" s="1">
        <v>5.8049999999999997</v>
      </c>
      <c r="CS530" s="3">
        <v>45454</v>
      </c>
      <c r="CT530" s="1">
        <v>5.8224999999999998</v>
      </c>
    </row>
    <row r="531" spans="31:98" x14ac:dyDescent="0.2">
      <c r="AE531" s="3">
        <v>45453</v>
      </c>
      <c r="AF531" s="1">
        <v>5.75</v>
      </c>
      <c r="AG531" s="3">
        <v>45429</v>
      </c>
      <c r="AH531" s="1">
        <v>5.85</v>
      </c>
      <c r="AI531" s="3">
        <v>45461</v>
      </c>
      <c r="AJ531" s="2">
        <v>5.8383000000000003</v>
      </c>
      <c r="AK531" s="3">
        <v>45461</v>
      </c>
      <c r="AL531" s="2">
        <v>5.8224999999999998</v>
      </c>
      <c r="AM531" s="3">
        <v>45461</v>
      </c>
      <c r="AN531" s="2">
        <v>5.79</v>
      </c>
      <c r="AO531" s="3">
        <v>45461</v>
      </c>
      <c r="AP531" s="2">
        <v>5.65</v>
      </c>
      <c r="AQ531" s="3">
        <v>45461</v>
      </c>
      <c r="AR531" s="2">
        <v>5.3550000000000004</v>
      </c>
      <c r="AS531" s="3">
        <v>45461</v>
      </c>
      <c r="AT531" s="2">
        <v>5.0724999999999998</v>
      </c>
      <c r="AU531" s="3">
        <v>45461</v>
      </c>
      <c r="AV531" s="2">
        <v>4.8574999999999999</v>
      </c>
      <c r="AW531" s="3">
        <v>45461</v>
      </c>
      <c r="AX531" s="2">
        <v>4.6950000000000003</v>
      </c>
      <c r="AY531" s="3">
        <v>45461</v>
      </c>
      <c r="AZ531" s="2">
        <v>4.59</v>
      </c>
      <c r="BB531" s="3">
        <v>45432</v>
      </c>
      <c r="BC531" s="1">
        <v>5.25</v>
      </c>
      <c r="BD531" s="3">
        <v>45433</v>
      </c>
      <c r="BE531" s="1">
        <v>5.15</v>
      </c>
      <c r="BF531" s="3">
        <v>45461</v>
      </c>
      <c r="BG531" s="1">
        <v>4.8049999999999997</v>
      </c>
      <c r="BH531" s="3">
        <v>45461</v>
      </c>
      <c r="BI531" s="1">
        <v>4.63</v>
      </c>
      <c r="BJ531" s="3">
        <v>45461</v>
      </c>
      <c r="BK531" s="1">
        <v>4.585</v>
      </c>
      <c r="BL531" s="3">
        <v>45461</v>
      </c>
      <c r="BM531" s="1">
        <v>4.2249999999999996</v>
      </c>
      <c r="BN531" s="3">
        <v>45461</v>
      </c>
      <c r="BO531" s="1">
        <v>3.97</v>
      </c>
      <c r="BP531" s="3">
        <v>45461</v>
      </c>
      <c r="BQ531" s="1">
        <v>3.77</v>
      </c>
      <c r="BR531" s="3">
        <v>45461</v>
      </c>
      <c r="BS531" s="1">
        <v>3.645</v>
      </c>
      <c r="BT531" s="3">
        <v>45461</v>
      </c>
      <c r="BU531" s="1">
        <v>3.59</v>
      </c>
      <c r="BV531" s="3">
        <v>45461</v>
      </c>
      <c r="BW531" s="1">
        <v>3.57</v>
      </c>
      <c r="BY531" s="3">
        <v>45429</v>
      </c>
      <c r="BZ531" s="1">
        <v>7.75</v>
      </c>
      <c r="CA531" s="3">
        <v>45422</v>
      </c>
      <c r="CB531" s="1">
        <v>7.38</v>
      </c>
      <c r="CC531" s="3">
        <v>45461</v>
      </c>
      <c r="CD531" s="1">
        <v>6.79</v>
      </c>
      <c r="CE531" s="3">
        <v>45461</v>
      </c>
      <c r="CF531" s="1">
        <v>6.74</v>
      </c>
      <c r="CG531" s="3">
        <v>45461</v>
      </c>
      <c r="CH531" s="1">
        <v>6.69</v>
      </c>
      <c r="CI531" s="3">
        <v>45461</v>
      </c>
      <c r="CJ531" s="1">
        <v>6.42</v>
      </c>
      <c r="CK531" s="3">
        <v>45461</v>
      </c>
      <c r="CL531" s="1">
        <v>6.17</v>
      </c>
      <c r="CM531" s="3">
        <v>45461</v>
      </c>
      <c r="CN531" s="1">
        <v>5.9275000000000002</v>
      </c>
      <c r="CO531" s="3">
        <v>45453</v>
      </c>
      <c r="CP531" s="1">
        <v>5.8574999999999999</v>
      </c>
      <c r="CQ531" s="3">
        <v>45453</v>
      </c>
      <c r="CR531" s="1">
        <v>5.8049999999999997</v>
      </c>
      <c r="CS531" s="3">
        <v>45453</v>
      </c>
      <c r="CT531" s="1">
        <v>5.8224999999999998</v>
      </c>
    </row>
    <row r="532" spans="31:98" x14ac:dyDescent="0.2">
      <c r="AE532" s="3">
        <v>45450</v>
      </c>
      <c r="AF532" s="1">
        <v>5.75</v>
      </c>
      <c r="AG532" s="3">
        <v>45428</v>
      </c>
      <c r="AH532" s="1">
        <v>5.85</v>
      </c>
      <c r="AI532" s="3">
        <v>45460</v>
      </c>
      <c r="AJ532" s="2">
        <v>5.84</v>
      </c>
      <c r="AK532" s="3">
        <v>45460</v>
      </c>
      <c r="AL532" s="2">
        <v>5.83</v>
      </c>
      <c r="AM532" s="3">
        <v>45460</v>
      </c>
      <c r="AN532" s="2">
        <v>5.7975000000000003</v>
      </c>
      <c r="AO532" s="3">
        <v>45460</v>
      </c>
      <c r="AP532" s="2">
        <v>5.6825000000000001</v>
      </c>
      <c r="AQ532" s="3">
        <v>45460</v>
      </c>
      <c r="AR532" s="2">
        <v>5.4074999999999998</v>
      </c>
      <c r="AS532" s="3">
        <v>45460</v>
      </c>
      <c r="AT532" s="2">
        <v>5.1425000000000001</v>
      </c>
      <c r="AU532" s="3">
        <v>45460</v>
      </c>
      <c r="AV532" s="2">
        <v>4.9424999999999999</v>
      </c>
      <c r="AW532" s="3">
        <v>45460</v>
      </c>
      <c r="AX532" s="2">
        <v>4.7774999999999999</v>
      </c>
      <c r="AY532" s="3">
        <v>45460</v>
      </c>
      <c r="AZ532" s="2">
        <v>4.67</v>
      </c>
      <c r="BB532" s="3">
        <v>45429</v>
      </c>
      <c r="BC532" s="1">
        <v>5.25</v>
      </c>
      <c r="BD532" s="3">
        <v>45432</v>
      </c>
      <c r="BE532" s="1">
        <v>5.15</v>
      </c>
      <c r="BF532" s="3">
        <v>45460</v>
      </c>
      <c r="BG532" s="1">
        <v>4.8150000000000004</v>
      </c>
      <c r="BH532" s="3">
        <v>45460</v>
      </c>
      <c r="BI532" s="1">
        <v>4.6349999999999998</v>
      </c>
      <c r="BJ532" s="3">
        <v>45460</v>
      </c>
      <c r="BK532" s="1">
        <v>4.585</v>
      </c>
      <c r="BL532" s="3">
        <v>45460</v>
      </c>
      <c r="BM532" s="1">
        <v>4.2300000000000004</v>
      </c>
      <c r="BN532" s="3">
        <v>45460</v>
      </c>
      <c r="BO532" s="1">
        <v>3.9849999999999999</v>
      </c>
      <c r="BP532" s="3">
        <v>45460</v>
      </c>
      <c r="BQ532" s="1">
        <v>3.8</v>
      </c>
      <c r="BR532" s="3">
        <v>45460</v>
      </c>
      <c r="BS532" s="1">
        <v>3.6850000000000001</v>
      </c>
      <c r="BT532" s="3">
        <v>45460</v>
      </c>
      <c r="BU532" s="1">
        <v>3.64</v>
      </c>
      <c r="BV532" s="3">
        <v>45460</v>
      </c>
      <c r="BW532" s="1">
        <v>3.62</v>
      </c>
      <c r="BY532" s="3">
        <v>45428</v>
      </c>
      <c r="BZ532" s="1">
        <v>7.75</v>
      </c>
      <c r="CA532" s="3">
        <v>45421</v>
      </c>
      <c r="CB532" s="1">
        <v>7.39</v>
      </c>
      <c r="CC532" s="3">
        <v>45460</v>
      </c>
      <c r="CD532" s="1">
        <v>6.7919999999999998</v>
      </c>
      <c r="CE532" s="3">
        <v>45460</v>
      </c>
      <c r="CF532" s="1">
        <v>6.7329999999999997</v>
      </c>
      <c r="CG532" s="3">
        <v>45460</v>
      </c>
      <c r="CH532" s="1">
        <v>6.68</v>
      </c>
      <c r="CI532" s="3">
        <v>45460</v>
      </c>
      <c r="CJ532" s="1">
        <v>6.43</v>
      </c>
      <c r="CK532" s="3">
        <v>45460</v>
      </c>
      <c r="CL532" s="1">
        <v>6.19</v>
      </c>
      <c r="CM532" s="3">
        <v>45460</v>
      </c>
      <c r="CN532" s="1">
        <v>5.9625000000000004</v>
      </c>
      <c r="CO532" s="3">
        <v>45450</v>
      </c>
      <c r="CP532" s="1">
        <v>5.7324999999999999</v>
      </c>
      <c r="CQ532" s="3">
        <v>45450</v>
      </c>
      <c r="CR532" s="1">
        <v>5.6624999999999996</v>
      </c>
      <c r="CS532" s="3">
        <v>45450</v>
      </c>
      <c r="CT532" s="1">
        <v>5.6775000000000002</v>
      </c>
    </row>
    <row r="533" spans="31:98" x14ac:dyDescent="0.2">
      <c r="AE533" s="3">
        <v>45449</v>
      </c>
      <c r="AF533" s="1">
        <v>5.75</v>
      </c>
      <c r="AG533" s="3">
        <v>45427</v>
      </c>
      <c r="AH533" s="1">
        <v>5.85</v>
      </c>
      <c r="AI533" s="3">
        <v>45457</v>
      </c>
      <c r="AJ533" s="2">
        <v>5.8398000000000003</v>
      </c>
      <c r="AK533" s="3">
        <v>45457</v>
      </c>
      <c r="AL533" s="2">
        <v>5.8274999999999997</v>
      </c>
      <c r="AM533" s="3">
        <v>45457</v>
      </c>
      <c r="AN533" s="2">
        <v>5.8</v>
      </c>
      <c r="AO533" s="3">
        <v>45457</v>
      </c>
      <c r="AP533" s="2">
        <v>5.68</v>
      </c>
      <c r="AQ533" s="3">
        <v>45457</v>
      </c>
      <c r="AR533" s="2">
        <v>5.3949999999999996</v>
      </c>
      <c r="AS533" s="3">
        <v>45457</v>
      </c>
      <c r="AT533" s="2">
        <v>5.12</v>
      </c>
      <c r="AU533" s="3">
        <v>45457</v>
      </c>
      <c r="AV533" s="2">
        <v>4.92</v>
      </c>
      <c r="AW533" s="3">
        <v>45457</v>
      </c>
      <c r="AX533" s="2">
        <v>4.7549999999999999</v>
      </c>
      <c r="AY533" s="3">
        <v>45457</v>
      </c>
      <c r="AZ533" s="2">
        <v>4.6449999999999996</v>
      </c>
      <c r="BB533" s="3">
        <v>45428</v>
      </c>
      <c r="BC533" s="1">
        <v>5.25</v>
      </c>
      <c r="BD533" s="3">
        <v>45429</v>
      </c>
      <c r="BE533" s="1">
        <v>5.15</v>
      </c>
      <c r="BF533" s="3">
        <v>45457</v>
      </c>
      <c r="BG533" s="1">
        <v>4.8449999999999998</v>
      </c>
      <c r="BH533" s="3">
        <v>45457</v>
      </c>
      <c r="BI533" s="1">
        <v>4.6630000000000003</v>
      </c>
      <c r="BJ533" s="3">
        <v>45457</v>
      </c>
      <c r="BK533" s="1">
        <v>4.6130000000000004</v>
      </c>
      <c r="BL533" s="3">
        <v>45457</v>
      </c>
      <c r="BM533" s="1">
        <v>4.2629999999999999</v>
      </c>
      <c r="BN533" s="3">
        <v>45457</v>
      </c>
      <c r="BO533" s="1">
        <v>4.0330000000000004</v>
      </c>
      <c r="BP533" s="3">
        <v>45457</v>
      </c>
      <c r="BQ533" s="1">
        <v>3.8530000000000002</v>
      </c>
      <c r="BR533" s="3">
        <v>45457</v>
      </c>
      <c r="BS533" s="1">
        <v>3.7480000000000002</v>
      </c>
      <c r="BT533" s="3">
        <v>45457</v>
      </c>
      <c r="BU533" s="1">
        <v>3.7029999999999998</v>
      </c>
      <c r="BV533" s="3">
        <v>45457</v>
      </c>
      <c r="BW533" s="1">
        <v>3.6779999999999999</v>
      </c>
      <c r="BY533" s="3">
        <v>45426</v>
      </c>
      <c r="BZ533" s="1">
        <v>7.75</v>
      </c>
      <c r="CA533" s="3">
        <v>45420</v>
      </c>
      <c r="CB533" s="1">
        <v>7.4</v>
      </c>
      <c r="CC533" s="3">
        <v>45457</v>
      </c>
      <c r="CD533" s="1">
        <v>6.7869999999999999</v>
      </c>
      <c r="CE533" s="3">
        <v>45457</v>
      </c>
      <c r="CF533" s="1">
        <v>6.7380000000000004</v>
      </c>
      <c r="CG533" s="3">
        <v>45457</v>
      </c>
      <c r="CH533" s="1">
        <v>6.68</v>
      </c>
      <c r="CI533" s="3">
        <v>45457</v>
      </c>
      <c r="CJ533" s="1">
        <v>6.43</v>
      </c>
      <c r="CK533" s="3">
        <v>45457</v>
      </c>
      <c r="CL533" s="1">
        <v>6.19</v>
      </c>
      <c r="CM533" s="3">
        <v>45457</v>
      </c>
      <c r="CN533" s="1">
        <v>5.9375</v>
      </c>
      <c r="CO533" s="3">
        <v>45449</v>
      </c>
      <c r="CP533" s="1">
        <v>5.7874999999999996</v>
      </c>
      <c r="CQ533" s="3">
        <v>45449</v>
      </c>
      <c r="CR533" s="1">
        <v>5.7275</v>
      </c>
      <c r="CS533" s="3">
        <v>45449</v>
      </c>
      <c r="CT533" s="1">
        <v>5.7424999999999997</v>
      </c>
    </row>
    <row r="534" spans="31:98" x14ac:dyDescent="0.2">
      <c r="AE534" s="3">
        <v>45448</v>
      </c>
      <c r="AF534" s="1">
        <v>5.75</v>
      </c>
      <c r="AG534" s="3">
        <v>45426</v>
      </c>
      <c r="AH534" s="1">
        <v>5.86</v>
      </c>
      <c r="AI534" s="3">
        <v>45456</v>
      </c>
      <c r="AJ534" s="2">
        <v>5.8407999999999998</v>
      </c>
      <c r="AK534" s="3">
        <v>45456</v>
      </c>
      <c r="AL534" s="2">
        <v>5.8250000000000002</v>
      </c>
      <c r="AM534" s="3">
        <v>45456</v>
      </c>
      <c r="AN534" s="2">
        <v>5.7925000000000004</v>
      </c>
      <c r="AO534" s="3">
        <v>45456</v>
      </c>
      <c r="AP534" s="2">
        <v>5.665</v>
      </c>
      <c r="AQ534" s="3">
        <v>45456</v>
      </c>
      <c r="AR534" s="2">
        <v>5.4050000000000002</v>
      </c>
      <c r="AS534" s="3">
        <v>45456</v>
      </c>
      <c r="AT534" s="2">
        <v>5.12</v>
      </c>
      <c r="AU534" s="3">
        <v>45456</v>
      </c>
      <c r="AV534" s="2">
        <v>4.9050000000000002</v>
      </c>
      <c r="AW534" s="3">
        <v>45456</v>
      </c>
      <c r="AX534" s="2">
        <v>4.74</v>
      </c>
      <c r="AY534" s="3">
        <v>45456</v>
      </c>
      <c r="AZ534" s="2">
        <v>4.625</v>
      </c>
      <c r="BB534" s="3">
        <v>45427</v>
      </c>
      <c r="BC534" s="1">
        <v>5.25</v>
      </c>
      <c r="BD534" s="3">
        <v>45428</v>
      </c>
      <c r="BE534" s="1">
        <v>5.15</v>
      </c>
      <c r="BF534" s="3">
        <v>45456</v>
      </c>
      <c r="BG534" s="1">
        <v>4.8449999999999998</v>
      </c>
      <c r="BH534" s="3">
        <v>45456</v>
      </c>
      <c r="BI534" s="1">
        <v>4.67</v>
      </c>
      <c r="BJ534" s="3">
        <v>45456</v>
      </c>
      <c r="BK534" s="1">
        <v>4.62</v>
      </c>
      <c r="BL534" s="3">
        <v>45456</v>
      </c>
      <c r="BM534" s="1">
        <v>4.29</v>
      </c>
      <c r="BN534" s="3">
        <v>45456</v>
      </c>
      <c r="BO534" s="1">
        <v>4.0730000000000004</v>
      </c>
      <c r="BP534" s="3">
        <v>45456</v>
      </c>
      <c r="BQ534" s="1">
        <v>3.8980000000000001</v>
      </c>
      <c r="BR534" s="3">
        <v>45456</v>
      </c>
      <c r="BS534" s="1">
        <v>3.7879999999999998</v>
      </c>
      <c r="BT534" s="3">
        <v>45456</v>
      </c>
      <c r="BU534" s="1">
        <v>3.74</v>
      </c>
      <c r="BV534" s="3">
        <v>45456</v>
      </c>
      <c r="BW534" s="1">
        <v>3.7080000000000002</v>
      </c>
      <c r="BY534" s="3">
        <v>45425</v>
      </c>
      <c r="BZ534" s="1">
        <v>7.75</v>
      </c>
      <c r="CA534" s="3">
        <v>45419</v>
      </c>
      <c r="CB534" s="1">
        <v>7.42</v>
      </c>
      <c r="CC534" s="3">
        <v>45456</v>
      </c>
      <c r="CD534" s="1">
        <v>6.7370000000000001</v>
      </c>
      <c r="CE534" s="3">
        <v>45456</v>
      </c>
      <c r="CF534" s="1">
        <v>6.6459999999999999</v>
      </c>
      <c r="CG534" s="3">
        <v>45456</v>
      </c>
      <c r="CH534" s="1">
        <v>6.57</v>
      </c>
      <c r="CI534" s="3">
        <v>45456</v>
      </c>
      <c r="CJ534" s="1">
        <v>6.31</v>
      </c>
      <c r="CK534" s="3">
        <v>45456</v>
      </c>
      <c r="CL534" s="1">
        <v>6.05</v>
      </c>
      <c r="CM534" s="3">
        <v>45456</v>
      </c>
      <c r="CN534" s="1">
        <v>5.8475000000000001</v>
      </c>
      <c r="CO534" s="3">
        <v>45448</v>
      </c>
      <c r="CP534" s="1">
        <v>5.8674999999999997</v>
      </c>
      <c r="CQ534" s="3">
        <v>45448</v>
      </c>
      <c r="CR534" s="1">
        <v>5.8075000000000001</v>
      </c>
      <c r="CS534" s="3">
        <v>45448</v>
      </c>
      <c r="CT534" s="1">
        <v>5.8174999999999999</v>
      </c>
    </row>
    <row r="535" spans="31:98" x14ac:dyDescent="0.2">
      <c r="AE535" s="3">
        <v>45447</v>
      </c>
      <c r="AF535" s="1">
        <v>5.75</v>
      </c>
      <c r="AG535" s="3">
        <v>45425</v>
      </c>
      <c r="AH535" s="1">
        <v>5.85</v>
      </c>
      <c r="AI535" s="3">
        <v>45455</v>
      </c>
      <c r="AJ535" s="2">
        <v>5.8392999999999997</v>
      </c>
      <c r="AK535" s="3">
        <v>45455</v>
      </c>
      <c r="AL535" s="2">
        <v>5.8250000000000002</v>
      </c>
      <c r="AM535" s="3">
        <v>45455</v>
      </c>
      <c r="AN535" s="2">
        <v>5.7874999999999996</v>
      </c>
      <c r="AO535" s="3">
        <v>45455</v>
      </c>
      <c r="AP535" s="2">
        <v>5.6624999999999996</v>
      </c>
      <c r="AQ535" s="3">
        <v>45455</v>
      </c>
      <c r="AR535" s="2">
        <v>5.3825000000000003</v>
      </c>
      <c r="AS535" s="3">
        <v>45455</v>
      </c>
      <c r="AT535" s="2">
        <v>5.0975000000000001</v>
      </c>
      <c r="AU535" s="3">
        <v>45455</v>
      </c>
      <c r="AV535" s="2">
        <v>4.8775000000000004</v>
      </c>
      <c r="AW535" s="3">
        <v>45455</v>
      </c>
      <c r="AX535" s="2">
        <v>4.7125000000000004</v>
      </c>
      <c r="AY535" s="3">
        <v>45455</v>
      </c>
      <c r="AZ535" s="2">
        <v>4.5925000000000002</v>
      </c>
      <c r="BB535" s="3">
        <v>45426</v>
      </c>
      <c r="BC535" s="1">
        <v>5.25</v>
      </c>
      <c r="BD535" s="3">
        <v>45427</v>
      </c>
      <c r="BE535" s="1">
        <v>5.16</v>
      </c>
      <c r="BF535" s="3">
        <v>45455</v>
      </c>
      <c r="BG535" s="1">
        <v>4.8449999999999998</v>
      </c>
      <c r="BH535" s="3">
        <v>45455</v>
      </c>
      <c r="BI535" s="1">
        <v>4.6529999999999996</v>
      </c>
      <c r="BJ535" s="3">
        <v>45455</v>
      </c>
      <c r="BK535" s="1">
        <v>4.6130000000000004</v>
      </c>
      <c r="BL535" s="3">
        <v>45455</v>
      </c>
      <c r="BM535" s="1">
        <v>4.2750000000000004</v>
      </c>
      <c r="BN535" s="3">
        <v>45455</v>
      </c>
      <c r="BO535" s="1">
        <v>4.0549999999999997</v>
      </c>
      <c r="BP535" s="3">
        <v>45455</v>
      </c>
      <c r="BQ535" s="1">
        <v>3.88</v>
      </c>
      <c r="BR535" s="3">
        <v>45455</v>
      </c>
      <c r="BS535" s="1">
        <v>3.7829999999999999</v>
      </c>
      <c r="BT535" s="3">
        <v>45455</v>
      </c>
      <c r="BU535" s="1">
        <v>3.7349999999999999</v>
      </c>
      <c r="BV535" s="3">
        <v>45455</v>
      </c>
      <c r="BW535" s="1">
        <v>3.7149999999999999</v>
      </c>
      <c r="BY535" s="3">
        <v>45422</v>
      </c>
      <c r="BZ535" s="1">
        <v>7.75</v>
      </c>
      <c r="CA535" s="3">
        <v>45418</v>
      </c>
      <c r="CB535" s="1">
        <v>7.44</v>
      </c>
      <c r="CC535" s="3">
        <v>45455</v>
      </c>
      <c r="CD535" s="1">
        <v>6.7039999999999997</v>
      </c>
      <c r="CE535" s="3">
        <v>45455</v>
      </c>
      <c r="CF535" s="1">
        <v>6.5880000000000001</v>
      </c>
      <c r="CG535" s="3">
        <v>45455</v>
      </c>
      <c r="CH535" s="1">
        <v>6.49</v>
      </c>
      <c r="CI535" s="3">
        <v>45455</v>
      </c>
      <c r="CJ535" s="1">
        <v>6.25</v>
      </c>
      <c r="CK535" s="3">
        <v>45455</v>
      </c>
      <c r="CL535" s="1">
        <v>5.99</v>
      </c>
      <c r="CM535" s="3">
        <v>45455</v>
      </c>
      <c r="CN535" s="1">
        <v>5.7525000000000004</v>
      </c>
      <c r="CO535" s="3">
        <v>45447</v>
      </c>
      <c r="CP535" s="1">
        <v>5.94</v>
      </c>
      <c r="CQ535" s="3">
        <v>45447</v>
      </c>
      <c r="CR535" s="1">
        <v>5.8849999999999998</v>
      </c>
      <c r="CS535" s="3">
        <v>45447</v>
      </c>
      <c r="CT535" s="1">
        <v>5.8949999999999996</v>
      </c>
    </row>
    <row r="536" spans="31:98" x14ac:dyDescent="0.2">
      <c r="AE536" s="3">
        <v>45446</v>
      </c>
      <c r="AF536" s="1">
        <v>5.75</v>
      </c>
      <c r="AG536" s="3">
        <v>45422</v>
      </c>
      <c r="AH536" s="1">
        <v>5.86</v>
      </c>
      <c r="AI536" s="3">
        <v>45454</v>
      </c>
      <c r="AJ536" s="2">
        <v>5.8464999999999998</v>
      </c>
      <c r="AK536" s="3">
        <v>45454</v>
      </c>
      <c r="AL536" s="2">
        <v>5.84</v>
      </c>
      <c r="AM536" s="3">
        <v>45454</v>
      </c>
      <c r="AN536" s="2">
        <v>5.8049999999999997</v>
      </c>
      <c r="AO536" s="3">
        <v>45454</v>
      </c>
      <c r="AP536" s="2">
        <v>5.7</v>
      </c>
      <c r="AQ536" s="3">
        <v>45454</v>
      </c>
      <c r="AR536" s="2">
        <v>5.4349999999999996</v>
      </c>
      <c r="AS536" s="3">
        <v>45454</v>
      </c>
      <c r="AT536" s="2">
        <v>5.1550000000000002</v>
      </c>
      <c r="AU536" s="3">
        <v>45454</v>
      </c>
      <c r="AV536" s="2">
        <v>4.9400000000000004</v>
      </c>
      <c r="AW536" s="3">
        <v>45454</v>
      </c>
      <c r="AX536" s="2">
        <v>4.79</v>
      </c>
      <c r="AY536" s="3">
        <v>45454</v>
      </c>
      <c r="AZ536" s="2">
        <v>4.68</v>
      </c>
      <c r="BB536" s="3">
        <v>45425</v>
      </c>
      <c r="BC536" s="1">
        <v>5.25</v>
      </c>
      <c r="BD536" s="3">
        <v>45426</v>
      </c>
      <c r="BE536" s="1">
        <v>5.16</v>
      </c>
      <c r="BF536" s="3">
        <v>45454</v>
      </c>
      <c r="BG536" s="1">
        <v>4.8449999999999998</v>
      </c>
      <c r="BH536" s="3">
        <v>45454</v>
      </c>
      <c r="BI536" s="1">
        <v>4.6749999999999998</v>
      </c>
      <c r="BJ536" s="3">
        <v>45454</v>
      </c>
      <c r="BK536" s="1">
        <v>4.6500000000000004</v>
      </c>
      <c r="BL536" s="3">
        <v>45454</v>
      </c>
      <c r="BM536" s="1">
        <v>4.335</v>
      </c>
      <c r="BN536" s="3">
        <v>45454</v>
      </c>
      <c r="BO536" s="1">
        <v>4.1230000000000002</v>
      </c>
      <c r="BP536" s="3">
        <v>45454</v>
      </c>
      <c r="BQ536" s="1">
        <v>3.96</v>
      </c>
      <c r="BR536" s="3">
        <v>45454</v>
      </c>
      <c r="BS536" s="1">
        <v>3.87</v>
      </c>
      <c r="BT536" s="3">
        <v>45454</v>
      </c>
      <c r="BU536" s="1">
        <v>3.8279999999999998</v>
      </c>
      <c r="BV536" s="3">
        <v>45454</v>
      </c>
      <c r="BW536" s="1">
        <v>3.8050000000000002</v>
      </c>
      <c r="BY536" s="3">
        <v>45421</v>
      </c>
      <c r="BZ536" s="1">
        <v>7.75</v>
      </c>
      <c r="CA536" s="3">
        <v>45415</v>
      </c>
      <c r="CB536" s="1">
        <v>7.47</v>
      </c>
      <c r="CC536" s="3">
        <v>45454</v>
      </c>
      <c r="CD536" s="1">
        <v>6.73</v>
      </c>
      <c r="CE536" s="3">
        <v>45454</v>
      </c>
      <c r="CF536" s="1">
        <v>6.65</v>
      </c>
      <c r="CG536" s="3">
        <v>45454</v>
      </c>
      <c r="CH536" s="1">
        <v>6.57</v>
      </c>
      <c r="CI536" s="3">
        <v>45454</v>
      </c>
      <c r="CJ536" s="1">
        <v>6.35</v>
      </c>
      <c r="CK536" s="3">
        <v>45454</v>
      </c>
      <c r="CL536" s="1">
        <v>6.13</v>
      </c>
      <c r="CM536" s="3">
        <v>45454</v>
      </c>
      <c r="CN536" s="1">
        <v>5.915</v>
      </c>
      <c r="CO536" s="3">
        <v>45446</v>
      </c>
      <c r="CP536" s="1">
        <v>5.9950000000000001</v>
      </c>
      <c r="CQ536" s="3">
        <v>45446</v>
      </c>
      <c r="CR536" s="1">
        <v>5.94</v>
      </c>
      <c r="CS536" s="3">
        <v>45446</v>
      </c>
      <c r="CT536" s="1">
        <v>5.95</v>
      </c>
    </row>
    <row r="537" spans="31:98" x14ac:dyDescent="0.2">
      <c r="AE537" s="3">
        <v>45443</v>
      </c>
      <c r="AF537" s="1">
        <v>5.75</v>
      </c>
      <c r="AG537" s="3">
        <v>45421</v>
      </c>
      <c r="AH537" s="1">
        <v>5.86</v>
      </c>
      <c r="AI537" s="3">
        <v>45453</v>
      </c>
      <c r="AJ537" s="2">
        <v>5.85</v>
      </c>
      <c r="AK537" s="3">
        <v>45453</v>
      </c>
      <c r="AL537" s="2">
        <v>5.84</v>
      </c>
      <c r="AM537" s="3">
        <v>45453</v>
      </c>
      <c r="AN537" s="2">
        <v>5.8049999999999997</v>
      </c>
      <c r="AO537" s="3">
        <v>45453</v>
      </c>
      <c r="AP537" s="2">
        <v>5.7074999999999996</v>
      </c>
      <c r="AQ537" s="3">
        <v>45453</v>
      </c>
      <c r="AR537" s="2">
        <v>5.4450000000000003</v>
      </c>
      <c r="AS537" s="3">
        <v>45453</v>
      </c>
      <c r="AT537" s="2">
        <v>5.17</v>
      </c>
      <c r="AU537" s="3">
        <v>45453</v>
      </c>
      <c r="AV537" s="2">
        <v>4.9675000000000002</v>
      </c>
      <c r="AW537" s="3">
        <v>45453</v>
      </c>
      <c r="AX537" s="2">
        <v>4.8150000000000004</v>
      </c>
      <c r="AY537" s="3">
        <v>45453</v>
      </c>
      <c r="AZ537" s="2">
        <v>4.7050000000000001</v>
      </c>
      <c r="BB537" s="3">
        <v>45422</v>
      </c>
      <c r="BC537" s="1">
        <v>5.25</v>
      </c>
      <c r="BD537" s="3">
        <v>45425</v>
      </c>
      <c r="BE537" s="1">
        <v>5.16</v>
      </c>
      <c r="BF537" s="3">
        <v>45453</v>
      </c>
      <c r="BG537" s="1">
        <v>4.87</v>
      </c>
      <c r="BH537" s="3">
        <v>45453</v>
      </c>
      <c r="BI537" s="1">
        <v>4.72</v>
      </c>
      <c r="BJ537" s="3">
        <v>45453</v>
      </c>
      <c r="BK537" s="1">
        <v>4.6900000000000004</v>
      </c>
      <c r="BL537" s="3">
        <v>45453</v>
      </c>
      <c r="BM537" s="1">
        <v>4.3949999999999996</v>
      </c>
      <c r="BN537" s="3">
        <v>45453</v>
      </c>
      <c r="BO537" s="1">
        <v>4.2</v>
      </c>
      <c r="BP537" s="3">
        <v>45453</v>
      </c>
      <c r="BQ537" s="1">
        <v>4.0199999999999996</v>
      </c>
      <c r="BR537" s="3">
        <v>45453</v>
      </c>
      <c r="BS537" s="1">
        <v>3.93</v>
      </c>
      <c r="BT537" s="3">
        <v>45453</v>
      </c>
      <c r="BU537" s="1">
        <v>3.895</v>
      </c>
      <c r="BV537" s="3">
        <v>45453</v>
      </c>
      <c r="BW537" s="1">
        <v>3.875</v>
      </c>
      <c r="BY537" s="3">
        <v>45420</v>
      </c>
      <c r="BZ537" s="1">
        <v>7.75</v>
      </c>
      <c r="CA537" s="3">
        <v>45414</v>
      </c>
      <c r="CB537" s="1">
        <v>7.48</v>
      </c>
      <c r="CC537" s="3">
        <v>45453</v>
      </c>
      <c r="CD537" s="1">
        <v>6.7409999999999997</v>
      </c>
      <c r="CE537" s="3">
        <v>45453</v>
      </c>
      <c r="CF537" s="1">
        <v>6.6509999999999998</v>
      </c>
      <c r="CG537" s="3">
        <v>45453</v>
      </c>
      <c r="CH537" s="1">
        <v>6.57</v>
      </c>
      <c r="CI537" s="3">
        <v>45453</v>
      </c>
      <c r="CJ537" s="1">
        <v>6.34</v>
      </c>
      <c r="CK537" s="3">
        <v>45453</v>
      </c>
      <c r="CL537" s="1">
        <v>6.12</v>
      </c>
      <c r="CM537" s="3">
        <v>45453</v>
      </c>
      <c r="CN537" s="1">
        <v>5.915</v>
      </c>
      <c r="CO537" s="3">
        <v>45443</v>
      </c>
      <c r="CP537" s="1">
        <v>5.9874999999999998</v>
      </c>
      <c r="CQ537" s="3">
        <v>45443</v>
      </c>
      <c r="CR537" s="1">
        <v>5.9375</v>
      </c>
      <c r="CS537" s="3">
        <v>45443</v>
      </c>
      <c r="CT537" s="1">
        <v>5.9550000000000001</v>
      </c>
    </row>
    <row r="538" spans="31:98" x14ac:dyDescent="0.2">
      <c r="AE538" s="3">
        <v>45442</v>
      </c>
      <c r="AF538" s="1">
        <v>5.75</v>
      </c>
      <c r="AG538" s="3">
        <v>45420</v>
      </c>
      <c r="AH538" s="1">
        <v>5.86</v>
      </c>
      <c r="AI538" s="3">
        <v>45450</v>
      </c>
      <c r="AJ538" s="2">
        <v>5.85</v>
      </c>
      <c r="AK538" s="3">
        <v>45450</v>
      </c>
      <c r="AL538" s="2">
        <v>5.8425000000000002</v>
      </c>
      <c r="AM538" s="3">
        <v>45450</v>
      </c>
      <c r="AN538" s="2">
        <v>5.8049999999999997</v>
      </c>
      <c r="AO538" s="3">
        <v>45450</v>
      </c>
      <c r="AP538" s="2">
        <v>5.7</v>
      </c>
      <c r="AQ538" s="3">
        <v>45450</v>
      </c>
      <c r="AR538" s="2">
        <v>5.3975</v>
      </c>
      <c r="AS538" s="3">
        <v>45450</v>
      </c>
      <c r="AT538" s="2">
        <v>5.1375000000000002</v>
      </c>
      <c r="AU538" s="3">
        <v>45450</v>
      </c>
      <c r="AV538" s="2">
        <v>4.9275000000000002</v>
      </c>
      <c r="AW538" s="3">
        <v>45450</v>
      </c>
      <c r="AX538" s="2">
        <v>4.7725</v>
      </c>
      <c r="AY538" s="3">
        <v>45450</v>
      </c>
      <c r="AZ538" s="2">
        <v>4.6574999999999998</v>
      </c>
      <c r="BB538" s="3">
        <v>45421</v>
      </c>
      <c r="BC538" s="1">
        <v>5.25</v>
      </c>
      <c r="BD538" s="3">
        <v>45422</v>
      </c>
      <c r="BE538" s="1">
        <v>5.16</v>
      </c>
      <c r="BF538" s="3">
        <v>45450</v>
      </c>
      <c r="BG538" s="1">
        <v>4.8650000000000002</v>
      </c>
      <c r="BH538" s="3">
        <v>45450</v>
      </c>
      <c r="BI538" s="1">
        <v>4.72</v>
      </c>
      <c r="BJ538" s="3">
        <v>45450</v>
      </c>
      <c r="BK538" s="1">
        <v>4.6900000000000004</v>
      </c>
      <c r="BL538" s="3">
        <v>45450</v>
      </c>
      <c r="BM538" s="1">
        <v>4.38</v>
      </c>
      <c r="BN538" s="3">
        <v>45450</v>
      </c>
      <c r="BO538" s="1">
        <v>4.16</v>
      </c>
      <c r="BP538" s="3">
        <v>45450</v>
      </c>
      <c r="BQ538" s="1">
        <v>3.9849999999999999</v>
      </c>
      <c r="BR538" s="3">
        <v>45450</v>
      </c>
      <c r="BS538" s="1">
        <v>3.8849999999999998</v>
      </c>
      <c r="BT538" s="3">
        <v>45450</v>
      </c>
      <c r="BU538" s="1">
        <v>3.8450000000000002</v>
      </c>
      <c r="BV538" s="3">
        <v>45450</v>
      </c>
      <c r="BW538" s="1">
        <v>3.8149999999999999</v>
      </c>
      <c r="BY538" s="3">
        <v>45419</v>
      </c>
      <c r="BZ538" s="1">
        <v>7.75</v>
      </c>
      <c r="CA538" s="3">
        <v>45412</v>
      </c>
      <c r="CB538" s="1">
        <v>7.49</v>
      </c>
      <c r="CC538" s="3">
        <v>45450</v>
      </c>
      <c r="CD538" s="1">
        <v>6.726</v>
      </c>
      <c r="CE538" s="3">
        <v>45450</v>
      </c>
      <c r="CF538" s="1">
        <v>6.6120000000000001</v>
      </c>
      <c r="CG538" s="3">
        <v>45450</v>
      </c>
      <c r="CH538" s="1">
        <v>6.53</v>
      </c>
      <c r="CI538" s="3">
        <v>45450</v>
      </c>
      <c r="CJ538" s="1">
        <v>6.29</v>
      </c>
      <c r="CK538" s="3">
        <v>45450</v>
      </c>
      <c r="CL538" s="1">
        <v>6.05</v>
      </c>
      <c r="CM538" s="3">
        <v>45450</v>
      </c>
      <c r="CN538" s="1">
        <v>5.8075000000000001</v>
      </c>
      <c r="CO538" s="3">
        <v>45442</v>
      </c>
      <c r="CP538" s="1">
        <v>6.0125000000000002</v>
      </c>
      <c r="CQ538" s="3">
        <v>45442</v>
      </c>
      <c r="CR538" s="1">
        <v>5.9625000000000004</v>
      </c>
      <c r="CS538" s="3">
        <v>45442</v>
      </c>
      <c r="CT538" s="1">
        <v>5.9950000000000001</v>
      </c>
    </row>
    <row r="539" spans="31:98" x14ac:dyDescent="0.2">
      <c r="AE539" s="3">
        <v>45441</v>
      </c>
      <c r="AF539" s="1">
        <v>5.75</v>
      </c>
      <c r="AG539" s="3">
        <v>45419</v>
      </c>
      <c r="AH539" s="1">
        <v>5.86</v>
      </c>
      <c r="AI539" s="3">
        <v>45449</v>
      </c>
      <c r="AJ539" s="2">
        <v>5.8319999999999999</v>
      </c>
      <c r="AK539" s="3">
        <v>45449</v>
      </c>
      <c r="AL539" s="2">
        <v>5.82</v>
      </c>
      <c r="AM539" s="3">
        <v>45449</v>
      </c>
      <c r="AN539" s="2">
        <v>5.79</v>
      </c>
      <c r="AO539" s="3">
        <v>45449</v>
      </c>
      <c r="AP539" s="2">
        <v>5.68</v>
      </c>
      <c r="AQ539" s="3">
        <v>45449</v>
      </c>
      <c r="AR539" s="2">
        <v>5.38</v>
      </c>
      <c r="AS539" s="3">
        <v>45449</v>
      </c>
      <c r="AT539" s="2">
        <v>5.1150000000000002</v>
      </c>
      <c r="AU539" s="3">
        <v>45449</v>
      </c>
      <c r="AV539" s="2">
        <v>4.915</v>
      </c>
      <c r="AW539" s="3">
        <v>45449</v>
      </c>
      <c r="AX539" s="2">
        <v>4.7549999999999999</v>
      </c>
      <c r="AY539" s="3">
        <v>45449</v>
      </c>
      <c r="AZ539" s="2">
        <v>4.6349999999999998</v>
      </c>
      <c r="BB539" s="3">
        <v>45419</v>
      </c>
      <c r="BC539" s="1">
        <v>5.25</v>
      </c>
      <c r="BD539" s="3">
        <v>45421</v>
      </c>
      <c r="BE539" s="1">
        <v>5.17</v>
      </c>
      <c r="BF539" s="3">
        <v>45449</v>
      </c>
      <c r="BG539" s="1">
        <v>4.8650000000000002</v>
      </c>
      <c r="BH539" s="3">
        <v>45449</v>
      </c>
      <c r="BI539" s="1">
        <v>4.6950000000000003</v>
      </c>
      <c r="BJ539" s="3">
        <v>45449</v>
      </c>
      <c r="BK539" s="1">
        <v>4.6749999999999998</v>
      </c>
      <c r="BL539" s="3">
        <v>45449</v>
      </c>
      <c r="BM539" s="1">
        <v>4.3600000000000003</v>
      </c>
      <c r="BN539" s="3">
        <v>45449</v>
      </c>
      <c r="BO539" s="1">
        <v>4.1100000000000003</v>
      </c>
      <c r="BP539" s="3">
        <v>45449</v>
      </c>
      <c r="BQ539" s="1">
        <v>3.94</v>
      </c>
      <c r="BR539" s="3">
        <v>45449</v>
      </c>
      <c r="BS539" s="1">
        <v>3.84</v>
      </c>
      <c r="BT539" s="3">
        <v>45449</v>
      </c>
      <c r="BU539" s="1">
        <v>3.79</v>
      </c>
      <c r="BV539" s="3">
        <v>45449</v>
      </c>
      <c r="BW539" s="1">
        <v>3.7629999999999999</v>
      </c>
      <c r="BY539" s="3">
        <v>45418</v>
      </c>
      <c r="BZ539" s="1">
        <v>7.75</v>
      </c>
      <c r="CA539" s="3">
        <v>45411</v>
      </c>
      <c r="CB539" s="1">
        <v>7.5</v>
      </c>
      <c r="CC539" s="3">
        <v>45449</v>
      </c>
      <c r="CD539" s="1">
        <v>6.7240000000000002</v>
      </c>
      <c r="CE539" s="3">
        <v>45449</v>
      </c>
      <c r="CF539" s="1">
        <v>6.6269999999999998</v>
      </c>
      <c r="CG539" s="3">
        <v>45449</v>
      </c>
      <c r="CH539" s="1">
        <v>6.53</v>
      </c>
      <c r="CI539" s="3">
        <v>45449</v>
      </c>
      <c r="CJ539" s="1">
        <v>6.32</v>
      </c>
      <c r="CK539" s="3">
        <v>45449</v>
      </c>
      <c r="CL539" s="1">
        <v>6.1</v>
      </c>
      <c r="CM539" s="3">
        <v>45449</v>
      </c>
      <c r="CN539" s="1">
        <v>5.8525</v>
      </c>
      <c r="CO539" s="3">
        <v>45441</v>
      </c>
      <c r="CP539" s="1">
        <v>6.0774999999999997</v>
      </c>
      <c r="CQ539" s="3">
        <v>45441</v>
      </c>
      <c r="CR539" s="1">
        <v>6.0324999999999998</v>
      </c>
      <c r="CS539" s="3">
        <v>45441</v>
      </c>
      <c r="CT539" s="1">
        <v>6.0650000000000004</v>
      </c>
    </row>
    <row r="540" spans="31:98" x14ac:dyDescent="0.2">
      <c r="AE540" s="3">
        <v>45440</v>
      </c>
      <c r="AF540" s="1">
        <v>5.75</v>
      </c>
      <c r="AG540" s="3">
        <v>45418</v>
      </c>
      <c r="AH540" s="1">
        <v>5.86</v>
      </c>
      <c r="AI540" s="3">
        <v>45448</v>
      </c>
      <c r="AJ540" s="2">
        <v>5.8150000000000004</v>
      </c>
      <c r="AK540" s="3">
        <v>45448</v>
      </c>
      <c r="AL540" s="2">
        <v>5.7949999999999999</v>
      </c>
      <c r="AM540" s="3">
        <v>45448</v>
      </c>
      <c r="AN540" s="2">
        <v>5.7450000000000001</v>
      </c>
      <c r="AO540" s="3">
        <v>45448</v>
      </c>
      <c r="AP540" s="2">
        <v>5.57</v>
      </c>
      <c r="AQ540" s="3">
        <v>45448</v>
      </c>
      <c r="AR540" s="2">
        <v>5.3</v>
      </c>
      <c r="AS540" s="3">
        <v>45448</v>
      </c>
      <c r="AT540" s="2">
        <v>5.0199999999999996</v>
      </c>
      <c r="AU540" s="3">
        <v>45448</v>
      </c>
      <c r="AV540" s="2">
        <v>4.8049999999999997</v>
      </c>
      <c r="AW540" s="3">
        <v>45448</v>
      </c>
      <c r="AX540" s="2">
        <v>4.6550000000000002</v>
      </c>
      <c r="AY540" s="3">
        <v>45448</v>
      </c>
      <c r="AZ540" s="2">
        <v>4.54</v>
      </c>
      <c r="BB540" s="3">
        <v>45418</v>
      </c>
      <c r="BC540" s="1">
        <v>5.25</v>
      </c>
      <c r="BD540" s="3">
        <v>45419</v>
      </c>
      <c r="BE540" s="1">
        <v>5.18</v>
      </c>
      <c r="BF540" s="3">
        <v>45448</v>
      </c>
      <c r="BG540" s="1">
        <v>4.8499999999999996</v>
      </c>
      <c r="BH540" s="3">
        <v>45448</v>
      </c>
      <c r="BI540" s="1">
        <v>4.66</v>
      </c>
      <c r="BJ540" s="3">
        <v>45448</v>
      </c>
      <c r="BK540" s="1">
        <v>4.63</v>
      </c>
      <c r="BL540" s="3">
        <v>45448</v>
      </c>
      <c r="BM540" s="1">
        <v>4.2949999999999999</v>
      </c>
      <c r="BN540" s="3">
        <v>45448</v>
      </c>
      <c r="BO540" s="1">
        <v>4.05</v>
      </c>
      <c r="BP540" s="3">
        <v>45448</v>
      </c>
      <c r="BQ540" s="1">
        <v>3.88</v>
      </c>
      <c r="BR540" s="3">
        <v>45448</v>
      </c>
      <c r="BS540" s="1">
        <v>3.778</v>
      </c>
      <c r="BT540" s="3">
        <v>45448</v>
      </c>
      <c r="BU540" s="1">
        <v>3.738</v>
      </c>
      <c r="BV540" s="3">
        <v>45448</v>
      </c>
      <c r="BW540" s="1">
        <v>3.72</v>
      </c>
      <c r="BY540" s="3">
        <v>45415</v>
      </c>
      <c r="BZ540" s="1">
        <v>7.75</v>
      </c>
      <c r="CA540" s="3">
        <v>45408</v>
      </c>
      <c r="CB540" s="1">
        <v>7.5</v>
      </c>
      <c r="CC540" s="3">
        <v>45448</v>
      </c>
      <c r="CD540" s="1">
        <v>6.73</v>
      </c>
      <c r="CE540" s="3">
        <v>45448</v>
      </c>
      <c r="CF540" s="1">
        <v>6.64</v>
      </c>
      <c r="CG540" s="3">
        <v>45448</v>
      </c>
      <c r="CH540" s="1">
        <v>6.55</v>
      </c>
      <c r="CI540" s="3">
        <v>45448</v>
      </c>
      <c r="CJ540" s="1">
        <v>6.36</v>
      </c>
      <c r="CK540" s="3">
        <v>45448</v>
      </c>
      <c r="CL540" s="1">
        <v>6.17</v>
      </c>
      <c r="CM540" s="3">
        <v>45448</v>
      </c>
      <c r="CN540" s="1">
        <v>5.9325000000000001</v>
      </c>
      <c r="CO540" s="3">
        <v>45440</v>
      </c>
      <c r="CP540" s="1">
        <v>6.1025</v>
      </c>
      <c r="CQ540" s="3">
        <v>45440</v>
      </c>
      <c r="CR540" s="1">
        <v>6.0575000000000001</v>
      </c>
      <c r="CS540" s="3">
        <v>45440</v>
      </c>
      <c r="CT540" s="1">
        <v>6.09</v>
      </c>
    </row>
    <row r="541" spans="31:98" x14ac:dyDescent="0.2">
      <c r="AE541" s="3">
        <v>45439</v>
      </c>
      <c r="AF541" s="1">
        <v>5.75</v>
      </c>
      <c r="AG541" s="3">
        <v>45414</v>
      </c>
      <c r="AH541" s="1">
        <v>5.86</v>
      </c>
      <c r="AI541" s="3">
        <v>45447</v>
      </c>
      <c r="AJ541" s="2">
        <v>5.8194999999999997</v>
      </c>
      <c r="AK541" s="3">
        <v>45447</v>
      </c>
      <c r="AL541" s="2">
        <v>5.8</v>
      </c>
      <c r="AM541" s="3">
        <v>45447</v>
      </c>
      <c r="AN541" s="2">
        <v>5.77</v>
      </c>
      <c r="AO541" s="3">
        <v>45447</v>
      </c>
      <c r="AP541" s="2">
        <v>5.6150000000000002</v>
      </c>
      <c r="AQ541" s="3">
        <v>45447</v>
      </c>
      <c r="AR541" s="2">
        <v>5.35</v>
      </c>
      <c r="AS541" s="3">
        <v>45447</v>
      </c>
      <c r="AT541" s="2">
        <v>5.0750000000000002</v>
      </c>
      <c r="AU541" s="3">
        <v>45447</v>
      </c>
      <c r="AV541" s="2">
        <v>4.8650000000000002</v>
      </c>
      <c r="AW541" s="3">
        <v>45447</v>
      </c>
      <c r="AX541" s="2">
        <v>4.7149999999999999</v>
      </c>
      <c r="AY541" s="3">
        <v>45447</v>
      </c>
      <c r="AZ541" s="2">
        <v>4.5949999999999998</v>
      </c>
      <c r="BB541" s="3">
        <v>45415</v>
      </c>
      <c r="BC541" s="1">
        <v>5.25</v>
      </c>
      <c r="BD541" s="3">
        <v>45418</v>
      </c>
      <c r="BE541" s="1">
        <v>5.18</v>
      </c>
      <c r="BF541" s="3">
        <v>45447</v>
      </c>
      <c r="BG541" s="1">
        <v>4.8449999999999998</v>
      </c>
      <c r="BH541" s="3">
        <v>45447</v>
      </c>
      <c r="BI541" s="1">
        <v>4.665</v>
      </c>
      <c r="BJ541" s="3">
        <v>45447</v>
      </c>
      <c r="BK541" s="1">
        <v>4.6429999999999998</v>
      </c>
      <c r="BL541" s="3">
        <v>45447</v>
      </c>
      <c r="BM541" s="1">
        <v>4.3150000000000004</v>
      </c>
      <c r="BN541" s="3">
        <v>45447</v>
      </c>
      <c r="BO541" s="1">
        <v>4.0949999999999998</v>
      </c>
      <c r="BP541" s="3">
        <v>45447</v>
      </c>
      <c r="BQ541" s="1">
        <v>3.9249999999999998</v>
      </c>
      <c r="BR541" s="3">
        <v>45447</v>
      </c>
      <c r="BS541" s="1">
        <v>3.8130000000000002</v>
      </c>
      <c r="BT541" s="3">
        <v>45447</v>
      </c>
      <c r="BU541" s="1">
        <v>3.778</v>
      </c>
      <c r="BV541" s="3">
        <v>45447</v>
      </c>
      <c r="BW541" s="1">
        <v>3.76</v>
      </c>
      <c r="BY541" s="3">
        <v>45414</v>
      </c>
      <c r="BZ541" s="1">
        <v>7.75</v>
      </c>
      <c r="CA541" s="3">
        <v>45407</v>
      </c>
      <c r="CB541" s="1">
        <v>7.51</v>
      </c>
      <c r="CC541" s="3">
        <v>45447</v>
      </c>
      <c r="CD541" s="1">
        <v>6.74</v>
      </c>
      <c r="CE541" s="3">
        <v>45447</v>
      </c>
      <c r="CF541" s="1">
        <v>6.6550000000000002</v>
      </c>
      <c r="CG541" s="3">
        <v>45447</v>
      </c>
      <c r="CH541" s="1">
        <v>6.57</v>
      </c>
      <c r="CI541" s="3">
        <v>45447</v>
      </c>
      <c r="CJ541" s="1">
        <v>6.41</v>
      </c>
      <c r="CK541" s="3">
        <v>45447</v>
      </c>
      <c r="CL541" s="1">
        <v>6.25</v>
      </c>
      <c r="CM541" s="3">
        <v>45447</v>
      </c>
      <c r="CN541" s="1">
        <v>6.0075000000000003</v>
      </c>
      <c r="CO541" s="3">
        <v>45439</v>
      </c>
      <c r="CP541" s="1">
        <v>6.2074999999999996</v>
      </c>
      <c r="CQ541" s="3">
        <v>45439</v>
      </c>
      <c r="CR541" s="1">
        <v>6.1174999999999997</v>
      </c>
      <c r="CS541" s="3">
        <v>45439</v>
      </c>
      <c r="CT541" s="1">
        <v>6.17</v>
      </c>
    </row>
    <row r="542" spans="31:98" x14ac:dyDescent="0.2">
      <c r="AE542" s="3">
        <v>45436</v>
      </c>
      <c r="AF542" s="1">
        <v>5.75</v>
      </c>
      <c r="AG542" s="3">
        <v>45412</v>
      </c>
      <c r="AH542" s="1">
        <v>5.86</v>
      </c>
      <c r="AI542" s="3">
        <v>45446</v>
      </c>
      <c r="AJ542" s="2">
        <v>5.8434999999999997</v>
      </c>
      <c r="AK542" s="3">
        <v>45446</v>
      </c>
      <c r="AL542" s="2">
        <v>5.8049999999999997</v>
      </c>
      <c r="AM542" s="3">
        <v>45446</v>
      </c>
      <c r="AN542" s="2">
        <v>5.78</v>
      </c>
      <c r="AO542" s="3">
        <v>45446</v>
      </c>
      <c r="AP542" s="2">
        <v>5.6375000000000002</v>
      </c>
      <c r="AQ542" s="3">
        <v>45446</v>
      </c>
      <c r="AR542" s="2">
        <v>5.3674999999999997</v>
      </c>
      <c r="AS542" s="3">
        <v>45446</v>
      </c>
      <c r="AT542" s="2">
        <v>5.1025</v>
      </c>
      <c r="AU542" s="3">
        <v>45446</v>
      </c>
      <c r="AV542" s="2">
        <v>4.8925000000000001</v>
      </c>
      <c r="AW542" s="3">
        <v>45446</v>
      </c>
      <c r="AX542" s="2">
        <v>4.7324999999999999</v>
      </c>
      <c r="AY542" s="3">
        <v>45446</v>
      </c>
      <c r="AZ542" s="2">
        <v>4.6124999999999998</v>
      </c>
      <c r="BB542" s="3">
        <v>45414</v>
      </c>
      <c r="BC542" s="1">
        <v>5.75</v>
      </c>
      <c r="BD542" s="3">
        <v>45415</v>
      </c>
      <c r="BE542" s="1">
        <v>5.19</v>
      </c>
      <c r="BF542" s="3">
        <v>45446</v>
      </c>
      <c r="BG542" s="1">
        <v>4.84</v>
      </c>
      <c r="BH542" s="3">
        <v>45446</v>
      </c>
      <c r="BI542" s="1">
        <v>4.7649999999999997</v>
      </c>
      <c r="BJ542" s="3">
        <v>45446</v>
      </c>
      <c r="BK542" s="1">
        <v>4.6180000000000003</v>
      </c>
      <c r="BL542" s="3">
        <v>45446</v>
      </c>
      <c r="BM542" s="1">
        <v>4.28</v>
      </c>
      <c r="BN542" s="3">
        <v>45446</v>
      </c>
      <c r="BO542" s="1">
        <v>4.0599999999999996</v>
      </c>
      <c r="BP542" s="3">
        <v>45446</v>
      </c>
      <c r="BQ542" s="1">
        <v>3.8980000000000001</v>
      </c>
      <c r="BR542" s="3">
        <v>45446</v>
      </c>
      <c r="BS542" s="1">
        <v>3.7879999999999998</v>
      </c>
      <c r="BT542" s="3">
        <v>45446</v>
      </c>
      <c r="BU542" s="1">
        <v>3.7480000000000002</v>
      </c>
      <c r="BV542" s="3">
        <v>45446</v>
      </c>
      <c r="BW542" s="1">
        <v>3.7349999999999999</v>
      </c>
      <c r="BY542" s="3">
        <v>45413</v>
      </c>
      <c r="BZ542" s="1">
        <v>7.75</v>
      </c>
      <c r="CA542" s="3">
        <v>45406</v>
      </c>
      <c r="CB542" s="1">
        <v>7.53</v>
      </c>
      <c r="CC542" s="3">
        <v>45446</v>
      </c>
      <c r="CD542" s="1">
        <v>6.74</v>
      </c>
      <c r="CE542" s="3">
        <v>45446</v>
      </c>
      <c r="CF542" s="1">
        <v>6.6550000000000002</v>
      </c>
      <c r="CG542" s="3">
        <v>45446</v>
      </c>
      <c r="CH542" s="1">
        <v>6.57</v>
      </c>
      <c r="CI542" s="3">
        <v>45446</v>
      </c>
      <c r="CJ542" s="1">
        <v>6.41</v>
      </c>
      <c r="CK542" s="3">
        <v>45446</v>
      </c>
      <c r="CL542" s="1">
        <v>6.25</v>
      </c>
      <c r="CM542" s="3">
        <v>45446</v>
      </c>
      <c r="CN542" s="1">
        <v>6.0525000000000002</v>
      </c>
      <c r="CO542" s="3">
        <v>45436</v>
      </c>
      <c r="CP542" s="1">
        <v>6.2074999999999996</v>
      </c>
      <c r="CQ542" s="3">
        <v>45436</v>
      </c>
      <c r="CR542" s="1">
        <v>6.1174999999999997</v>
      </c>
      <c r="CS542" s="3">
        <v>45436</v>
      </c>
      <c r="CT542" s="1">
        <v>6.17</v>
      </c>
    </row>
    <row r="543" spans="31:98" x14ac:dyDescent="0.2">
      <c r="AE543" s="3">
        <v>45435</v>
      </c>
      <c r="AF543" s="1">
        <v>5.75</v>
      </c>
      <c r="AG543" s="3">
        <v>45411</v>
      </c>
      <c r="AH543" s="1">
        <v>5.87</v>
      </c>
      <c r="AI543" s="3">
        <v>45443</v>
      </c>
      <c r="AJ543" s="2">
        <v>5.851</v>
      </c>
      <c r="AK543" s="3">
        <v>45443</v>
      </c>
      <c r="AL543" s="2">
        <v>5.83</v>
      </c>
      <c r="AM543" s="3">
        <v>45443</v>
      </c>
      <c r="AN543" s="2">
        <v>5.8075000000000001</v>
      </c>
      <c r="AO543" s="3">
        <v>45443</v>
      </c>
      <c r="AP543" s="2">
        <v>5.7074999999999996</v>
      </c>
      <c r="AQ543" s="3">
        <v>45443</v>
      </c>
      <c r="AR543" s="2">
        <v>5.4325000000000001</v>
      </c>
      <c r="AS543" s="3">
        <v>45443</v>
      </c>
      <c r="AT543" s="2">
        <v>5.1675000000000004</v>
      </c>
      <c r="AU543" s="3">
        <v>45443</v>
      </c>
      <c r="AV543" s="2">
        <v>4.9574999999999996</v>
      </c>
      <c r="AW543" s="3">
        <v>45443</v>
      </c>
      <c r="AX543" s="2">
        <v>4.8025000000000002</v>
      </c>
      <c r="AY543" s="3">
        <v>45443</v>
      </c>
      <c r="AZ543" s="2">
        <v>4.6825000000000001</v>
      </c>
      <c r="BB543" s="3">
        <v>45412</v>
      </c>
      <c r="BC543" s="1">
        <v>5.75</v>
      </c>
      <c r="BD543" s="3">
        <v>45414</v>
      </c>
      <c r="BE543" s="1">
        <v>5.5</v>
      </c>
      <c r="BF543" s="3">
        <v>45443</v>
      </c>
      <c r="BG543" s="1">
        <v>4.87</v>
      </c>
      <c r="BH543" s="3">
        <v>45443</v>
      </c>
      <c r="BI543" s="1">
        <v>4.7850000000000001</v>
      </c>
      <c r="BJ543" s="3">
        <v>45443</v>
      </c>
      <c r="BK543" s="1">
        <v>4.6449999999999996</v>
      </c>
      <c r="BL543" s="3">
        <v>45443</v>
      </c>
      <c r="BM543" s="1">
        <v>4.33</v>
      </c>
      <c r="BN543" s="3">
        <v>45443</v>
      </c>
      <c r="BO543" s="1">
        <v>4.165</v>
      </c>
      <c r="BP543" s="3">
        <v>45443</v>
      </c>
      <c r="BQ543" s="1">
        <v>3.9980000000000002</v>
      </c>
      <c r="BR543" s="3">
        <v>45443</v>
      </c>
      <c r="BS543" s="1">
        <v>3.9</v>
      </c>
      <c r="BT543" s="3">
        <v>45443</v>
      </c>
      <c r="BU543" s="1">
        <v>3.86</v>
      </c>
      <c r="BV543" s="3">
        <v>45443</v>
      </c>
      <c r="BW543" s="1">
        <v>3.835</v>
      </c>
      <c r="BY543" s="3">
        <v>45412</v>
      </c>
      <c r="BZ543" s="1">
        <v>7.75</v>
      </c>
      <c r="CA543" s="3">
        <v>45405</v>
      </c>
      <c r="CB543" s="1">
        <v>7.65</v>
      </c>
      <c r="CC543" s="3">
        <v>45443</v>
      </c>
      <c r="CD543" s="1">
        <v>6.75</v>
      </c>
      <c r="CE543" s="3">
        <v>45443</v>
      </c>
      <c r="CF543" s="1">
        <v>6.66</v>
      </c>
      <c r="CG543" s="3">
        <v>45443</v>
      </c>
      <c r="CH543" s="1">
        <v>6.58</v>
      </c>
      <c r="CI543" s="3">
        <v>45443</v>
      </c>
      <c r="CJ543" s="1">
        <v>6.42</v>
      </c>
      <c r="CK543" s="3">
        <v>45443</v>
      </c>
      <c r="CL543" s="1">
        <v>6.26</v>
      </c>
      <c r="CM543" s="3">
        <v>45443</v>
      </c>
      <c r="CN543" s="1">
        <v>6.0449999999999999</v>
      </c>
      <c r="CO543" s="3">
        <v>45435</v>
      </c>
      <c r="CP543" s="1">
        <v>6.0975000000000001</v>
      </c>
      <c r="CQ543" s="3">
        <v>45435</v>
      </c>
      <c r="CR543" s="1">
        <v>6.0075000000000003</v>
      </c>
      <c r="CS543" s="3">
        <v>45435</v>
      </c>
      <c r="CT543" s="1">
        <v>6.0449999999999999</v>
      </c>
    </row>
    <row r="544" spans="31:98" x14ac:dyDescent="0.2">
      <c r="AE544" s="3">
        <v>45434</v>
      </c>
      <c r="AF544" s="1">
        <v>5.75</v>
      </c>
      <c r="AG544" s="3">
        <v>45408</v>
      </c>
      <c r="AH544" s="1">
        <v>5.87</v>
      </c>
      <c r="AI544" s="3">
        <v>45442</v>
      </c>
      <c r="AJ544" s="2">
        <v>5.851</v>
      </c>
      <c r="AK544" s="3">
        <v>45442</v>
      </c>
      <c r="AL544" s="2">
        <v>5.8324999999999996</v>
      </c>
      <c r="AM544" s="3">
        <v>45442</v>
      </c>
      <c r="AN544" s="2">
        <v>5.8125</v>
      </c>
      <c r="AO544" s="3">
        <v>45442</v>
      </c>
      <c r="AP544" s="2">
        <v>5.7350000000000003</v>
      </c>
      <c r="AQ544" s="3">
        <v>45442</v>
      </c>
      <c r="AR544" s="2">
        <v>5.4725000000000001</v>
      </c>
      <c r="AS544" s="3">
        <v>45442</v>
      </c>
      <c r="AT544" s="2">
        <v>5.2024999999999997</v>
      </c>
      <c r="AU544" s="3">
        <v>45442</v>
      </c>
      <c r="AV544" s="2">
        <v>4.9974999999999996</v>
      </c>
      <c r="AW544" s="3">
        <v>45442</v>
      </c>
      <c r="AX544" s="2">
        <v>4.8375000000000004</v>
      </c>
      <c r="AY544" s="3">
        <v>45442</v>
      </c>
      <c r="AZ544" s="2">
        <v>4.7175000000000002</v>
      </c>
      <c r="BB544" s="3">
        <v>45411</v>
      </c>
      <c r="BC544" s="1">
        <v>5.75</v>
      </c>
      <c r="BD544" s="3">
        <v>45412</v>
      </c>
      <c r="BE544" s="1">
        <v>5.52</v>
      </c>
      <c r="BF544" s="3">
        <v>45442</v>
      </c>
      <c r="BG544" s="1">
        <v>4.875</v>
      </c>
      <c r="BH544" s="3">
        <v>45442</v>
      </c>
      <c r="BI544" s="1">
        <v>4.8049999999999997</v>
      </c>
      <c r="BJ544" s="3">
        <v>45442</v>
      </c>
      <c r="BK544" s="1">
        <v>4.6550000000000002</v>
      </c>
      <c r="BL544" s="3">
        <v>45442</v>
      </c>
      <c r="BM544" s="1">
        <v>4.34</v>
      </c>
      <c r="BN544" s="3">
        <v>45442</v>
      </c>
      <c r="BO544" s="1">
        <v>4.1550000000000002</v>
      </c>
      <c r="BP544" s="3">
        <v>45442</v>
      </c>
      <c r="BQ544" s="1">
        <v>4.01</v>
      </c>
      <c r="BR544" s="3">
        <v>45442</v>
      </c>
      <c r="BS544" s="1">
        <v>3.91</v>
      </c>
      <c r="BT544" s="3">
        <v>45442</v>
      </c>
      <c r="BU544" s="1">
        <v>3.87</v>
      </c>
      <c r="BV544" s="3">
        <v>45442</v>
      </c>
      <c r="BW544" s="1">
        <v>3.84</v>
      </c>
      <c r="BY544" s="3">
        <v>45411</v>
      </c>
      <c r="BZ544" s="1">
        <v>7.75</v>
      </c>
      <c r="CA544" s="3">
        <v>45404</v>
      </c>
      <c r="CB544" s="1">
        <v>7.66</v>
      </c>
      <c r="CC544" s="3">
        <v>45442</v>
      </c>
      <c r="CD544" s="1">
        <v>6.7569999999999997</v>
      </c>
      <c r="CE544" s="3">
        <v>45442</v>
      </c>
      <c r="CF544" s="1">
        <v>6.6829999999999998</v>
      </c>
      <c r="CG544" s="3">
        <v>45442</v>
      </c>
      <c r="CH544" s="1">
        <v>6.62</v>
      </c>
      <c r="CI544" s="3">
        <v>45442</v>
      </c>
      <c r="CJ544" s="1">
        <v>6.5</v>
      </c>
      <c r="CK544" s="3">
        <v>45442</v>
      </c>
      <c r="CL544" s="1">
        <v>6.32</v>
      </c>
      <c r="CM544" s="3">
        <v>45442</v>
      </c>
      <c r="CN544" s="1">
        <v>6.0750000000000002</v>
      </c>
      <c r="CO544" s="3">
        <v>45434</v>
      </c>
      <c r="CP544" s="1">
        <v>5.9175000000000004</v>
      </c>
      <c r="CQ544" s="3">
        <v>45434</v>
      </c>
      <c r="CR544" s="1">
        <v>5.8375000000000004</v>
      </c>
      <c r="CS544" s="3">
        <v>45434</v>
      </c>
      <c r="CT544" s="1">
        <v>5.875</v>
      </c>
    </row>
    <row r="545" spans="31:98" x14ac:dyDescent="0.2">
      <c r="AE545" s="3">
        <v>45433</v>
      </c>
      <c r="AF545" s="1">
        <v>5.75</v>
      </c>
      <c r="AG545" s="3">
        <v>45407</v>
      </c>
      <c r="AH545" s="1">
        <v>5.86</v>
      </c>
      <c r="AI545" s="3">
        <v>45441</v>
      </c>
      <c r="AJ545" s="2">
        <v>5.851</v>
      </c>
      <c r="AK545" s="3">
        <v>45441</v>
      </c>
      <c r="AL545" s="2">
        <v>5.8324999999999996</v>
      </c>
      <c r="AM545" s="3">
        <v>45441</v>
      </c>
      <c r="AN545" s="2">
        <v>5.8125</v>
      </c>
      <c r="AO545" s="3">
        <v>45441</v>
      </c>
      <c r="AP545" s="2">
        <v>5.7350000000000003</v>
      </c>
      <c r="AQ545" s="3">
        <v>45441</v>
      </c>
      <c r="AR545" s="2">
        <v>5.4725000000000001</v>
      </c>
      <c r="AS545" s="3">
        <v>45441</v>
      </c>
      <c r="AT545" s="2">
        <v>5.2024999999999997</v>
      </c>
      <c r="AU545" s="3">
        <v>45441</v>
      </c>
      <c r="AV545" s="2">
        <v>4.9974999999999996</v>
      </c>
      <c r="AW545" s="3">
        <v>45441</v>
      </c>
      <c r="AX545" s="2">
        <v>4.8375000000000004</v>
      </c>
      <c r="AY545" s="3">
        <v>45441</v>
      </c>
      <c r="AZ545" s="2">
        <v>4.7175000000000002</v>
      </c>
      <c r="BB545" s="3">
        <v>45408</v>
      </c>
      <c r="BC545" s="1">
        <v>5.75</v>
      </c>
      <c r="BD545" s="3">
        <v>45411</v>
      </c>
      <c r="BE545" s="1">
        <v>5.53</v>
      </c>
      <c r="BF545" s="3">
        <v>45441</v>
      </c>
      <c r="BG545" s="1">
        <v>5.08</v>
      </c>
      <c r="BH545" s="3">
        <v>45441</v>
      </c>
      <c r="BI545" s="1">
        <v>4.8330000000000002</v>
      </c>
      <c r="BJ545" s="3">
        <v>45441</v>
      </c>
      <c r="BK545" s="1">
        <v>4.6879999999999997</v>
      </c>
      <c r="BL545" s="3">
        <v>45441</v>
      </c>
      <c r="BM545" s="1">
        <v>4.3899999999999997</v>
      </c>
      <c r="BN545" s="3">
        <v>45441</v>
      </c>
      <c r="BO545" s="1">
        <v>4.2380000000000004</v>
      </c>
      <c r="BP545" s="3">
        <v>45441</v>
      </c>
      <c r="BQ545" s="1">
        <v>4.093</v>
      </c>
      <c r="BR545" s="3">
        <v>45441</v>
      </c>
      <c r="BS545" s="1">
        <v>3.9929999999999999</v>
      </c>
      <c r="BT545" s="3">
        <v>45441</v>
      </c>
      <c r="BU545" s="1">
        <v>3.9449999999999998</v>
      </c>
      <c r="BV545" s="3">
        <v>45441</v>
      </c>
      <c r="BW545" s="1">
        <v>3.92</v>
      </c>
      <c r="BY545" s="3">
        <v>45408</v>
      </c>
      <c r="BZ545" s="1">
        <v>7.75</v>
      </c>
      <c r="CA545" s="3">
        <v>45401</v>
      </c>
      <c r="CB545" s="1">
        <v>7.68</v>
      </c>
      <c r="CC545" s="3">
        <v>45441</v>
      </c>
      <c r="CD545" s="1">
        <v>6.758</v>
      </c>
      <c r="CE545" s="3">
        <v>45441</v>
      </c>
      <c r="CF545" s="1">
        <v>6.6950000000000003</v>
      </c>
      <c r="CG545" s="3">
        <v>45441</v>
      </c>
      <c r="CH545" s="1">
        <v>6.65</v>
      </c>
      <c r="CI545" s="3">
        <v>45441</v>
      </c>
      <c r="CJ545" s="1">
        <v>6.54</v>
      </c>
      <c r="CK545" s="3">
        <v>45441</v>
      </c>
      <c r="CL545" s="1">
        <v>6.35</v>
      </c>
      <c r="CM545" s="3">
        <v>45441</v>
      </c>
      <c r="CN545" s="1">
        <v>6.1550000000000002</v>
      </c>
      <c r="CO545" s="3">
        <v>45433</v>
      </c>
      <c r="CP545" s="1">
        <v>5.8025000000000002</v>
      </c>
      <c r="CQ545" s="3">
        <v>45433</v>
      </c>
      <c r="CR545" s="1">
        <v>5.7125000000000004</v>
      </c>
      <c r="CS545" s="3">
        <v>45433</v>
      </c>
      <c r="CT545" s="1">
        <v>5.75</v>
      </c>
    </row>
    <row r="546" spans="31:98" x14ac:dyDescent="0.2">
      <c r="AE546" s="3">
        <v>45432</v>
      </c>
      <c r="AF546" s="1">
        <v>5.75</v>
      </c>
      <c r="AG546" s="3">
        <v>45406</v>
      </c>
      <c r="AH546" s="1">
        <v>5.86</v>
      </c>
      <c r="AI546" s="3">
        <v>45440</v>
      </c>
      <c r="AJ546" s="2">
        <v>5.8494999999999999</v>
      </c>
      <c r="AK546" s="3">
        <v>45440</v>
      </c>
      <c r="AL546" s="2">
        <v>5.835</v>
      </c>
      <c r="AM546" s="3">
        <v>45440</v>
      </c>
      <c r="AN546" s="2">
        <v>5.83</v>
      </c>
      <c r="AO546" s="3">
        <v>45440</v>
      </c>
      <c r="AP546" s="2">
        <v>5.78</v>
      </c>
      <c r="AQ546" s="3">
        <v>45440</v>
      </c>
      <c r="AR546" s="2">
        <v>5.53</v>
      </c>
      <c r="AS546" s="3">
        <v>45440</v>
      </c>
      <c r="AT546" s="2">
        <v>5.2750000000000004</v>
      </c>
      <c r="AU546" s="3">
        <v>45440</v>
      </c>
      <c r="AV546" s="2">
        <v>5.0650000000000004</v>
      </c>
      <c r="AW546" s="3">
        <v>45440</v>
      </c>
      <c r="AX546" s="2">
        <v>4.9000000000000004</v>
      </c>
      <c r="AY546" s="3">
        <v>45440</v>
      </c>
      <c r="AZ546" s="2">
        <v>4.7750000000000004</v>
      </c>
      <c r="BB546" s="3">
        <v>45407</v>
      </c>
      <c r="BC546" s="1">
        <v>5.75</v>
      </c>
      <c r="BD546" s="3">
        <v>45408</v>
      </c>
      <c r="BE546" s="1">
        <v>5.52</v>
      </c>
      <c r="BF546" s="3">
        <v>45440</v>
      </c>
      <c r="BG546" s="1">
        <v>5.1050000000000004</v>
      </c>
      <c r="BH546" s="3">
        <v>45440</v>
      </c>
      <c r="BI546" s="1">
        <v>4.8380000000000001</v>
      </c>
      <c r="BJ546" s="3">
        <v>45440</v>
      </c>
      <c r="BK546" s="1">
        <v>4.6900000000000004</v>
      </c>
      <c r="BL546" s="3">
        <v>45440</v>
      </c>
      <c r="BM546" s="1">
        <v>4.3979999999999997</v>
      </c>
      <c r="BN546" s="3">
        <v>45440</v>
      </c>
      <c r="BO546" s="1">
        <v>4.24</v>
      </c>
      <c r="BP546" s="3">
        <v>45440</v>
      </c>
      <c r="BQ546" s="1">
        <v>4.0880000000000001</v>
      </c>
      <c r="BR546" s="3">
        <v>45440</v>
      </c>
      <c r="BS546" s="1">
        <v>3.988</v>
      </c>
      <c r="BT546" s="3">
        <v>45440</v>
      </c>
      <c r="BU546" s="1">
        <v>3.9329999999999998</v>
      </c>
      <c r="BV546" s="3">
        <v>45440</v>
      </c>
      <c r="BW546" s="1">
        <v>3.9</v>
      </c>
      <c r="BY546" s="3">
        <v>45407</v>
      </c>
      <c r="BZ546" s="1">
        <v>7.75</v>
      </c>
      <c r="CA546" s="3">
        <v>45400</v>
      </c>
      <c r="CB546" s="1">
        <v>7.69</v>
      </c>
      <c r="CC546" s="3">
        <v>45440</v>
      </c>
      <c r="CD546" s="1">
        <v>6.7649999999999997</v>
      </c>
      <c r="CE546" s="3">
        <v>45440</v>
      </c>
      <c r="CF546" s="1">
        <v>6.71</v>
      </c>
      <c r="CG546" s="3">
        <v>45440</v>
      </c>
      <c r="CH546" s="1">
        <v>6.66</v>
      </c>
      <c r="CI546" s="3">
        <v>45440</v>
      </c>
      <c r="CJ546" s="1">
        <v>6.55</v>
      </c>
      <c r="CK546" s="3">
        <v>45440</v>
      </c>
      <c r="CL546" s="1">
        <v>6.36</v>
      </c>
      <c r="CM546" s="3">
        <v>45440</v>
      </c>
      <c r="CN546" s="1">
        <v>6.1749999999999998</v>
      </c>
      <c r="CO546" s="3">
        <v>45432</v>
      </c>
      <c r="CP546" s="1">
        <v>5.8025000000000002</v>
      </c>
      <c r="CQ546" s="3">
        <v>45432</v>
      </c>
      <c r="CR546" s="1">
        <v>5.7125000000000004</v>
      </c>
      <c r="CS546" s="3">
        <v>45432</v>
      </c>
      <c r="CT546" s="1">
        <v>5.75</v>
      </c>
    </row>
    <row r="547" spans="31:98" x14ac:dyDescent="0.2">
      <c r="AE547" s="3">
        <v>45429</v>
      </c>
      <c r="AF547" s="1">
        <v>5.75</v>
      </c>
      <c r="AG547" s="3">
        <v>45405</v>
      </c>
      <c r="AH547" s="1">
        <v>5.87</v>
      </c>
      <c r="AI547" s="3">
        <v>45439</v>
      </c>
      <c r="AJ547" s="2">
        <v>5.8494999999999999</v>
      </c>
      <c r="AK547" s="3">
        <v>45439</v>
      </c>
      <c r="AL547" s="2">
        <v>5.835</v>
      </c>
      <c r="AM547" s="3">
        <v>45439</v>
      </c>
      <c r="AN547" s="2">
        <v>5.83</v>
      </c>
      <c r="AO547" s="3">
        <v>45439</v>
      </c>
      <c r="AP547" s="2">
        <v>5.7750000000000004</v>
      </c>
      <c r="AQ547" s="3">
        <v>45439</v>
      </c>
      <c r="AR547" s="2">
        <v>5.52</v>
      </c>
      <c r="AS547" s="3">
        <v>45439</v>
      </c>
      <c r="AT547" s="2">
        <v>5.2649999999999997</v>
      </c>
      <c r="AU547" s="3">
        <v>45439</v>
      </c>
      <c r="AV547" s="2">
        <v>5.0650000000000004</v>
      </c>
      <c r="AW547" s="3">
        <v>45439</v>
      </c>
      <c r="AX547" s="2">
        <v>4.91</v>
      </c>
      <c r="AY547" s="3">
        <v>45439</v>
      </c>
      <c r="AZ547" s="2">
        <v>4.7949999999999999</v>
      </c>
      <c r="BB547" s="3">
        <v>45406</v>
      </c>
      <c r="BC547" s="1">
        <v>5.75</v>
      </c>
      <c r="BD547" s="3">
        <v>45407</v>
      </c>
      <c r="BE547" s="1">
        <v>5.52</v>
      </c>
      <c r="BF547" s="3">
        <v>45439</v>
      </c>
      <c r="BG547" s="1">
        <v>5.0999999999999996</v>
      </c>
      <c r="BH547" s="3">
        <v>45439</v>
      </c>
      <c r="BI547" s="1">
        <v>4.8550000000000004</v>
      </c>
      <c r="BJ547" s="3">
        <v>45439</v>
      </c>
      <c r="BK547" s="1">
        <v>4.7</v>
      </c>
      <c r="BL547" s="3">
        <v>45439</v>
      </c>
      <c r="BM547" s="1">
        <v>4.41</v>
      </c>
      <c r="BN547" s="3">
        <v>45439</v>
      </c>
      <c r="BO547" s="1">
        <v>4.25</v>
      </c>
      <c r="BP547" s="3">
        <v>45439</v>
      </c>
      <c r="BQ547" s="1">
        <v>4.08</v>
      </c>
      <c r="BR547" s="3">
        <v>45439</v>
      </c>
      <c r="BS547" s="1">
        <v>3.9849999999999999</v>
      </c>
      <c r="BT547" s="3">
        <v>45439</v>
      </c>
      <c r="BU547" s="1">
        <v>3.9350000000000001</v>
      </c>
      <c r="BV547" s="3">
        <v>45439</v>
      </c>
      <c r="BW547" s="1">
        <v>3.9049999999999998</v>
      </c>
      <c r="BY547" s="3">
        <v>45406</v>
      </c>
      <c r="BZ547" s="1">
        <v>7.75</v>
      </c>
      <c r="CA547" s="3">
        <v>45399</v>
      </c>
      <c r="CB547" s="1">
        <v>7.69</v>
      </c>
      <c r="CC547" s="3">
        <v>45439</v>
      </c>
      <c r="CD547" s="1">
        <v>6.8120000000000003</v>
      </c>
      <c r="CE547" s="3">
        <v>45439</v>
      </c>
      <c r="CF547" s="1">
        <v>6.7439999999999998</v>
      </c>
      <c r="CG547" s="3">
        <v>45439</v>
      </c>
      <c r="CH547" s="1">
        <v>6.73</v>
      </c>
      <c r="CI547" s="3">
        <v>45439</v>
      </c>
      <c r="CJ547" s="1">
        <v>6.6</v>
      </c>
      <c r="CK547" s="3">
        <v>45439</v>
      </c>
      <c r="CL547" s="1">
        <v>6.41</v>
      </c>
      <c r="CM547" s="3">
        <v>45439</v>
      </c>
      <c r="CN547" s="1">
        <v>6.29</v>
      </c>
      <c r="CO547" s="3">
        <v>45429</v>
      </c>
      <c r="CP547" s="1">
        <v>5.8025000000000002</v>
      </c>
      <c r="CQ547" s="3">
        <v>45429</v>
      </c>
      <c r="CR547" s="1">
        <v>5.7125000000000004</v>
      </c>
      <c r="CS547" s="3">
        <v>45429</v>
      </c>
      <c r="CT547" s="1">
        <v>5.75</v>
      </c>
    </row>
    <row r="548" spans="31:98" x14ac:dyDescent="0.2">
      <c r="AE548" s="3">
        <v>45428</v>
      </c>
      <c r="AF548" s="1">
        <v>5.75</v>
      </c>
      <c r="AG548" s="3">
        <v>45404</v>
      </c>
      <c r="AH548" s="1">
        <v>5.86</v>
      </c>
      <c r="AI548" s="3">
        <v>45436</v>
      </c>
      <c r="AJ548" s="2">
        <v>5.8494999999999999</v>
      </c>
      <c r="AK548" s="3">
        <v>45436</v>
      </c>
      <c r="AL548" s="2">
        <v>5.835</v>
      </c>
      <c r="AM548" s="3">
        <v>45436</v>
      </c>
      <c r="AN548" s="2">
        <v>5.83</v>
      </c>
      <c r="AO548" s="3">
        <v>45436</v>
      </c>
      <c r="AP548" s="2">
        <v>5.7750000000000004</v>
      </c>
      <c r="AQ548" s="3">
        <v>45436</v>
      </c>
      <c r="AR548" s="2">
        <v>5.52</v>
      </c>
      <c r="AS548" s="3">
        <v>45436</v>
      </c>
      <c r="AT548" s="2">
        <v>5.2649999999999997</v>
      </c>
      <c r="AU548" s="3">
        <v>45436</v>
      </c>
      <c r="AV548" s="2">
        <v>5.0650000000000004</v>
      </c>
      <c r="AW548" s="3">
        <v>45436</v>
      </c>
      <c r="AX548" s="2">
        <v>4.91</v>
      </c>
      <c r="AY548" s="3">
        <v>45436</v>
      </c>
      <c r="AZ548" s="2">
        <v>4.7949999999999999</v>
      </c>
      <c r="BB548" s="3">
        <v>45405</v>
      </c>
      <c r="BC548" s="1">
        <v>5.75</v>
      </c>
      <c r="BD548" s="3">
        <v>45406</v>
      </c>
      <c r="BE548" s="1">
        <v>5.52</v>
      </c>
      <c r="BF548" s="3">
        <v>45436</v>
      </c>
      <c r="BG548" s="1">
        <v>5.1100000000000003</v>
      </c>
      <c r="BH548" s="3">
        <v>45436</v>
      </c>
      <c r="BI548" s="1">
        <v>4.8550000000000004</v>
      </c>
      <c r="BJ548" s="3">
        <v>45436</v>
      </c>
      <c r="BK548" s="1">
        <v>4.7</v>
      </c>
      <c r="BL548" s="3">
        <v>45436</v>
      </c>
      <c r="BM548" s="1">
        <v>4.41</v>
      </c>
      <c r="BN548" s="3">
        <v>45436</v>
      </c>
      <c r="BO548" s="1">
        <v>4.25</v>
      </c>
      <c r="BP548" s="3">
        <v>45436</v>
      </c>
      <c r="BQ548" s="1">
        <v>4.08</v>
      </c>
      <c r="BR548" s="3">
        <v>45436</v>
      </c>
      <c r="BS548" s="1">
        <v>3.9849999999999999</v>
      </c>
      <c r="BT548" s="3">
        <v>45436</v>
      </c>
      <c r="BU548" s="1">
        <v>3.9350000000000001</v>
      </c>
      <c r="BV548" s="3">
        <v>45436</v>
      </c>
      <c r="BW548" s="1">
        <v>3.9049999999999998</v>
      </c>
      <c r="BY548" s="3">
        <v>45405</v>
      </c>
      <c r="BZ548" s="1">
        <v>8.25</v>
      </c>
      <c r="CA548" s="3">
        <v>45398</v>
      </c>
      <c r="CB548" s="1">
        <v>7.69</v>
      </c>
      <c r="CC548" s="3">
        <v>45436</v>
      </c>
      <c r="CD548" s="1">
        <v>6.8120000000000003</v>
      </c>
      <c r="CE548" s="3">
        <v>45436</v>
      </c>
      <c r="CF548" s="1">
        <v>6.7439999999999998</v>
      </c>
      <c r="CG548" s="3">
        <v>45436</v>
      </c>
      <c r="CH548" s="1">
        <v>6.73</v>
      </c>
      <c r="CI548" s="3">
        <v>45436</v>
      </c>
      <c r="CJ548" s="1">
        <v>6.6</v>
      </c>
      <c r="CK548" s="3">
        <v>45436</v>
      </c>
      <c r="CL548" s="1">
        <v>6.41</v>
      </c>
      <c r="CM548" s="3">
        <v>45436</v>
      </c>
      <c r="CN548" s="1">
        <v>6.29</v>
      </c>
      <c r="CO548" s="3">
        <v>45428</v>
      </c>
      <c r="CP548" s="1">
        <v>5.7374999999999998</v>
      </c>
      <c r="CQ548" s="3">
        <v>45428</v>
      </c>
      <c r="CR548" s="1">
        <v>5.6425000000000001</v>
      </c>
      <c r="CS548" s="3">
        <v>45428</v>
      </c>
      <c r="CT548" s="1">
        <v>5.6749999999999998</v>
      </c>
    </row>
    <row r="549" spans="31:98" x14ac:dyDescent="0.2">
      <c r="AE549" s="3">
        <v>45427</v>
      </c>
      <c r="AF549" s="1">
        <v>5.75</v>
      </c>
      <c r="AG549" s="3">
        <v>45401</v>
      </c>
      <c r="AH549" s="1">
        <v>5.86</v>
      </c>
      <c r="AI549" s="3">
        <v>45435</v>
      </c>
      <c r="AJ549" s="2">
        <v>5.8520000000000003</v>
      </c>
      <c r="AK549" s="3">
        <v>45435</v>
      </c>
      <c r="AL549" s="2">
        <v>5.8375000000000004</v>
      </c>
      <c r="AM549" s="3">
        <v>45435</v>
      </c>
      <c r="AN549" s="2">
        <v>5.82</v>
      </c>
      <c r="AO549" s="3">
        <v>45435</v>
      </c>
      <c r="AP549" s="2">
        <v>5.7225000000000001</v>
      </c>
      <c r="AQ549" s="3">
        <v>45435</v>
      </c>
      <c r="AR549" s="2">
        <v>5.46</v>
      </c>
      <c r="AS549" s="3">
        <v>45435</v>
      </c>
      <c r="AT549" s="2">
        <v>5.21</v>
      </c>
      <c r="AU549" s="3">
        <v>45435</v>
      </c>
      <c r="AV549" s="2">
        <v>5</v>
      </c>
      <c r="AW549" s="3">
        <v>45435</v>
      </c>
      <c r="AX549" s="2">
        <v>4.83</v>
      </c>
      <c r="AY549" s="3">
        <v>45435</v>
      </c>
      <c r="AZ549" s="2">
        <v>4.71</v>
      </c>
      <c r="BB549" s="3">
        <v>45404</v>
      </c>
      <c r="BC549" s="1">
        <v>5.75</v>
      </c>
      <c r="BD549" s="3">
        <v>45405</v>
      </c>
      <c r="BE549" s="1">
        <v>5.52</v>
      </c>
      <c r="BF549" s="3">
        <v>45435</v>
      </c>
      <c r="BG549" s="1">
        <v>5.1100000000000003</v>
      </c>
      <c r="BH549" s="3">
        <v>45435</v>
      </c>
      <c r="BI549" s="1">
        <v>4.8579999999999997</v>
      </c>
      <c r="BJ549" s="3">
        <v>45435</v>
      </c>
      <c r="BK549" s="1">
        <v>4.7</v>
      </c>
      <c r="BL549" s="3">
        <v>45435</v>
      </c>
      <c r="BM549" s="1">
        <v>4.3730000000000002</v>
      </c>
      <c r="BN549" s="3">
        <v>45435</v>
      </c>
      <c r="BO549" s="1">
        <v>4.1779999999999999</v>
      </c>
      <c r="BP549" s="3">
        <v>45435</v>
      </c>
      <c r="BQ549" s="1">
        <v>3.9849999999999999</v>
      </c>
      <c r="BR549" s="3">
        <v>45435</v>
      </c>
      <c r="BS549" s="1">
        <v>3.88</v>
      </c>
      <c r="BT549" s="3">
        <v>45435</v>
      </c>
      <c r="BU549" s="1">
        <v>3.81</v>
      </c>
      <c r="BV549" s="3">
        <v>45435</v>
      </c>
      <c r="BW549" s="1">
        <v>3.7749999999999999</v>
      </c>
      <c r="BY549" s="3">
        <v>45404</v>
      </c>
      <c r="BZ549" s="1">
        <v>8.25</v>
      </c>
      <c r="CA549" s="3">
        <v>45397</v>
      </c>
      <c r="CB549" s="1">
        <v>7.69</v>
      </c>
      <c r="CC549" s="3">
        <v>45435</v>
      </c>
      <c r="CD549" s="1">
        <v>6.7859999999999996</v>
      </c>
      <c r="CE549" s="3">
        <v>45435</v>
      </c>
      <c r="CF549" s="1">
        <v>6.6929999999999996</v>
      </c>
      <c r="CG549" s="3">
        <v>45435</v>
      </c>
      <c r="CH549" s="1">
        <v>6.69</v>
      </c>
      <c r="CI549" s="3">
        <v>45435</v>
      </c>
      <c r="CJ549" s="1">
        <v>6.52</v>
      </c>
      <c r="CK549" s="3">
        <v>45435</v>
      </c>
      <c r="CL549" s="1">
        <v>6.27</v>
      </c>
      <c r="CM549" s="3">
        <v>45435</v>
      </c>
      <c r="CN549" s="1">
        <v>6.1849999999999996</v>
      </c>
      <c r="CO549" s="3">
        <v>45427</v>
      </c>
      <c r="CP549" s="1">
        <v>5.6875</v>
      </c>
      <c r="CQ549" s="3">
        <v>45427</v>
      </c>
      <c r="CR549" s="1">
        <v>5.6275000000000004</v>
      </c>
      <c r="CS549" s="3">
        <v>45427</v>
      </c>
      <c r="CT549" s="1">
        <v>5.6550000000000002</v>
      </c>
    </row>
    <row r="550" spans="31:98" x14ac:dyDescent="0.2">
      <c r="AE550" s="3">
        <v>45426</v>
      </c>
      <c r="AF550" s="1">
        <v>5.75</v>
      </c>
      <c r="AG550" s="3">
        <v>45400</v>
      </c>
      <c r="AH550" s="1">
        <v>5.86</v>
      </c>
      <c r="AI550" s="3">
        <v>45434</v>
      </c>
      <c r="AJ550" s="2">
        <v>5.8502999999999998</v>
      </c>
      <c r="AK550" s="3">
        <v>45434</v>
      </c>
      <c r="AL550" s="2">
        <v>5.83</v>
      </c>
      <c r="AM550" s="3">
        <v>45434</v>
      </c>
      <c r="AN550" s="2">
        <v>5.8049999999999997</v>
      </c>
      <c r="AO550" s="3">
        <v>45434</v>
      </c>
      <c r="AP550" s="2">
        <v>5.6749999999999998</v>
      </c>
      <c r="AQ550" s="3">
        <v>45434</v>
      </c>
      <c r="AR550" s="2">
        <v>5.38</v>
      </c>
      <c r="AS550" s="3">
        <v>45434</v>
      </c>
      <c r="AT550" s="2">
        <v>5.1050000000000004</v>
      </c>
      <c r="AU550" s="3">
        <v>45434</v>
      </c>
      <c r="AV550" s="2">
        <v>4.875</v>
      </c>
      <c r="AW550" s="3">
        <v>45434</v>
      </c>
      <c r="AX550" s="2">
        <v>4.7</v>
      </c>
      <c r="AY550" s="3">
        <v>45434</v>
      </c>
      <c r="AZ550" s="2">
        <v>4.5750000000000002</v>
      </c>
      <c r="BB550" s="3">
        <v>45401</v>
      </c>
      <c r="BC550" s="1">
        <v>5.75</v>
      </c>
      <c r="BD550" s="3">
        <v>45404</v>
      </c>
      <c r="BE550" s="1">
        <v>5.52</v>
      </c>
      <c r="BF550" s="3">
        <v>45434</v>
      </c>
      <c r="BG550" s="1">
        <v>5.0949999999999998</v>
      </c>
      <c r="BH550" s="3">
        <v>45434</v>
      </c>
      <c r="BI550" s="1">
        <v>4.843</v>
      </c>
      <c r="BJ550" s="3">
        <v>45434</v>
      </c>
      <c r="BK550" s="1">
        <v>4.6779999999999999</v>
      </c>
      <c r="BL550" s="3">
        <v>45434</v>
      </c>
      <c r="BM550" s="1">
        <v>4.3250000000000002</v>
      </c>
      <c r="BN550" s="3">
        <v>45434</v>
      </c>
      <c r="BO550" s="1">
        <v>4.1029999999999998</v>
      </c>
      <c r="BP550" s="3">
        <v>45434</v>
      </c>
      <c r="BQ550" s="1">
        <v>3.8929999999999998</v>
      </c>
      <c r="BR550" s="3">
        <v>45434</v>
      </c>
      <c r="BS550" s="1">
        <v>3.778</v>
      </c>
      <c r="BT550" s="3">
        <v>45434</v>
      </c>
      <c r="BU550" s="1">
        <v>3.6749999999999998</v>
      </c>
      <c r="BV550" s="3">
        <v>45434</v>
      </c>
      <c r="BW550" s="1">
        <v>3.6379999999999999</v>
      </c>
      <c r="BY550" s="3">
        <v>45401</v>
      </c>
      <c r="BZ550" s="1">
        <v>8.25</v>
      </c>
      <c r="CA550" s="3">
        <v>45394</v>
      </c>
      <c r="CB550" s="1">
        <v>7.69</v>
      </c>
      <c r="CC550" s="3">
        <v>45434</v>
      </c>
      <c r="CD550" s="1">
        <v>6.7789999999999999</v>
      </c>
      <c r="CE550" s="3">
        <v>45434</v>
      </c>
      <c r="CF550" s="1">
        <v>6.6989999999999998</v>
      </c>
      <c r="CG550" s="3">
        <v>45434</v>
      </c>
      <c r="CH550" s="1">
        <v>6.67</v>
      </c>
      <c r="CI550" s="3">
        <v>45434</v>
      </c>
      <c r="CJ550" s="1">
        <v>6.41</v>
      </c>
      <c r="CK550" s="3">
        <v>45434</v>
      </c>
      <c r="CL550" s="1">
        <v>6.14</v>
      </c>
      <c r="CM550" s="3">
        <v>45434</v>
      </c>
      <c r="CN550" s="1">
        <v>6.0449999999999999</v>
      </c>
      <c r="CO550" s="3">
        <v>45426</v>
      </c>
      <c r="CP550" s="1">
        <v>5.83</v>
      </c>
      <c r="CQ550" s="3">
        <v>45426</v>
      </c>
      <c r="CR550" s="1">
        <v>5.78</v>
      </c>
      <c r="CS550" s="3">
        <v>45426</v>
      </c>
      <c r="CT550" s="1">
        <v>5.8025000000000002</v>
      </c>
    </row>
    <row r="551" spans="31:98" x14ac:dyDescent="0.2">
      <c r="AE551" s="3">
        <v>45425</v>
      </c>
      <c r="AF551" s="1">
        <v>5.75</v>
      </c>
      <c r="AG551" s="3">
        <v>45399</v>
      </c>
      <c r="AH551" s="1">
        <v>5.86</v>
      </c>
      <c r="AI551" s="3">
        <v>45433</v>
      </c>
      <c r="AJ551" s="2">
        <v>5.8448000000000002</v>
      </c>
      <c r="AK551" s="3">
        <v>45433</v>
      </c>
      <c r="AL551" s="2">
        <v>5.8250000000000002</v>
      </c>
      <c r="AM551" s="3">
        <v>45433</v>
      </c>
      <c r="AN551" s="2">
        <v>5.8</v>
      </c>
      <c r="AO551" s="3">
        <v>45433</v>
      </c>
      <c r="AP551" s="2">
        <v>5.6550000000000002</v>
      </c>
      <c r="AQ551" s="3">
        <v>45433</v>
      </c>
      <c r="AR551" s="2">
        <v>5.3650000000000002</v>
      </c>
      <c r="AS551" s="3">
        <v>45433</v>
      </c>
      <c r="AT551" s="2">
        <v>5.0999999999999996</v>
      </c>
      <c r="AU551" s="3">
        <v>45433</v>
      </c>
      <c r="AV551" s="2">
        <v>4.875</v>
      </c>
      <c r="AW551" s="3">
        <v>45433</v>
      </c>
      <c r="AX551" s="2">
        <v>4.6849999999999996</v>
      </c>
      <c r="AY551" s="3">
        <v>45433</v>
      </c>
      <c r="AZ551" s="2">
        <v>4.5549999999999997</v>
      </c>
      <c r="BB551" s="3">
        <v>45400</v>
      </c>
      <c r="BC551" s="1">
        <v>5.75</v>
      </c>
      <c r="BD551" s="3">
        <v>45401</v>
      </c>
      <c r="BE551" s="1">
        <v>5.53</v>
      </c>
      <c r="BF551" s="3">
        <v>45433</v>
      </c>
      <c r="BG551" s="1">
        <v>5.0949999999999998</v>
      </c>
      <c r="BH551" s="3">
        <v>45433</v>
      </c>
      <c r="BI551" s="1">
        <v>4.835</v>
      </c>
      <c r="BJ551" s="3">
        <v>45433</v>
      </c>
      <c r="BK551" s="1">
        <v>4.66</v>
      </c>
      <c r="BL551" s="3">
        <v>45433</v>
      </c>
      <c r="BM551" s="1">
        <v>4.2949999999999999</v>
      </c>
      <c r="BN551" s="3">
        <v>45433</v>
      </c>
      <c r="BO551" s="1">
        <v>4.0650000000000004</v>
      </c>
      <c r="BP551" s="3">
        <v>45433</v>
      </c>
      <c r="BQ551" s="1">
        <v>3.8450000000000002</v>
      </c>
      <c r="BR551" s="3">
        <v>45433</v>
      </c>
      <c r="BS551" s="1">
        <v>3.7080000000000002</v>
      </c>
      <c r="BT551" s="3">
        <v>45433</v>
      </c>
      <c r="BU551" s="1">
        <v>3.6</v>
      </c>
      <c r="BV551" s="3">
        <v>45433</v>
      </c>
      <c r="BW551" s="1">
        <v>3.56</v>
      </c>
      <c r="BY551" s="3">
        <v>45400</v>
      </c>
      <c r="BZ551" s="1">
        <v>8.25</v>
      </c>
      <c r="CA551" s="3">
        <v>45393</v>
      </c>
      <c r="CB551" s="1">
        <v>7.69</v>
      </c>
      <c r="CC551" s="3">
        <v>45433</v>
      </c>
      <c r="CD551" s="1">
        <v>6.77</v>
      </c>
      <c r="CE551" s="3">
        <v>45433</v>
      </c>
      <c r="CF551" s="1">
        <v>6.68</v>
      </c>
      <c r="CG551" s="3">
        <v>45433</v>
      </c>
      <c r="CH551" s="1">
        <v>6.65</v>
      </c>
      <c r="CI551" s="3">
        <v>45433</v>
      </c>
      <c r="CJ551" s="1">
        <v>6.37</v>
      </c>
      <c r="CK551" s="3">
        <v>45433</v>
      </c>
      <c r="CL551" s="1">
        <v>6.1</v>
      </c>
      <c r="CM551" s="3">
        <v>45433</v>
      </c>
      <c r="CN551" s="1">
        <v>5.9349999999999996</v>
      </c>
      <c r="CO551" s="3">
        <v>45425</v>
      </c>
      <c r="CP551" s="1">
        <v>5.875</v>
      </c>
      <c r="CQ551" s="3">
        <v>45425</v>
      </c>
      <c r="CR551" s="1">
        <v>5.8150000000000004</v>
      </c>
      <c r="CS551" s="3">
        <v>45425</v>
      </c>
      <c r="CT551" s="1">
        <v>5.8274999999999997</v>
      </c>
    </row>
    <row r="552" spans="31:98" x14ac:dyDescent="0.2">
      <c r="AE552" s="3">
        <v>45422</v>
      </c>
      <c r="AF552" s="1">
        <v>5.75</v>
      </c>
      <c r="AG552" s="3">
        <v>45398</v>
      </c>
      <c r="AH552" s="1">
        <v>5.87</v>
      </c>
      <c r="AI552" s="3">
        <v>45432</v>
      </c>
      <c r="AJ552" s="2">
        <v>5.8449999999999998</v>
      </c>
      <c r="AK552" s="3">
        <v>45432</v>
      </c>
      <c r="AL552" s="2">
        <v>5.8250000000000002</v>
      </c>
      <c r="AM552" s="3">
        <v>45432</v>
      </c>
      <c r="AN552" s="2">
        <v>5.8</v>
      </c>
      <c r="AO552" s="3">
        <v>45432</v>
      </c>
      <c r="AP552" s="2">
        <v>5.66</v>
      </c>
      <c r="AQ552" s="3">
        <v>45432</v>
      </c>
      <c r="AR552" s="2">
        <v>5.3875000000000002</v>
      </c>
      <c r="AS552" s="3">
        <v>45432</v>
      </c>
      <c r="AT552" s="2">
        <v>5.1349999999999998</v>
      </c>
      <c r="AU552" s="3">
        <v>45432</v>
      </c>
      <c r="AV552" s="2">
        <v>4.9074999999999998</v>
      </c>
      <c r="AW552" s="3">
        <v>45432</v>
      </c>
      <c r="AX552" s="2">
        <v>4.7249999999999996</v>
      </c>
      <c r="AY552" s="3">
        <v>45432</v>
      </c>
      <c r="AZ552" s="2">
        <v>4.59</v>
      </c>
      <c r="BB552" s="3">
        <v>45399</v>
      </c>
      <c r="BC552" s="1">
        <v>5.75</v>
      </c>
      <c r="BD552" s="3">
        <v>45400</v>
      </c>
      <c r="BE552" s="1">
        <v>5.53</v>
      </c>
      <c r="BF552" s="3">
        <v>45432</v>
      </c>
      <c r="BG552" s="1">
        <v>5.0949999999999998</v>
      </c>
      <c r="BH552" s="3">
        <v>45432</v>
      </c>
      <c r="BI552" s="1">
        <v>4.83</v>
      </c>
      <c r="BJ552" s="3">
        <v>45432</v>
      </c>
      <c r="BK552" s="1">
        <v>4.6550000000000002</v>
      </c>
      <c r="BL552" s="3">
        <v>45432</v>
      </c>
      <c r="BM552" s="1">
        <v>4.2949999999999999</v>
      </c>
      <c r="BN552" s="3">
        <v>45432</v>
      </c>
      <c r="BO552" s="1">
        <v>4.0730000000000004</v>
      </c>
      <c r="BP552" s="3">
        <v>45432</v>
      </c>
      <c r="BQ552" s="1">
        <v>3.8580000000000001</v>
      </c>
      <c r="BR552" s="3">
        <v>45432</v>
      </c>
      <c r="BS552" s="1">
        <v>3.71</v>
      </c>
      <c r="BT552" s="3">
        <v>45432</v>
      </c>
      <c r="BU552" s="1">
        <v>3.63</v>
      </c>
      <c r="BV552" s="3">
        <v>45432</v>
      </c>
      <c r="BW552" s="1">
        <v>3.5950000000000002</v>
      </c>
      <c r="BY552" s="3">
        <v>45399</v>
      </c>
      <c r="BZ552" s="1">
        <v>8.25</v>
      </c>
      <c r="CA552" s="3">
        <v>45392</v>
      </c>
      <c r="CB552" s="1">
        <v>7.71</v>
      </c>
      <c r="CC552" s="3">
        <v>45432</v>
      </c>
      <c r="CD552" s="1">
        <v>6.798</v>
      </c>
      <c r="CE552" s="3">
        <v>45432</v>
      </c>
      <c r="CF552" s="1">
        <v>6.7050000000000001</v>
      </c>
      <c r="CG552" s="3">
        <v>45432</v>
      </c>
      <c r="CH552" s="1">
        <v>6.66</v>
      </c>
      <c r="CI552" s="3">
        <v>45432</v>
      </c>
      <c r="CJ552" s="1">
        <v>6.36</v>
      </c>
      <c r="CK552" s="3">
        <v>45432</v>
      </c>
      <c r="CL552" s="1">
        <v>6.1</v>
      </c>
      <c r="CM552" s="3">
        <v>45432</v>
      </c>
      <c r="CN552" s="1">
        <v>5.9349999999999996</v>
      </c>
      <c r="CO552" s="3">
        <v>45422</v>
      </c>
      <c r="CP552" s="1">
        <v>5.87</v>
      </c>
      <c r="CQ552" s="3">
        <v>45422</v>
      </c>
      <c r="CR552" s="1">
        <v>5.81</v>
      </c>
      <c r="CS552" s="3">
        <v>45422</v>
      </c>
      <c r="CT552" s="1">
        <v>5.8224999999999998</v>
      </c>
    </row>
    <row r="553" spans="31:98" x14ac:dyDescent="0.2">
      <c r="AE553" s="3">
        <v>45421</v>
      </c>
      <c r="AF553" s="1">
        <v>5.75</v>
      </c>
      <c r="AG553" s="3">
        <v>45397</v>
      </c>
      <c r="AH553" s="1">
        <v>5.86</v>
      </c>
      <c r="AI553" s="3">
        <v>45429</v>
      </c>
      <c r="AJ553" s="2">
        <v>5.8455000000000004</v>
      </c>
      <c r="AK553" s="3">
        <v>45429</v>
      </c>
      <c r="AL553" s="2">
        <v>5.8274999999999997</v>
      </c>
      <c r="AM553" s="3">
        <v>45429</v>
      </c>
      <c r="AN553" s="2">
        <v>5.8125</v>
      </c>
      <c r="AO553" s="3">
        <v>45429</v>
      </c>
      <c r="AP553" s="2">
        <v>5.68</v>
      </c>
      <c r="AQ553" s="3">
        <v>45429</v>
      </c>
      <c r="AR553" s="2">
        <v>5.4249999999999998</v>
      </c>
      <c r="AS553" s="3">
        <v>45429</v>
      </c>
      <c r="AT553" s="2">
        <v>5.1775000000000002</v>
      </c>
      <c r="AU553" s="3">
        <v>45429</v>
      </c>
      <c r="AV553" s="2">
        <v>4.9524999999999997</v>
      </c>
      <c r="AW553" s="3">
        <v>45429</v>
      </c>
      <c r="AX553" s="2">
        <v>4.7725</v>
      </c>
      <c r="AY553" s="3">
        <v>45429</v>
      </c>
      <c r="AZ553" s="2">
        <v>4.6375000000000002</v>
      </c>
      <c r="BB553" s="3">
        <v>45398</v>
      </c>
      <c r="BC553" s="1">
        <v>5.75</v>
      </c>
      <c r="BD553" s="3">
        <v>45399</v>
      </c>
      <c r="BE553" s="1">
        <v>5.55</v>
      </c>
      <c r="BF553" s="3">
        <v>45429</v>
      </c>
      <c r="BG553" s="1">
        <v>5.0949999999999998</v>
      </c>
      <c r="BH553" s="3">
        <v>45429</v>
      </c>
      <c r="BI553" s="1">
        <v>4.8380000000000001</v>
      </c>
      <c r="BJ553" s="3">
        <v>45429</v>
      </c>
      <c r="BK553" s="1">
        <v>4.665</v>
      </c>
      <c r="BL553" s="3">
        <v>45429</v>
      </c>
      <c r="BM553" s="1">
        <v>4.3099999999999996</v>
      </c>
      <c r="BN553" s="3">
        <v>45429</v>
      </c>
      <c r="BO553" s="1">
        <v>4.0979999999999999</v>
      </c>
      <c r="BP553" s="3">
        <v>45429</v>
      </c>
      <c r="BQ553" s="1">
        <v>3.875</v>
      </c>
      <c r="BR553" s="3">
        <v>45429</v>
      </c>
      <c r="BS553" s="1">
        <v>3.7480000000000002</v>
      </c>
      <c r="BT553" s="3">
        <v>45429</v>
      </c>
      <c r="BU553" s="1">
        <v>3.6579999999999999</v>
      </c>
      <c r="BV553" s="3">
        <v>45429</v>
      </c>
      <c r="BW553" s="1">
        <v>3.6179999999999999</v>
      </c>
      <c r="BY553" s="3">
        <v>45398</v>
      </c>
      <c r="BZ553" s="1">
        <v>8.25</v>
      </c>
      <c r="CA553" s="3">
        <v>45391</v>
      </c>
      <c r="CB553" s="1">
        <v>7.73</v>
      </c>
      <c r="CC553" s="3">
        <v>45429</v>
      </c>
      <c r="CD553" s="1">
        <v>6.798</v>
      </c>
      <c r="CE553" s="3">
        <v>45429</v>
      </c>
      <c r="CF553" s="1">
        <v>6.7050000000000001</v>
      </c>
      <c r="CG553" s="3">
        <v>45429</v>
      </c>
      <c r="CH553" s="1">
        <v>6.66</v>
      </c>
      <c r="CI553" s="3">
        <v>45429</v>
      </c>
      <c r="CJ553" s="1">
        <v>6.36</v>
      </c>
      <c r="CK553" s="3">
        <v>45429</v>
      </c>
      <c r="CL553" s="1">
        <v>6.1</v>
      </c>
      <c r="CM553" s="3">
        <v>45429</v>
      </c>
      <c r="CN553" s="1">
        <v>5.9349999999999996</v>
      </c>
      <c r="CO553" s="3">
        <v>45421</v>
      </c>
      <c r="CP553" s="1">
        <v>5.89</v>
      </c>
      <c r="CQ553" s="3">
        <v>45421</v>
      </c>
      <c r="CR553" s="1">
        <v>5.82</v>
      </c>
      <c r="CS553" s="3">
        <v>45421</v>
      </c>
      <c r="CT553" s="1">
        <v>5.8324999999999996</v>
      </c>
    </row>
    <row r="554" spans="31:98" x14ac:dyDescent="0.2">
      <c r="AE554" s="3">
        <v>45420</v>
      </c>
      <c r="AF554" s="1">
        <v>5.75</v>
      </c>
      <c r="AG554" s="3">
        <v>45394</v>
      </c>
      <c r="AH554" s="1">
        <v>5.86</v>
      </c>
      <c r="AI554" s="3">
        <v>45428</v>
      </c>
      <c r="AJ554" s="2">
        <v>5.8505000000000003</v>
      </c>
      <c r="AK554" s="3">
        <v>45428</v>
      </c>
      <c r="AL554" s="2">
        <v>5.83</v>
      </c>
      <c r="AM554" s="3">
        <v>45428</v>
      </c>
      <c r="AN554" s="2">
        <v>5.8150000000000004</v>
      </c>
      <c r="AO554" s="3">
        <v>45428</v>
      </c>
      <c r="AP554" s="2">
        <v>5.69</v>
      </c>
      <c r="AQ554" s="3">
        <v>45428</v>
      </c>
      <c r="AR554" s="2">
        <v>5.4450000000000003</v>
      </c>
      <c r="AS554" s="3">
        <v>45428</v>
      </c>
      <c r="AT554" s="2">
        <v>5.2050000000000001</v>
      </c>
      <c r="AU554" s="3">
        <v>45428</v>
      </c>
      <c r="AV554" s="2">
        <v>4.9850000000000003</v>
      </c>
      <c r="AW554" s="3">
        <v>45428</v>
      </c>
      <c r="AX554" s="2">
        <v>4.7949999999999999</v>
      </c>
      <c r="AY554" s="3">
        <v>45428</v>
      </c>
      <c r="AZ554" s="2">
        <v>4.6449999999999996</v>
      </c>
      <c r="BB554" s="3">
        <v>45397</v>
      </c>
      <c r="BC554" s="1">
        <v>5.75</v>
      </c>
      <c r="BD554" s="3">
        <v>45398</v>
      </c>
      <c r="BE554" s="1">
        <v>5.56</v>
      </c>
      <c r="BF554" s="3">
        <v>45428</v>
      </c>
      <c r="BG554" s="1">
        <v>5.1100000000000003</v>
      </c>
      <c r="BH554" s="3">
        <v>45428</v>
      </c>
      <c r="BI554" s="1">
        <v>4.8499999999999996</v>
      </c>
      <c r="BJ554" s="3">
        <v>45428</v>
      </c>
      <c r="BK554" s="1">
        <v>4.6900000000000004</v>
      </c>
      <c r="BL554" s="3">
        <v>45428</v>
      </c>
      <c r="BM554" s="1">
        <v>4.335</v>
      </c>
      <c r="BN554" s="3">
        <v>45428</v>
      </c>
      <c r="BO554" s="1">
        <v>4.09</v>
      </c>
      <c r="BP554" s="3">
        <v>45428</v>
      </c>
      <c r="BQ554" s="1">
        <v>3.883</v>
      </c>
      <c r="BR554" s="3">
        <v>45428</v>
      </c>
      <c r="BS554" s="1">
        <v>3.758</v>
      </c>
      <c r="BT554" s="3">
        <v>45428</v>
      </c>
      <c r="BU554" s="1">
        <v>3.6779999999999999</v>
      </c>
      <c r="BV554" s="3">
        <v>45428</v>
      </c>
      <c r="BW554" s="1">
        <v>3.633</v>
      </c>
      <c r="BY554" s="3">
        <v>45397</v>
      </c>
      <c r="BZ554" s="1">
        <v>8.25</v>
      </c>
      <c r="CA554" s="3">
        <v>45390</v>
      </c>
      <c r="CB554" s="1">
        <v>7.75</v>
      </c>
      <c r="CC554" s="3">
        <v>45428</v>
      </c>
      <c r="CD554" s="1">
        <v>6.85</v>
      </c>
      <c r="CE554" s="3">
        <v>45428</v>
      </c>
      <c r="CF554" s="1">
        <v>6.71</v>
      </c>
      <c r="CG554" s="3">
        <v>45428</v>
      </c>
      <c r="CH554" s="1">
        <v>6.63</v>
      </c>
      <c r="CI554" s="3">
        <v>45428</v>
      </c>
      <c r="CJ554" s="1">
        <v>6.31</v>
      </c>
      <c r="CK554" s="3">
        <v>45428</v>
      </c>
      <c r="CL554" s="1">
        <v>6.03</v>
      </c>
      <c r="CM554" s="3">
        <v>45428</v>
      </c>
      <c r="CN554" s="1">
        <v>5.88</v>
      </c>
      <c r="CO554" s="3">
        <v>45420</v>
      </c>
      <c r="CP554" s="1">
        <v>5.7275</v>
      </c>
      <c r="CQ554" s="3">
        <v>45420</v>
      </c>
      <c r="CR554" s="1">
        <v>5.6875</v>
      </c>
      <c r="CS554" s="3">
        <v>45420</v>
      </c>
      <c r="CT554" s="1">
        <v>5.7050000000000001</v>
      </c>
    </row>
    <row r="555" spans="31:98" x14ac:dyDescent="0.2">
      <c r="AE555" s="3">
        <v>45419</v>
      </c>
      <c r="AF555" s="1">
        <v>5.75</v>
      </c>
      <c r="AG555" s="3">
        <v>45393</v>
      </c>
      <c r="AH555" s="1">
        <v>5.86</v>
      </c>
      <c r="AI555" s="3">
        <v>45427</v>
      </c>
      <c r="AJ555" s="2">
        <v>5.8452999999999999</v>
      </c>
      <c r="AK555" s="3">
        <v>45427</v>
      </c>
      <c r="AL555" s="2">
        <v>5.82</v>
      </c>
      <c r="AM555" s="3">
        <v>45427</v>
      </c>
      <c r="AN555" s="2">
        <v>5.8150000000000004</v>
      </c>
      <c r="AO555" s="3">
        <v>45427</v>
      </c>
      <c r="AP555" s="2">
        <v>5.69</v>
      </c>
      <c r="AQ555" s="3">
        <v>45427</v>
      </c>
      <c r="AR555" s="2">
        <v>5.4550000000000001</v>
      </c>
      <c r="AS555" s="3">
        <v>45427</v>
      </c>
      <c r="AT555" s="2">
        <v>5.2149999999999999</v>
      </c>
      <c r="AU555" s="3">
        <v>45427</v>
      </c>
      <c r="AV555" s="2">
        <v>4.9874999999999998</v>
      </c>
      <c r="AW555" s="3">
        <v>45427</v>
      </c>
      <c r="AX555" s="2">
        <v>4.7975000000000003</v>
      </c>
      <c r="AY555" s="3">
        <v>45427</v>
      </c>
      <c r="AZ555" s="2">
        <v>4.6475</v>
      </c>
      <c r="BB555" s="3">
        <v>45394</v>
      </c>
      <c r="BC555" s="1">
        <v>5.75</v>
      </c>
      <c r="BD555" s="3">
        <v>45397</v>
      </c>
      <c r="BE555" s="1">
        <v>5.56</v>
      </c>
      <c r="BF555" s="3">
        <v>45427</v>
      </c>
      <c r="BG555" s="1">
        <v>5.1100000000000003</v>
      </c>
      <c r="BH555" s="3">
        <v>45427</v>
      </c>
      <c r="BI555" s="1">
        <v>4.8600000000000003</v>
      </c>
      <c r="BJ555" s="3">
        <v>45427</v>
      </c>
      <c r="BK555" s="1">
        <v>4.6900000000000004</v>
      </c>
      <c r="BL555" s="3">
        <v>45427</v>
      </c>
      <c r="BM555" s="1">
        <v>4.3099999999999996</v>
      </c>
      <c r="BN555" s="3">
        <v>45427</v>
      </c>
      <c r="BO555" s="1">
        <v>4.0599999999999996</v>
      </c>
      <c r="BP555" s="3">
        <v>45427</v>
      </c>
      <c r="BQ555" s="1">
        <v>3.835</v>
      </c>
      <c r="BR555" s="3">
        <v>45427</v>
      </c>
      <c r="BS555" s="1">
        <v>3.7</v>
      </c>
      <c r="BT555" s="3">
        <v>45427</v>
      </c>
      <c r="BU555" s="1">
        <v>3.61</v>
      </c>
      <c r="BV555" s="3">
        <v>45427</v>
      </c>
      <c r="BW555" s="1">
        <v>3.5649999999999999</v>
      </c>
      <c r="BY555" s="3">
        <v>45394</v>
      </c>
      <c r="BZ555" s="1">
        <v>8.25</v>
      </c>
      <c r="CA555" s="3">
        <v>45387</v>
      </c>
      <c r="CB555" s="1">
        <v>7.78</v>
      </c>
      <c r="CC555" s="3">
        <v>45427</v>
      </c>
      <c r="CD555" s="1">
        <v>7.0279999999999996</v>
      </c>
      <c r="CE555" s="3">
        <v>45427</v>
      </c>
      <c r="CF555" s="1">
        <v>6.7210000000000001</v>
      </c>
      <c r="CG555" s="3">
        <v>45427</v>
      </c>
      <c r="CH555" s="1">
        <v>6.61</v>
      </c>
      <c r="CI555" s="3">
        <v>45427</v>
      </c>
      <c r="CJ555" s="1">
        <v>6.3</v>
      </c>
      <c r="CK555" s="3">
        <v>45427</v>
      </c>
      <c r="CL555" s="1">
        <v>6.02</v>
      </c>
      <c r="CM555" s="3">
        <v>45427</v>
      </c>
      <c r="CN555" s="1">
        <v>5.7949999999999999</v>
      </c>
      <c r="CO555" s="3">
        <v>45419</v>
      </c>
      <c r="CP555" s="1">
        <v>5.71</v>
      </c>
      <c r="CQ555" s="3">
        <v>45419</v>
      </c>
      <c r="CR555" s="1">
        <v>5.6849999999999996</v>
      </c>
      <c r="CS555" s="3">
        <v>45419</v>
      </c>
      <c r="CT555" s="1">
        <v>5.6725000000000003</v>
      </c>
    </row>
    <row r="556" spans="31:98" x14ac:dyDescent="0.2">
      <c r="AE556" s="3">
        <v>45418</v>
      </c>
      <c r="AF556" s="1">
        <v>5.75</v>
      </c>
      <c r="AG556" s="3">
        <v>45392</v>
      </c>
      <c r="AH556" s="1">
        <v>5.87</v>
      </c>
      <c r="AI556" s="3">
        <v>45426</v>
      </c>
      <c r="AJ556" s="2">
        <v>5.851</v>
      </c>
      <c r="AK556" s="3">
        <v>45426</v>
      </c>
      <c r="AL556" s="2">
        <v>5.83</v>
      </c>
      <c r="AM556" s="3">
        <v>45426</v>
      </c>
      <c r="AN556" s="2">
        <v>5.82</v>
      </c>
      <c r="AO556" s="3">
        <v>45426</v>
      </c>
      <c r="AP556" s="2">
        <v>5.7149999999999999</v>
      </c>
      <c r="AQ556" s="3">
        <v>45426</v>
      </c>
      <c r="AR556" s="2">
        <v>5.4749999999999996</v>
      </c>
      <c r="AS556" s="3">
        <v>45426</v>
      </c>
      <c r="AT556" s="2">
        <v>5.2450000000000001</v>
      </c>
      <c r="AU556" s="3">
        <v>45426</v>
      </c>
      <c r="AV556" s="2">
        <v>5.03</v>
      </c>
      <c r="AW556" s="3">
        <v>45426</v>
      </c>
      <c r="AX556" s="2">
        <v>4.8449999999999998</v>
      </c>
      <c r="AY556" s="3">
        <v>45426</v>
      </c>
      <c r="AZ556" s="2">
        <v>4.6950000000000003</v>
      </c>
      <c r="BB556" s="3">
        <v>45393</v>
      </c>
      <c r="BC556" s="1">
        <v>5.75</v>
      </c>
      <c r="BD556" s="3">
        <v>45394</v>
      </c>
      <c r="BE556" s="1">
        <v>5.55</v>
      </c>
      <c r="BF556" s="3">
        <v>45426</v>
      </c>
      <c r="BG556" s="1">
        <v>5.09</v>
      </c>
      <c r="BH556" s="3">
        <v>45426</v>
      </c>
      <c r="BI556" s="1">
        <v>4.8550000000000004</v>
      </c>
      <c r="BJ556" s="3">
        <v>45426</v>
      </c>
      <c r="BK556" s="1">
        <v>4.6879999999999997</v>
      </c>
      <c r="BL556" s="3">
        <v>45426</v>
      </c>
      <c r="BM556" s="1">
        <v>4.3250000000000002</v>
      </c>
      <c r="BN556" s="3">
        <v>45426</v>
      </c>
      <c r="BO556" s="1">
        <v>4.09</v>
      </c>
      <c r="BP556" s="3">
        <v>45426</v>
      </c>
      <c r="BQ556" s="1">
        <v>3.85</v>
      </c>
      <c r="BR556" s="3">
        <v>45426</v>
      </c>
      <c r="BS556" s="1">
        <v>3.7450000000000001</v>
      </c>
      <c r="BT556" s="3">
        <v>45426</v>
      </c>
      <c r="BU556" s="1">
        <v>3.6749999999999998</v>
      </c>
      <c r="BV556" s="3">
        <v>45426</v>
      </c>
      <c r="BW556" s="1">
        <v>3.6379999999999999</v>
      </c>
      <c r="BY556" s="3">
        <v>45393</v>
      </c>
      <c r="BZ556" s="1">
        <v>8.25</v>
      </c>
      <c r="CA556" s="3">
        <v>45386</v>
      </c>
      <c r="CB556" s="1">
        <v>7.8</v>
      </c>
      <c r="CC556" s="3">
        <v>45426</v>
      </c>
      <c r="CD556" s="1">
        <v>7.04</v>
      </c>
      <c r="CE556" s="3">
        <v>45426</v>
      </c>
      <c r="CF556" s="1">
        <v>6.75</v>
      </c>
      <c r="CG556" s="3">
        <v>45426</v>
      </c>
      <c r="CH556" s="1">
        <v>6.66</v>
      </c>
      <c r="CI556" s="3">
        <v>45426</v>
      </c>
      <c r="CJ556" s="1">
        <v>6.41</v>
      </c>
      <c r="CK556" s="3">
        <v>45426</v>
      </c>
      <c r="CL556" s="1">
        <v>6.18</v>
      </c>
      <c r="CM556" s="3">
        <v>45426</v>
      </c>
      <c r="CN556" s="1">
        <v>5.9249999999999998</v>
      </c>
      <c r="CO556" s="3">
        <v>45418</v>
      </c>
      <c r="CP556" s="1">
        <v>6.04</v>
      </c>
      <c r="CQ556" s="3">
        <v>45418</v>
      </c>
      <c r="CR556" s="1">
        <v>6.02</v>
      </c>
      <c r="CS556" s="3">
        <v>45418</v>
      </c>
      <c r="CT556" s="1">
        <v>6.0075000000000003</v>
      </c>
    </row>
    <row r="557" spans="31:98" x14ac:dyDescent="0.2">
      <c r="AE557" s="3">
        <v>45415</v>
      </c>
      <c r="AF557" s="1">
        <v>5.75</v>
      </c>
      <c r="AG557" s="3">
        <v>45391</v>
      </c>
      <c r="AH557" s="1">
        <v>5.87</v>
      </c>
      <c r="AI557" s="3">
        <v>45425</v>
      </c>
      <c r="AJ557" s="2">
        <v>5.8579999999999997</v>
      </c>
      <c r="AK557" s="3">
        <v>45425</v>
      </c>
      <c r="AL557" s="2">
        <v>5.8250000000000002</v>
      </c>
      <c r="AM557" s="3">
        <v>45425</v>
      </c>
      <c r="AN557" s="2">
        <v>5.8150000000000004</v>
      </c>
      <c r="AO557" s="3">
        <v>45425</v>
      </c>
      <c r="AP557" s="2">
        <v>5.6950000000000003</v>
      </c>
      <c r="AQ557" s="3">
        <v>45425</v>
      </c>
      <c r="AR557" s="2">
        <v>5.4550000000000001</v>
      </c>
      <c r="AS557" s="3">
        <v>45425</v>
      </c>
      <c r="AT557" s="2">
        <v>5.2249999999999996</v>
      </c>
      <c r="AU557" s="3">
        <v>45425</v>
      </c>
      <c r="AV557" s="2">
        <v>5.0049999999999999</v>
      </c>
      <c r="AW557" s="3">
        <v>45425</v>
      </c>
      <c r="AX557" s="2">
        <v>4.8150000000000004</v>
      </c>
      <c r="AY557" s="3">
        <v>45425</v>
      </c>
      <c r="AZ557" s="2">
        <v>4.6475</v>
      </c>
      <c r="BB557" s="3">
        <v>45392</v>
      </c>
      <c r="BC557" s="1">
        <v>5.75</v>
      </c>
      <c r="BD557" s="3">
        <v>45393</v>
      </c>
      <c r="BE557" s="1">
        <v>5.55</v>
      </c>
      <c r="BF557" s="3">
        <v>45425</v>
      </c>
      <c r="BG557" s="1">
        <v>5.0999999999999996</v>
      </c>
      <c r="BH557" s="3">
        <v>45425</v>
      </c>
      <c r="BI557" s="1">
        <v>4.875</v>
      </c>
      <c r="BJ557" s="3">
        <v>45425</v>
      </c>
      <c r="BK557" s="1">
        <v>4.7249999999999996</v>
      </c>
      <c r="BL557" s="3">
        <v>45425</v>
      </c>
      <c r="BM557" s="1">
        <v>4.38</v>
      </c>
      <c r="BN557" s="3">
        <v>45425</v>
      </c>
      <c r="BO557" s="1">
        <v>4.1349999999999998</v>
      </c>
      <c r="BP557" s="3">
        <v>45425</v>
      </c>
      <c r="BQ557" s="1">
        <v>3.8849999999999998</v>
      </c>
      <c r="BR557" s="3">
        <v>45425</v>
      </c>
      <c r="BS557" s="1">
        <v>3.7850000000000001</v>
      </c>
      <c r="BT557" s="3">
        <v>45425</v>
      </c>
      <c r="BU557" s="1">
        <v>3.72</v>
      </c>
      <c r="BV557" s="3">
        <v>45425</v>
      </c>
      <c r="BW557" s="1">
        <v>3.68</v>
      </c>
      <c r="BY557" s="3">
        <v>45392</v>
      </c>
      <c r="BZ557" s="1">
        <v>8.25</v>
      </c>
      <c r="CA557" s="3">
        <v>45385</v>
      </c>
      <c r="CB557" s="1">
        <v>7.81</v>
      </c>
      <c r="CC557" s="3">
        <v>45425</v>
      </c>
      <c r="CD557" s="1">
        <v>7.0650000000000004</v>
      </c>
      <c r="CE557" s="3">
        <v>45425</v>
      </c>
      <c r="CF557" s="1">
        <v>6.7489999999999997</v>
      </c>
      <c r="CG557" s="3">
        <v>45425</v>
      </c>
      <c r="CH557" s="1">
        <v>6.66</v>
      </c>
      <c r="CI557" s="3">
        <v>45425</v>
      </c>
      <c r="CJ557" s="1">
        <v>6.41</v>
      </c>
      <c r="CK557" s="3">
        <v>45425</v>
      </c>
      <c r="CL557" s="1">
        <v>6.18</v>
      </c>
      <c r="CM557" s="3">
        <v>45425</v>
      </c>
      <c r="CN557" s="1">
        <v>5.9450000000000003</v>
      </c>
      <c r="CO557" s="3">
        <v>45415</v>
      </c>
      <c r="CP557" s="1">
        <v>6.04</v>
      </c>
      <c r="CQ557" s="3">
        <v>45415</v>
      </c>
      <c r="CR557" s="1">
        <v>6.02</v>
      </c>
      <c r="CS557" s="3">
        <v>45415</v>
      </c>
      <c r="CT557" s="1">
        <v>6.0075000000000003</v>
      </c>
    </row>
    <row r="558" spans="31:98" x14ac:dyDescent="0.2">
      <c r="AE558" s="3">
        <v>45414</v>
      </c>
      <c r="AF558" s="1">
        <v>5.75</v>
      </c>
      <c r="AG558" s="3">
        <v>45390</v>
      </c>
      <c r="AH558" s="1">
        <v>5.86</v>
      </c>
      <c r="AI558" s="3">
        <v>45422</v>
      </c>
      <c r="AJ558" s="2">
        <v>5.8490000000000002</v>
      </c>
      <c r="AK558" s="3">
        <v>45422</v>
      </c>
      <c r="AL558" s="2">
        <v>5.8150000000000004</v>
      </c>
      <c r="AM558" s="3">
        <v>45422</v>
      </c>
      <c r="AN558" s="2">
        <v>5.7949999999999999</v>
      </c>
      <c r="AO558" s="3">
        <v>45422</v>
      </c>
      <c r="AP558" s="2">
        <v>5.6449999999999996</v>
      </c>
      <c r="AQ558" s="3">
        <v>45422</v>
      </c>
      <c r="AR558" s="2">
        <v>5.3775000000000004</v>
      </c>
      <c r="AS558" s="3">
        <v>45422</v>
      </c>
      <c r="AT558" s="2">
        <v>5.1224999999999996</v>
      </c>
      <c r="AU558" s="3">
        <v>45422</v>
      </c>
      <c r="AV558" s="2">
        <v>4.9024999999999999</v>
      </c>
      <c r="AW558" s="3">
        <v>45422</v>
      </c>
      <c r="AX558" s="2">
        <v>4.7125000000000004</v>
      </c>
      <c r="AY558" s="3">
        <v>45422</v>
      </c>
      <c r="AZ558" s="2">
        <v>4.5625</v>
      </c>
      <c r="BB558" s="3">
        <v>45391</v>
      </c>
      <c r="BC558" s="1">
        <v>5.75</v>
      </c>
      <c r="BD558" s="3">
        <v>45392</v>
      </c>
      <c r="BE558" s="1">
        <v>5.55</v>
      </c>
      <c r="BF558" s="3">
        <v>45422</v>
      </c>
      <c r="BG558" s="1">
        <v>5.0999999999999996</v>
      </c>
      <c r="BH558" s="3">
        <v>45422</v>
      </c>
      <c r="BI558" s="1">
        <v>4.8150000000000004</v>
      </c>
      <c r="BJ558" s="3">
        <v>45422</v>
      </c>
      <c r="BK558" s="1">
        <v>4.6100000000000003</v>
      </c>
      <c r="BL558" s="3">
        <v>45422</v>
      </c>
      <c r="BM558" s="1">
        <v>4.2549999999999999</v>
      </c>
      <c r="BN558" s="3">
        <v>45422</v>
      </c>
      <c r="BO558" s="1">
        <v>4.0229999999999997</v>
      </c>
      <c r="BP558" s="3">
        <v>45422</v>
      </c>
      <c r="BQ558" s="1">
        <v>3.7879999999999998</v>
      </c>
      <c r="BR558" s="3">
        <v>45422</v>
      </c>
      <c r="BS558" s="1">
        <v>3.71</v>
      </c>
      <c r="BT558" s="3">
        <v>45422</v>
      </c>
      <c r="BU558" s="1">
        <v>3.66</v>
      </c>
      <c r="BV558" s="3">
        <v>45422</v>
      </c>
      <c r="BW558" s="1">
        <v>3.6349999999999998</v>
      </c>
      <c r="BY558" s="3">
        <v>45391</v>
      </c>
      <c r="BZ558" s="1">
        <v>8.25</v>
      </c>
      <c r="CA558" s="3">
        <v>45384</v>
      </c>
      <c r="CB558" s="1">
        <v>7.82</v>
      </c>
      <c r="CC558" s="3">
        <v>45422</v>
      </c>
      <c r="CD558" s="1">
        <v>7.0609999999999999</v>
      </c>
      <c r="CE558" s="3">
        <v>45422</v>
      </c>
      <c r="CF558" s="1">
        <v>6.7210000000000001</v>
      </c>
      <c r="CG558" s="3">
        <v>45422</v>
      </c>
      <c r="CH558" s="1">
        <v>6.65</v>
      </c>
      <c r="CI558" s="3">
        <v>45422</v>
      </c>
      <c r="CJ558" s="1">
        <v>6.4</v>
      </c>
      <c r="CK558" s="3">
        <v>45422</v>
      </c>
      <c r="CL558" s="1">
        <v>6.17</v>
      </c>
      <c r="CM558" s="3">
        <v>45422</v>
      </c>
      <c r="CN558" s="1">
        <v>5.9349999999999996</v>
      </c>
      <c r="CO558" s="3">
        <v>45414</v>
      </c>
      <c r="CP558" s="1">
        <v>6.35</v>
      </c>
      <c r="CQ558" s="3">
        <v>45414</v>
      </c>
      <c r="CR558" s="1">
        <v>6.33</v>
      </c>
      <c r="CS558" s="3">
        <v>45414</v>
      </c>
      <c r="CT558" s="1">
        <v>6.3174999999999999</v>
      </c>
    </row>
    <row r="559" spans="31:98" x14ac:dyDescent="0.2">
      <c r="AE559" s="3">
        <v>45413</v>
      </c>
      <c r="AF559" s="1">
        <v>5.75</v>
      </c>
      <c r="AG559" s="3">
        <v>45387</v>
      </c>
      <c r="AH559" s="1">
        <v>5.86</v>
      </c>
      <c r="AI559" s="3">
        <v>45421</v>
      </c>
      <c r="AJ559" s="2">
        <v>5.8354999999999997</v>
      </c>
      <c r="AK559" s="3">
        <v>45421</v>
      </c>
      <c r="AL559" s="2">
        <v>5.79</v>
      </c>
      <c r="AM559" s="3">
        <v>45421</v>
      </c>
      <c r="AN559" s="2">
        <v>5.76</v>
      </c>
      <c r="AO559" s="3">
        <v>45421</v>
      </c>
      <c r="AP559" s="2">
        <v>5.5925000000000002</v>
      </c>
      <c r="AQ559" s="3">
        <v>45421</v>
      </c>
      <c r="AR559" s="2">
        <v>5.35</v>
      </c>
      <c r="AS559" s="3">
        <v>45421</v>
      </c>
      <c r="AT559" s="2">
        <v>5.1050000000000004</v>
      </c>
      <c r="AU559" s="3">
        <v>45421</v>
      </c>
      <c r="AV559" s="2">
        <v>4.8949999999999996</v>
      </c>
      <c r="AW559" s="3">
        <v>45421</v>
      </c>
      <c r="AX559" s="2">
        <v>4.71</v>
      </c>
      <c r="AY559" s="3">
        <v>45421</v>
      </c>
      <c r="AZ559" s="2">
        <v>4.5750000000000002</v>
      </c>
      <c r="BB559" s="3">
        <v>45390</v>
      </c>
      <c r="BC559" s="1">
        <v>5.75</v>
      </c>
      <c r="BD559" s="3">
        <v>45391</v>
      </c>
      <c r="BE559" s="1">
        <v>5.55</v>
      </c>
      <c r="BF559" s="3">
        <v>45421</v>
      </c>
      <c r="BG559" s="1">
        <v>5.09</v>
      </c>
      <c r="BH559" s="3">
        <v>45421</v>
      </c>
      <c r="BI559" s="1">
        <v>4.8099999999999996</v>
      </c>
      <c r="BJ559" s="3">
        <v>45421</v>
      </c>
      <c r="BK559" s="1">
        <v>4.62</v>
      </c>
      <c r="BL559" s="3">
        <v>45421</v>
      </c>
      <c r="BM559" s="1">
        <v>4.2149999999999999</v>
      </c>
      <c r="BN559" s="3">
        <v>45421</v>
      </c>
      <c r="BO559" s="1">
        <v>3.9649999999999999</v>
      </c>
      <c r="BP559" s="3">
        <v>45421</v>
      </c>
      <c r="BQ559" s="1">
        <v>3.7349999999999999</v>
      </c>
      <c r="BR559" s="3">
        <v>45421</v>
      </c>
      <c r="BS559" s="1">
        <v>3.665</v>
      </c>
      <c r="BT559" s="3">
        <v>45421</v>
      </c>
      <c r="BU559" s="1">
        <v>3.6150000000000002</v>
      </c>
      <c r="BV559" s="3">
        <v>45421</v>
      </c>
      <c r="BW559" s="1">
        <v>3.5950000000000002</v>
      </c>
      <c r="BY559" s="3">
        <v>45390</v>
      </c>
      <c r="BZ559" s="1">
        <v>8.25</v>
      </c>
      <c r="CA559" s="3">
        <v>45379</v>
      </c>
      <c r="CB559" s="1">
        <v>7.83</v>
      </c>
      <c r="CC559" s="3">
        <v>45421</v>
      </c>
      <c r="CD559" s="1">
        <v>7.06</v>
      </c>
      <c r="CE559" s="3">
        <v>45421</v>
      </c>
      <c r="CF559" s="1">
        <v>6.72</v>
      </c>
      <c r="CG559" s="3">
        <v>45421</v>
      </c>
      <c r="CH559" s="1">
        <v>6.65</v>
      </c>
      <c r="CI559" s="3">
        <v>45421</v>
      </c>
      <c r="CJ559" s="1">
        <v>6.41</v>
      </c>
      <c r="CK559" s="3">
        <v>45421</v>
      </c>
      <c r="CL559" s="1">
        <v>6.19</v>
      </c>
      <c r="CM559" s="3">
        <v>45421</v>
      </c>
      <c r="CN559" s="1">
        <v>5.98</v>
      </c>
      <c r="CO559" s="3">
        <v>45413</v>
      </c>
      <c r="CP559" s="1">
        <v>6.44</v>
      </c>
      <c r="CQ559" s="3">
        <v>45413</v>
      </c>
      <c r="CR559" s="1">
        <v>6.4249999999999998</v>
      </c>
      <c r="CS559" s="3">
        <v>45413</v>
      </c>
      <c r="CT559" s="1">
        <v>6.43</v>
      </c>
    </row>
    <row r="560" spans="31:98" x14ac:dyDescent="0.2">
      <c r="AE560" s="3">
        <v>45412</v>
      </c>
      <c r="AF560" s="1">
        <v>5.75</v>
      </c>
      <c r="AG560" s="3">
        <v>45386</v>
      </c>
      <c r="AH560" s="1">
        <v>5.86</v>
      </c>
      <c r="AI560" s="3">
        <v>45420</v>
      </c>
      <c r="AJ560" s="2">
        <v>5.8433000000000002</v>
      </c>
      <c r="AK560" s="3">
        <v>45420</v>
      </c>
      <c r="AL560" s="2">
        <v>5.8</v>
      </c>
      <c r="AM560" s="3">
        <v>45420</v>
      </c>
      <c r="AN560" s="2">
        <v>5.77</v>
      </c>
      <c r="AO560" s="3">
        <v>45420</v>
      </c>
      <c r="AP560" s="2">
        <v>5.59</v>
      </c>
      <c r="AQ560" s="3">
        <v>45420</v>
      </c>
      <c r="AR560" s="2">
        <v>5.3525</v>
      </c>
      <c r="AS560" s="3">
        <v>45420</v>
      </c>
      <c r="AT560" s="2">
        <v>5.0975000000000001</v>
      </c>
      <c r="AU560" s="3">
        <v>45420</v>
      </c>
      <c r="AV560" s="2">
        <v>4.8925000000000001</v>
      </c>
      <c r="AW560" s="3">
        <v>45420</v>
      </c>
      <c r="AX560" s="2">
        <v>4.72</v>
      </c>
      <c r="AY560" s="3">
        <v>45420</v>
      </c>
      <c r="AZ560" s="2">
        <v>4.5925000000000002</v>
      </c>
      <c r="BB560" s="3">
        <v>45387</v>
      </c>
      <c r="BC560" s="1">
        <v>5.75</v>
      </c>
      <c r="BD560" s="3">
        <v>45390</v>
      </c>
      <c r="BE560" s="1">
        <v>5.56</v>
      </c>
      <c r="BF560" s="3">
        <v>45420</v>
      </c>
      <c r="BG560" s="1">
        <v>5.09</v>
      </c>
      <c r="BH560" s="3">
        <v>45420</v>
      </c>
      <c r="BI560" s="1">
        <v>4.78</v>
      </c>
      <c r="BJ560" s="3">
        <v>45420</v>
      </c>
      <c r="BK560" s="1">
        <v>4.5999999999999996</v>
      </c>
      <c r="BL560" s="3">
        <v>45420</v>
      </c>
      <c r="BM560" s="1">
        <v>4.2880000000000003</v>
      </c>
      <c r="BN560" s="3">
        <v>45420</v>
      </c>
      <c r="BO560" s="1">
        <v>3.9529999999999998</v>
      </c>
      <c r="BP560" s="3">
        <v>45420</v>
      </c>
      <c r="BQ560" s="1">
        <v>3.67</v>
      </c>
      <c r="BR560" s="3">
        <v>45420</v>
      </c>
      <c r="BS560" s="1">
        <v>3.593</v>
      </c>
      <c r="BT560" s="3">
        <v>45420</v>
      </c>
      <c r="BU560" s="1">
        <v>3.5129999999999999</v>
      </c>
      <c r="BV560" s="3">
        <v>45420</v>
      </c>
      <c r="BW560" s="1">
        <v>3.4729999999999999</v>
      </c>
      <c r="BY560" s="3">
        <v>45387</v>
      </c>
      <c r="BZ560" s="1">
        <v>8.25</v>
      </c>
      <c r="CA560" s="3">
        <v>45378</v>
      </c>
      <c r="CB560" s="1">
        <v>7.85</v>
      </c>
      <c r="CC560" s="3">
        <v>45420</v>
      </c>
      <c r="CD560" s="1">
        <v>7.0460000000000003</v>
      </c>
      <c r="CE560" s="3">
        <v>45420</v>
      </c>
      <c r="CF560" s="1">
        <v>6.694</v>
      </c>
      <c r="CG560" s="3">
        <v>45420</v>
      </c>
      <c r="CH560" s="1">
        <v>6.57</v>
      </c>
      <c r="CI560" s="3">
        <v>45420</v>
      </c>
      <c r="CJ560" s="1">
        <v>6.29</v>
      </c>
      <c r="CK560" s="3">
        <v>45420</v>
      </c>
      <c r="CL560" s="1">
        <v>6.04</v>
      </c>
      <c r="CM560" s="3">
        <v>45420</v>
      </c>
      <c r="CN560" s="1">
        <v>5.7975000000000003</v>
      </c>
      <c r="CO560" s="3">
        <v>45412</v>
      </c>
      <c r="CP560" s="1">
        <v>6.44</v>
      </c>
      <c r="CQ560" s="3">
        <v>45412</v>
      </c>
      <c r="CR560" s="1">
        <v>6.4249999999999998</v>
      </c>
      <c r="CS560" s="3">
        <v>45412</v>
      </c>
      <c r="CT560" s="1">
        <v>6.43</v>
      </c>
    </row>
    <row r="561" spans="31:98" x14ac:dyDescent="0.2">
      <c r="AE561" s="3">
        <v>45411</v>
      </c>
      <c r="AF561" s="1">
        <v>5.75</v>
      </c>
      <c r="AG561" s="3">
        <v>45385</v>
      </c>
      <c r="AH561" s="1">
        <v>5.88</v>
      </c>
      <c r="AI561" s="3">
        <v>45419</v>
      </c>
      <c r="AJ561" s="2">
        <v>5.8445</v>
      </c>
      <c r="AK561" s="3">
        <v>45419</v>
      </c>
      <c r="AL561" s="2">
        <v>5.8150000000000004</v>
      </c>
      <c r="AM561" s="3">
        <v>45419</v>
      </c>
      <c r="AN561" s="2">
        <v>5.78</v>
      </c>
      <c r="AO561" s="3">
        <v>45419</v>
      </c>
      <c r="AP561" s="2">
        <v>5.6050000000000004</v>
      </c>
      <c r="AQ561" s="3">
        <v>45419</v>
      </c>
      <c r="AR561" s="2">
        <v>5.3550000000000004</v>
      </c>
      <c r="AS561" s="3">
        <v>45419</v>
      </c>
      <c r="AT561" s="2">
        <v>5.0875000000000004</v>
      </c>
      <c r="AU561" s="3">
        <v>45419</v>
      </c>
      <c r="AV561" s="2">
        <v>4.8775000000000004</v>
      </c>
      <c r="AW561" s="3">
        <v>45419</v>
      </c>
      <c r="AX561" s="2">
        <v>4.7074999999999996</v>
      </c>
      <c r="AY561" s="3">
        <v>45419</v>
      </c>
      <c r="AZ561" s="2">
        <v>4.5774999999999997</v>
      </c>
      <c r="BB561" s="3">
        <v>45386</v>
      </c>
      <c r="BC561" s="1">
        <v>5.75</v>
      </c>
      <c r="BD561" s="3">
        <v>45387</v>
      </c>
      <c r="BE561" s="1">
        <v>5.56</v>
      </c>
      <c r="BF561" s="3">
        <v>45419</v>
      </c>
      <c r="BG561" s="1">
        <v>5.09</v>
      </c>
      <c r="BH561" s="3">
        <v>45419</v>
      </c>
      <c r="BI561" s="1">
        <v>4.78</v>
      </c>
      <c r="BJ561" s="3">
        <v>45419</v>
      </c>
      <c r="BK561" s="1">
        <v>4.5999999999999996</v>
      </c>
      <c r="BL561" s="3">
        <v>45419</v>
      </c>
      <c r="BM561" s="1">
        <v>4.2880000000000003</v>
      </c>
      <c r="BN561" s="3">
        <v>45419</v>
      </c>
      <c r="BO561" s="1">
        <v>3.9529999999999998</v>
      </c>
      <c r="BP561" s="3">
        <v>45419</v>
      </c>
      <c r="BQ561" s="1">
        <v>3.67</v>
      </c>
      <c r="BR561" s="3">
        <v>45419</v>
      </c>
      <c r="BS561" s="1">
        <v>3.593</v>
      </c>
      <c r="BT561" s="3">
        <v>45419</v>
      </c>
      <c r="BU561" s="1">
        <v>3.5129999999999999</v>
      </c>
      <c r="BV561" s="3">
        <v>45419</v>
      </c>
      <c r="BW561" s="1">
        <v>3.4729999999999999</v>
      </c>
      <c r="BY561" s="3">
        <v>45386</v>
      </c>
      <c r="BZ561" s="1">
        <v>8.25</v>
      </c>
      <c r="CA561" s="3">
        <v>45377</v>
      </c>
      <c r="CB561" s="1">
        <v>7.96</v>
      </c>
      <c r="CC561" s="3">
        <v>45419</v>
      </c>
      <c r="CD561" s="1">
        <v>7.0289999999999999</v>
      </c>
      <c r="CE561" s="3">
        <v>45419</v>
      </c>
      <c r="CF561" s="1">
        <v>6.6580000000000004</v>
      </c>
      <c r="CG561" s="3">
        <v>45419</v>
      </c>
      <c r="CH561" s="1">
        <v>6.51</v>
      </c>
      <c r="CI561" s="3">
        <v>45419</v>
      </c>
      <c r="CJ561" s="1">
        <v>6.23</v>
      </c>
      <c r="CK561" s="3">
        <v>45419</v>
      </c>
      <c r="CL561" s="1">
        <v>5.96</v>
      </c>
      <c r="CM561" s="3">
        <v>45419</v>
      </c>
      <c r="CN561" s="1">
        <v>5.74</v>
      </c>
      <c r="CO561" s="3">
        <v>45411</v>
      </c>
      <c r="CP561" s="1">
        <v>6.44</v>
      </c>
      <c r="CQ561" s="3">
        <v>45411</v>
      </c>
      <c r="CR561" s="1">
        <v>6.4249999999999998</v>
      </c>
      <c r="CS561" s="3">
        <v>45411</v>
      </c>
      <c r="CT561" s="1">
        <v>6.4249999999999998</v>
      </c>
    </row>
    <row r="562" spans="31:98" x14ac:dyDescent="0.2">
      <c r="AE562" s="3">
        <v>45408</v>
      </c>
      <c r="AF562" s="1">
        <v>5.75</v>
      </c>
      <c r="AG562" s="3">
        <v>45384</v>
      </c>
      <c r="AH562" s="1">
        <v>5.86</v>
      </c>
      <c r="AI562" s="3">
        <v>45418</v>
      </c>
      <c r="AJ562" s="2">
        <v>5.8570000000000002</v>
      </c>
      <c r="AK562" s="3">
        <v>45418</v>
      </c>
      <c r="AL562" s="2">
        <v>5.8324999999999996</v>
      </c>
      <c r="AM562" s="3">
        <v>45418</v>
      </c>
      <c r="AN562" s="2">
        <v>5.8025000000000002</v>
      </c>
      <c r="AO562" s="3">
        <v>45418</v>
      </c>
      <c r="AP562" s="2">
        <v>5.7024999999999997</v>
      </c>
      <c r="AQ562" s="3">
        <v>45418</v>
      </c>
      <c r="AR562" s="2">
        <v>5.48</v>
      </c>
      <c r="AS562" s="3">
        <v>45418</v>
      </c>
      <c r="AT562" s="2">
        <v>5.26</v>
      </c>
      <c r="AU562" s="3">
        <v>45418</v>
      </c>
      <c r="AV562" s="2">
        <v>5.085</v>
      </c>
      <c r="AW562" s="3">
        <v>45418</v>
      </c>
      <c r="AX562" s="2">
        <v>4.95</v>
      </c>
      <c r="AY562" s="3">
        <v>45418</v>
      </c>
      <c r="AZ562" s="2">
        <v>4.835</v>
      </c>
      <c r="BB562" s="3">
        <v>45385</v>
      </c>
      <c r="BC562" s="1">
        <v>5.75</v>
      </c>
      <c r="BD562" s="3">
        <v>45386</v>
      </c>
      <c r="BE562" s="1">
        <v>5.57</v>
      </c>
      <c r="BF562" s="3">
        <v>45418</v>
      </c>
      <c r="BG562" s="1">
        <v>5.09</v>
      </c>
      <c r="BH562" s="3">
        <v>45418</v>
      </c>
      <c r="BI562" s="1">
        <v>4.8650000000000002</v>
      </c>
      <c r="BJ562" s="3">
        <v>45418</v>
      </c>
      <c r="BK562" s="1">
        <v>4.6879999999999997</v>
      </c>
      <c r="BL562" s="3">
        <v>45418</v>
      </c>
      <c r="BM562" s="1">
        <v>4.41</v>
      </c>
      <c r="BN562" s="3">
        <v>45418</v>
      </c>
      <c r="BO562" s="1">
        <v>4.12</v>
      </c>
      <c r="BP562" s="3">
        <v>45418</v>
      </c>
      <c r="BQ562" s="1">
        <v>3.8849999999999998</v>
      </c>
      <c r="BR562" s="3">
        <v>45418</v>
      </c>
      <c r="BS562" s="1">
        <v>3.7850000000000001</v>
      </c>
      <c r="BT562" s="3">
        <v>45418</v>
      </c>
      <c r="BU562" s="1">
        <v>3.7050000000000001</v>
      </c>
      <c r="BV562" s="3">
        <v>45418</v>
      </c>
      <c r="BW562" s="1">
        <v>3.665</v>
      </c>
      <c r="BY562" s="3">
        <v>45385</v>
      </c>
      <c r="BZ562" s="1">
        <v>8.25</v>
      </c>
      <c r="CA562" s="3">
        <v>45376</v>
      </c>
      <c r="CB562" s="1">
        <v>7.98</v>
      </c>
      <c r="CC562" s="3">
        <v>45418</v>
      </c>
      <c r="CD562" s="1">
        <v>7.07</v>
      </c>
      <c r="CE562" s="3">
        <v>45418</v>
      </c>
      <c r="CF562" s="1">
        <v>6.74</v>
      </c>
      <c r="CG562" s="3">
        <v>45418</v>
      </c>
      <c r="CH562" s="1">
        <v>6.62</v>
      </c>
      <c r="CI562" s="3">
        <v>45418</v>
      </c>
      <c r="CJ562" s="1">
        <v>6.39</v>
      </c>
      <c r="CK562" s="3">
        <v>45418</v>
      </c>
      <c r="CL562" s="1">
        <v>6.18</v>
      </c>
      <c r="CM562" s="3">
        <v>45418</v>
      </c>
      <c r="CN562" s="1">
        <v>6.07</v>
      </c>
      <c r="CO562" s="3">
        <v>45408</v>
      </c>
      <c r="CP562" s="1">
        <v>6.5650000000000004</v>
      </c>
      <c r="CQ562" s="3">
        <v>45408</v>
      </c>
      <c r="CR562" s="1">
        <v>6.55</v>
      </c>
      <c r="CS562" s="3">
        <v>45408</v>
      </c>
      <c r="CT562" s="1">
        <v>6.55</v>
      </c>
    </row>
    <row r="563" spans="31:98" x14ac:dyDescent="0.2">
      <c r="AE563" s="3">
        <v>45407</v>
      </c>
      <c r="AF563" s="1">
        <v>5.75</v>
      </c>
      <c r="AG563" s="3">
        <v>45380</v>
      </c>
      <c r="AH563" s="1">
        <v>5.88</v>
      </c>
      <c r="AI563" s="3">
        <v>45415</v>
      </c>
      <c r="AJ563" s="2">
        <v>5.8570000000000002</v>
      </c>
      <c r="AK563" s="3">
        <v>45415</v>
      </c>
      <c r="AL563" s="2">
        <v>5.8324999999999996</v>
      </c>
      <c r="AM563" s="3">
        <v>45415</v>
      </c>
      <c r="AN563" s="2">
        <v>5.8025000000000002</v>
      </c>
      <c r="AO563" s="3">
        <v>45415</v>
      </c>
      <c r="AP563" s="2">
        <v>5.7024999999999997</v>
      </c>
      <c r="AQ563" s="3">
        <v>45415</v>
      </c>
      <c r="AR563" s="2">
        <v>5.48</v>
      </c>
      <c r="AS563" s="3">
        <v>45415</v>
      </c>
      <c r="AT563" s="2">
        <v>5.26</v>
      </c>
      <c r="AU563" s="3">
        <v>45415</v>
      </c>
      <c r="AV563" s="2">
        <v>5.085</v>
      </c>
      <c r="AW563" s="3">
        <v>45415</v>
      </c>
      <c r="AX563" s="2">
        <v>4.95</v>
      </c>
      <c r="AY563" s="3">
        <v>45415</v>
      </c>
      <c r="AZ563" s="2">
        <v>4.835</v>
      </c>
      <c r="BB563" s="3">
        <v>45384</v>
      </c>
      <c r="BC563" s="1">
        <v>5.75</v>
      </c>
      <c r="BD563" s="3">
        <v>45385</v>
      </c>
      <c r="BE563" s="1">
        <v>5.6</v>
      </c>
      <c r="BF563" s="3">
        <v>45415</v>
      </c>
      <c r="BG563" s="1">
        <v>5.09</v>
      </c>
      <c r="BH563" s="3">
        <v>45415</v>
      </c>
      <c r="BI563" s="1">
        <v>4.8650000000000002</v>
      </c>
      <c r="BJ563" s="3">
        <v>45415</v>
      </c>
      <c r="BK563" s="1">
        <v>4.6879999999999997</v>
      </c>
      <c r="BL563" s="3">
        <v>45415</v>
      </c>
      <c r="BM563" s="1">
        <v>4.41</v>
      </c>
      <c r="BN563" s="3">
        <v>45415</v>
      </c>
      <c r="BO563" s="1">
        <v>4.12</v>
      </c>
      <c r="BP563" s="3">
        <v>45415</v>
      </c>
      <c r="BQ563" s="1">
        <v>3.8849999999999998</v>
      </c>
      <c r="BR563" s="3">
        <v>45415</v>
      </c>
      <c r="BS563" s="1">
        <v>3.7850000000000001</v>
      </c>
      <c r="BT563" s="3">
        <v>45415</v>
      </c>
      <c r="BU563" s="1">
        <v>3.7050000000000001</v>
      </c>
      <c r="BV563" s="3">
        <v>45415</v>
      </c>
      <c r="BW563" s="1">
        <v>3.665</v>
      </c>
      <c r="BY563" s="3">
        <v>45384</v>
      </c>
      <c r="BZ563" s="1">
        <v>8.25</v>
      </c>
      <c r="CA563" s="3">
        <v>45373</v>
      </c>
      <c r="CB563" s="1">
        <v>8</v>
      </c>
      <c r="CC563" s="3">
        <v>45415</v>
      </c>
      <c r="CD563" s="1">
        <v>7.07</v>
      </c>
      <c r="CE563" s="3">
        <v>45415</v>
      </c>
      <c r="CF563" s="1">
        <v>6.74</v>
      </c>
      <c r="CG563" s="3">
        <v>45415</v>
      </c>
      <c r="CH563" s="1">
        <v>6.62</v>
      </c>
      <c r="CI563" s="3">
        <v>45415</v>
      </c>
      <c r="CJ563" s="1">
        <v>6.39</v>
      </c>
      <c r="CK563" s="3">
        <v>45415</v>
      </c>
      <c r="CL563" s="1">
        <v>6.18</v>
      </c>
      <c r="CM563" s="3">
        <v>45415</v>
      </c>
      <c r="CN563" s="1">
        <v>6.07</v>
      </c>
      <c r="CO563" s="3">
        <v>45407</v>
      </c>
      <c r="CP563" s="1">
        <v>6.4649999999999999</v>
      </c>
      <c r="CQ563" s="3">
        <v>45407</v>
      </c>
      <c r="CR563" s="1">
        <v>6.4550000000000001</v>
      </c>
      <c r="CS563" s="3">
        <v>45407</v>
      </c>
      <c r="CT563" s="1">
        <v>6.46</v>
      </c>
    </row>
    <row r="564" spans="31:98" x14ac:dyDescent="0.2">
      <c r="AE564" s="3">
        <v>45406</v>
      </c>
      <c r="AF564" s="1">
        <v>5.75</v>
      </c>
      <c r="AG564" s="3">
        <v>45379</v>
      </c>
      <c r="AH564" s="1">
        <v>5.87</v>
      </c>
      <c r="AI564" s="3">
        <v>45414</v>
      </c>
      <c r="AJ564" s="2">
        <v>5.8570000000000002</v>
      </c>
      <c r="AK564" s="3">
        <v>45414</v>
      </c>
      <c r="AL564" s="2">
        <v>5.8324999999999996</v>
      </c>
      <c r="AM564" s="3">
        <v>45414</v>
      </c>
      <c r="AN564" s="2">
        <v>5.8025000000000002</v>
      </c>
      <c r="AO564" s="3">
        <v>45414</v>
      </c>
      <c r="AP564" s="2">
        <v>5.7024999999999997</v>
      </c>
      <c r="AQ564" s="3">
        <v>45414</v>
      </c>
      <c r="AR564" s="2">
        <v>5.48</v>
      </c>
      <c r="AS564" s="3">
        <v>45414</v>
      </c>
      <c r="AT564" s="2">
        <v>5.26</v>
      </c>
      <c r="AU564" s="3">
        <v>45414</v>
      </c>
      <c r="AV564" s="2">
        <v>5.085</v>
      </c>
      <c r="AW564" s="3">
        <v>45414</v>
      </c>
      <c r="AX564" s="2">
        <v>4.95</v>
      </c>
      <c r="AY564" s="3">
        <v>45414</v>
      </c>
      <c r="AZ564" s="2">
        <v>4.835</v>
      </c>
      <c r="BB564" s="3">
        <v>45379</v>
      </c>
      <c r="BC564" s="1">
        <v>5.75</v>
      </c>
      <c r="BD564" s="3">
        <v>45384</v>
      </c>
      <c r="BE564" s="1">
        <v>5.6</v>
      </c>
      <c r="BF564" s="3">
        <v>45414</v>
      </c>
      <c r="BG564" s="1">
        <v>5.14</v>
      </c>
      <c r="BH564" s="3">
        <v>45414</v>
      </c>
      <c r="BI564" s="1">
        <v>4.92</v>
      </c>
      <c r="BJ564" s="3">
        <v>45414</v>
      </c>
      <c r="BK564" s="1">
        <v>4.6950000000000003</v>
      </c>
      <c r="BL564" s="3">
        <v>45414</v>
      </c>
      <c r="BM564" s="1">
        <v>4.4649999999999999</v>
      </c>
      <c r="BN564" s="3">
        <v>45414</v>
      </c>
      <c r="BO564" s="1">
        <v>4.2249999999999996</v>
      </c>
      <c r="BP564" s="3">
        <v>45414</v>
      </c>
      <c r="BQ564" s="1">
        <v>4.085</v>
      </c>
      <c r="BR564" s="3">
        <v>45414</v>
      </c>
      <c r="BS564" s="1">
        <v>4.0350000000000001</v>
      </c>
      <c r="BT564" s="3">
        <v>45414</v>
      </c>
      <c r="BU564" s="1">
        <v>3.9929999999999999</v>
      </c>
      <c r="BV564" s="3">
        <v>45414</v>
      </c>
      <c r="BW564" s="1">
        <v>3.968</v>
      </c>
      <c r="BY564" s="3">
        <v>45383</v>
      </c>
      <c r="BZ564" s="1">
        <v>8.25</v>
      </c>
      <c r="CA564" s="3">
        <v>45372</v>
      </c>
      <c r="CB564" s="1">
        <v>8.02</v>
      </c>
      <c r="CC564" s="3">
        <v>45414</v>
      </c>
      <c r="CD564" s="1">
        <v>7.13</v>
      </c>
      <c r="CE564" s="3">
        <v>45414</v>
      </c>
      <c r="CF564" s="1">
        <v>6.84</v>
      </c>
      <c r="CG564" s="3">
        <v>45414</v>
      </c>
      <c r="CH564" s="1">
        <v>6.73</v>
      </c>
      <c r="CI564" s="3">
        <v>45414</v>
      </c>
      <c r="CJ564" s="1">
        <v>6.56</v>
      </c>
      <c r="CK564" s="3">
        <v>45414</v>
      </c>
      <c r="CL564" s="1">
        <v>6.46</v>
      </c>
      <c r="CM564" s="3">
        <v>45414</v>
      </c>
      <c r="CN564" s="1">
        <v>6.375</v>
      </c>
      <c r="CO564" s="3">
        <v>45406</v>
      </c>
      <c r="CP564" s="1">
        <v>6.2575000000000003</v>
      </c>
      <c r="CQ564" s="3">
        <v>45406</v>
      </c>
      <c r="CR564" s="1">
        <v>6.2350000000000003</v>
      </c>
      <c r="CS564" s="3">
        <v>45406</v>
      </c>
      <c r="CT564" s="1">
        <v>6.2474999999999996</v>
      </c>
    </row>
    <row r="565" spans="31:98" x14ac:dyDescent="0.2">
      <c r="AE565" s="3">
        <v>45405</v>
      </c>
      <c r="AF565" s="1">
        <v>5.75</v>
      </c>
      <c r="AG565" s="3">
        <v>45378</v>
      </c>
      <c r="AH565" s="1">
        <v>5.85</v>
      </c>
      <c r="AI565" s="3">
        <v>45413</v>
      </c>
      <c r="AJ565" s="2">
        <v>5.8609999999999998</v>
      </c>
      <c r="AK565" s="3">
        <v>45413</v>
      </c>
      <c r="AL565" s="2">
        <v>5.835</v>
      </c>
      <c r="AM565" s="3">
        <v>45413</v>
      </c>
      <c r="AN565" s="2">
        <v>5.8075000000000001</v>
      </c>
      <c r="AO565" s="3">
        <v>45413</v>
      </c>
      <c r="AP565" s="2">
        <v>5.7175000000000002</v>
      </c>
      <c r="AQ565" s="3">
        <v>45413</v>
      </c>
      <c r="AR565" s="2">
        <v>5.5175000000000001</v>
      </c>
      <c r="AS565" s="3">
        <v>45413</v>
      </c>
      <c r="AT565" s="2">
        <v>5.3224999999999998</v>
      </c>
      <c r="AU565" s="3">
        <v>45413</v>
      </c>
      <c r="AV565" s="2">
        <v>5.1675000000000004</v>
      </c>
      <c r="AW565" s="3">
        <v>45413</v>
      </c>
      <c r="AX565" s="2">
        <v>5.0324999999999998</v>
      </c>
      <c r="AY565" s="3">
        <v>45413</v>
      </c>
      <c r="AZ565" s="2">
        <v>4.9225000000000003</v>
      </c>
      <c r="BB565" s="3">
        <v>45378</v>
      </c>
      <c r="BC565" s="1">
        <v>5.75</v>
      </c>
      <c r="BD565" s="3">
        <v>45379</v>
      </c>
      <c r="BE565" s="1">
        <v>5.61</v>
      </c>
      <c r="BF565" s="3">
        <v>45413</v>
      </c>
      <c r="BG565" s="1">
        <v>5.165</v>
      </c>
      <c r="BH565" s="3">
        <v>45413</v>
      </c>
      <c r="BI565" s="1">
        <v>4.8730000000000002</v>
      </c>
      <c r="BJ565" s="3">
        <v>45413</v>
      </c>
      <c r="BK565" s="1">
        <v>4.75</v>
      </c>
      <c r="BL565" s="3">
        <v>45413</v>
      </c>
      <c r="BM565" s="1">
        <v>4.3150000000000004</v>
      </c>
      <c r="BN565" s="3">
        <v>45413</v>
      </c>
      <c r="BO565" s="1">
        <v>4.12</v>
      </c>
      <c r="BP565" s="3">
        <v>45413</v>
      </c>
      <c r="BQ565" s="1">
        <v>4.008</v>
      </c>
      <c r="BR565" s="3">
        <v>45413</v>
      </c>
      <c r="BS565" s="1">
        <v>3.9830000000000001</v>
      </c>
      <c r="BT565" s="3">
        <v>45413</v>
      </c>
      <c r="BU565" s="1">
        <v>3.948</v>
      </c>
      <c r="BV565" s="3">
        <v>45413</v>
      </c>
      <c r="BW565" s="1">
        <v>3.923</v>
      </c>
      <c r="BY565" s="3">
        <v>45380</v>
      </c>
      <c r="BZ565" s="1">
        <v>8.25</v>
      </c>
      <c r="CA565" s="3">
        <v>45371</v>
      </c>
      <c r="CB565" s="1">
        <v>8.0299999999999994</v>
      </c>
      <c r="CC565" s="3">
        <v>45413</v>
      </c>
      <c r="CD565" s="1">
        <v>7.1776</v>
      </c>
      <c r="CE565" s="3">
        <v>45413</v>
      </c>
      <c r="CF565" s="1">
        <v>6.9234999999999998</v>
      </c>
      <c r="CG565" s="3">
        <v>45413</v>
      </c>
      <c r="CH565" s="1">
        <v>6.8301999999999996</v>
      </c>
      <c r="CI565" s="3">
        <v>45413</v>
      </c>
      <c r="CJ565" s="1">
        <v>6.6710000000000003</v>
      </c>
      <c r="CK565" s="3">
        <v>45413</v>
      </c>
      <c r="CL565" s="1">
        <v>6.5705999999999998</v>
      </c>
      <c r="CM565" s="3">
        <v>45413</v>
      </c>
      <c r="CN565" s="1">
        <v>6.47</v>
      </c>
      <c r="CO565" s="3">
        <v>45405</v>
      </c>
      <c r="CP565" s="1">
        <v>6.2625000000000002</v>
      </c>
      <c r="CQ565" s="3">
        <v>45405</v>
      </c>
      <c r="CR565" s="1">
        <v>6.24</v>
      </c>
      <c r="CS565" s="3">
        <v>45405</v>
      </c>
      <c r="CT565" s="1">
        <v>6.2525000000000004</v>
      </c>
    </row>
    <row r="566" spans="31:98" x14ac:dyDescent="0.2">
      <c r="AE566" s="3">
        <v>45404</v>
      </c>
      <c r="AF566" s="1">
        <v>5.75</v>
      </c>
      <c r="AG566" s="3">
        <v>45377</v>
      </c>
      <c r="AH566" s="1">
        <v>5.86</v>
      </c>
      <c r="AI566" s="3">
        <v>45412</v>
      </c>
      <c r="AJ566" s="2">
        <v>5.8609999999999998</v>
      </c>
      <c r="AK566" s="3">
        <v>45412</v>
      </c>
      <c r="AL566" s="2">
        <v>5.835</v>
      </c>
      <c r="AM566" s="3">
        <v>45412</v>
      </c>
      <c r="AN566" s="2">
        <v>5.8075000000000001</v>
      </c>
      <c r="AO566" s="3">
        <v>45412</v>
      </c>
      <c r="AP566" s="2">
        <v>5.7175000000000002</v>
      </c>
      <c r="AQ566" s="3">
        <v>45412</v>
      </c>
      <c r="AR566" s="2">
        <v>5.5175000000000001</v>
      </c>
      <c r="AS566" s="3">
        <v>45412</v>
      </c>
      <c r="AT566" s="2">
        <v>5.3224999999999998</v>
      </c>
      <c r="AU566" s="3">
        <v>45412</v>
      </c>
      <c r="AV566" s="2">
        <v>5.1675000000000004</v>
      </c>
      <c r="AW566" s="3">
        <v>45412</v>
      </c>
      <c r="AX566" s="2">
        <v>5.0324999999999998</v>
      </c>
      <c r="AY566" s="3">
        <v>45412</v>
      </c>
      <c r="AZ566" s="2">
        <v>4.9225000000000003</v>
      </c>
      <c r="BB566" s="3">
        <v>45377</v>
      </c>
      <c r="BC566" s="1">
        <v>5.75</v>
      </c>
      <c r="BD566" s="3">
        <v>45378</v>
      </c>
      <c r="BE566" s="1">
        <v>5.61</v>
      </c>
      <c r="BF566" s="3">
        <v>45412</v>
      </c>
      <c r="BG566" s="1">
        <v>5.1749999999999998</v>
      </c>
      <c r="BH566" s="3">
        <v>45412</v>
      </c>
      <c r="BI566" s="1">
        <v>4.8730000000000002</v>
      </c>
      <c r="BJ566" s="3">
        <v>45412</v>
      </c>
      <c r="BK566" s="1">
        <v>4.75</v>
      </c>
      <c r="BL566" s="3">
        <v>45412</v>
      </c>
      <c r="BM566" s="1">
        <v>4.3150000000000004</v>
      </c>
      <c r="BN566" s="3">
        <v>45412</v>
      </c>
      <c r="BO566" s="1">
        <v>4.12</v>
      </c>
      <c r="BP566" s="3">
        <v>45412</v>
      </c>
      <c r="BQ566" s="1">
        <v>4.008</v>
      </c>
      <c r="BR566" s="3">
        <v>45412</v>
      </c>
      <c r="BS566" s="1">
        <v>3.9830000000000001</v>
      </c>
      <c r="BT566" s="3">
        <v>45412</v>
      </c>
      <c r="BU566" s="1">
        <v>3.948</v>
      </c>
      <c r="BV566" s="3">
        <v>45412</v>
      </c>
      <c r="BW566" s="1">
        <v>3.923</v>
      </c>
      <c r="BY566" s="3">
        <v>45379</v>
      </c>
      <c r="BZ566" s="1">
        <v>8.25</v>
      </c>
      <c r="CA566" s="3">
        <v>45370</v>
      </c>
      <c r="CB566" s="1">
        <v>8.0399999999999991</v>
      </c>
      <c r="CC566" s="3">
        <v>45412</v>
      </c>
      <c r="CD566" s="1">
        <v>7.17</v>
      </c>
      <c r="CE566" s="3">
        <v>45412</v>
      </c>
      <c r="CF566" s="1">
        <v>6.92</v>
      </c>
      <c r="CG566" s="3">
        <v>45412</v>
      </c>
      <c r="CH566" s="1">
        <v>6.83</v>
      </c>
      <c r="CI566" s="3">
        <v>45412</v>
      </c>
      <c r="CJ566" s="1">
        <v>6.67</v>
      </c>
      <c r="CK566" s="3">
        <v>45412</v>
      </c>
      <c r="CL566" s="1">
        <v>6.57</v>
      </c>
      <c r="CM566" s="3">
        <v>45412</v>
      </c>
      <c r="CN566" s="1">
        <v>6.47</v>
      </c>
      <c r="CO566" s="3">
        <v>45404</v>
      </c>
      <c r="CP566" s="1">
        <v>6.4175000000000004</v>
      </c>
      <c r="CQ566" s="3">
        <v>45404</v>
      </c>
      <c r="CR566" s="1">
        <v>6.3949999999999996</v>
      </c>
      <c r="CS566" s="3">
        <v>45404</v>
      </c>
      <c r="CT566" s="1">
        <v>6.3825000000000003</v>
      </c>
    </row>
    <row r="567" spans="31:98" x14ac:dyDescent="0.2">
      <c r="AE567" s="3">
        <v>45401</v>
      </c>
      <c r="AF567" s="1">
        <v>5.75</v>
      </c>
      <c r="AG567" s="3">
        <v>45376</v>
      </c>
      <c r="AH567" s="1">
        <v>5.86</v>
      </c>
      <c r="AI567" s="3">
        <v>45411</v>
      </c>
      <c r="AJ567" s="2">
        <v>5.8639999999999999</v>
      </c>
      <c r="AK567" s="3">
        <v>45411</v>
      </c>
      <c r="AL567" s="2">
        <v>5.8449999999999998</v>
      </c>
      <c r="AM567" s="3">
        <v>45411</v>
      </c>
      <c r="AN567" s="2">
        <v>5.82</v>
      </c>
      <c r="AO567" s="3">
        <v>45411</v>
      </c>
      <c r="AP567" s="2">
        <v>5.71</v>
      </c>
      <c r="AQ567" s="3">
        <v>45411</v>
      </c>
      <c r="AR567" s="2">
        <v>5.53</v>
      </c>
      <c r="AS567" s="3">
        <v>45411</v>
      </c>
      <c r="AT567" s="2">
        <v>5.3250000000000002</v>
      </c>
      <c r="AU567" s="3">
        <v>45411</v>
      </c>
      <c r="AV567" s="2">
        <v>5.16</v>
      </c>
      <c r="AW567" s="3">
        <v>45411</v>
      </c>
      <c r="AX567" s="2">
        <v>5.0274999999999999</v>
      </c>
      <c r="AY567" s="3">
        <v>45411</v>
      </c>
      <c r="AZ567" s="2">
        <v>4.915</v>
      </c>
      <c r="BB567" s="3">
        <v>45376</v>
      </c>
      <c r="BC567" s="1">
        <v>5.75</v>
      </c>
      <c r="BD567" s="3">
        <v>45377</v>
      </c>
      <c r="BE567" s="1">
        <v>5.59</v>
      </c>
      <c r="BF567" s="3">
        <v>45411</v>
      </c>
      <c r="BG567" s="1">
        <v>5.165</v>
      </c>
      <c r="BH567" s="3">
        <v>45411</v>
      </c>
      <c r="BI567" s="1">
        <v>4.8499999999999996</v>
      </c>
      <c r="BJ567" s="3">
        <v>45411</v>
      </c>
      <c r="BK567" s="1">
        <v>4.74</v>
      </c>
      <c r="BL567" s="3">
        <v>45411</v>
      </c>
      <c r="BM567" s="1">
        <v>4.28</v>
      </c>
      <c r="BN567" s="3">
        <v>45411</v>
      </c>
      <c r="BO567" s="1">
        <v>4.08</v>
      </c>
      <c r="BP567" s="3">
        <v>45411</v>
      </c>
      <c r="BQ567" s="1">
        <v>3.9380000000000002</v>
      </c>
      <c r="BR567" s="3">
        <v>45411</v>
      </c>
      <c r="BS567" s="1">
        <v>3.895</v>
      </c>
      <c r="BT567" s="3">
        <v>45411</v>
      </c>
      <c r="BU567" s="1">
        <v>3.8530000000000002</v>
      </c>
      <c r="BV567" s="3">
        <v>45411</v>
      </c>
      <c r="BW567" s="1">
        <v>3.8180000000000001</v>
      </c>
      <c r="BY567" s="3">
        <v>45378</v>
      </c>
      <c r="BZ567" s="1">
        <v>8.25</v>
      </c>
      <c r="CA567" s="3">
        <v>45369</v>
      </c>
      <c r="CB567" s="1">
        <v>8.0500000000000007</v>
      </c>
      <c r="CC567" s="3">
        <v>45411</v>
      </c>
      <c r="CD567" s="1">
        <v>7.17</v>
      </c>
      <c r="CE567" s="3">
        <v>45411</v>
      </c>
      <c r="CF567" s="1">
        <v>6.93</v>
      </c>
      <c r="CG567" s="3">
        <v>45411</v>
      </c>
      <c r="CH567" s="1">
        <v>6.84</v>
      </c>
      <c r="CI567" s="3">
        <v>45411</v>
      </c>
      <c r="CJ567" s="1">
        <v>6.68</v>
      </c>
      <c r="CK567" s="3">
        <v>45411</v>
      </c>
      <c r="CL567" s="1">
        <v>6.58</v>
      </c>
      <c r="CM567" s="3">
        <v>45411</v>
      </c>
      <c r="CN567" s="1">
        <v>6.47</v>
      </c>
      <c r="CO567" s="3">
        <v>45401</v>
      </c>
      <c r="CP567" s="1">
        <v>6.4775</v>
      </c>
      <c r="CQ567" s="3">
        <v>45401</v>
      </c>
      <c r="CR567" s="1">
        <v>6.46</v>
      </c>
      <c r="CS567" s="3">
        <v>45401</v>
      </c>
      <c r="CT567" s="1">
        <v>6.4524999999999997</v>
      </c>
    </row>
    <row r="568" spans="31:98" x14ac:dyDescent="0.2">
      <c r="AE568" s="3">
        <v>45400</v>
      </c>
      <c r="AF568" s="1">
        <v>5.75</v>
      </c>
      <c r="AG568" s="3">
        <v>45373</v>
      </c>
      <c r="AH568" s="1">
        <v>5.86</v>
      </c>
      <c r="AI568" s="3">
        <v>45408</v>
      </c>
      <c r="AJ568" s="2">
        <v>5.8659999999999997</v>
      </c>
      <c r="AK568" s="3">
        <v>45408</v>
      </c>
      <c r="AL568" s="2">
        <v>5.85</v>
      </c>
      <c r="AM568" s="3">
        <v>45408</v>
      </c>
      <c r="AN568" s="2">
        <v>5.8250000000000002</v>
      </c>
      <c r="AO568" s="3">
        <v>45408</v>
      </c>
      <c r="AP568" s="2">
        <v>5.72</v>
      </c>
      <c r="AQ568" s="3">
        <v>45408</v>
      </c>
      <c r="AR568" s="2">
        <v>5.55</v>
      </c>
      <c r="AS568" s="3">
        <v>45408</v>
      </c>
      <c r="AT568" s="2">
        <v>5.35</v>
      </c>
      <c r="AU568" s="3">
        <v>45408</v>
      </c>
      <c r="AV568" s="2">
        <v>5.19</v>
      </c>
      <c r="AW568" s="3">
        <v>45408</v>
      </c>
      <c r="AX568" s="2">
        <v>5.0549999999999997</v>
      </c>
      <c r="AY568" s="3">
        <v>45408</v>
      </c>
      <c r="AZ568" s="2">
        <v>4.9400000000000004</v>
      </c>
      <c r="BB568" s="3">
        <v>45373</v>
      </c>
      <c r="BC568" s="1">
        <v>5.75</v>
      </c>
      <c r="BD568" s="3">
        <v>45376</v>
      </c>
      <c r="BE568" s="1">
        <v>5.59</v>
      </c>
      <c r="BF568" s="3">
        <v>45408</v>
      </c>
      <c r="BG568" s="1">
        <v>5.1749999999999998</v>
      </c>
      <c r="BH568" s="3">
        <v>45408</v>
      </c>
      <c r="BI568" s="1">
        <v>5.09</v>
      </c>
      <c r="BJ568" s="3">
        <v>45408</v>
      </c>
      <c r="BK568" s="1">
        <v>4.78</v>
      </c>
      <c r="BL568" s="3">
        <v>45408</v>
      </c>
      <c r="BM568" s="1">
        <v>4.335</v>
      </c>
      <c r="BN568" s="3">
        <v>45408</v>
      </c>
      <c r="BO568" s="1">
        <v>4.1399999999999997</v>
      </c>
      <c r="BP568" s="3">
        <v>45408</v>
      </c>
      <c r="BQ568" s="1">
        <v>4.0049999999999999</v>
      </c>
      <c r="BR568" s="3">
        <v>45408</v>
      </c>
      <c r="BS568" s="1">
        <v>3.9649999999999999</v>
      </c>
      <c r="BT568" s="3">
        <v>45408</v>
      </c>
      <c r="BU568" s="1">
        <v>3.93</v>
      </c>
      <c r="BV568" s="3">
        <v>45408</v>
      </c>
      <c r="BW568" s="1">
        <v>3.9</v>
      </c>
      <c r="BY568" s="3">
        <v>45377</v>
      </c>
      <c r="BZ568" s="1">
        <v>9</v>
      </c>
      <c r="CA568" s="3">
        <v>45365</v>
      </c>
      <c r="CB568" s="1">
        <v>8.07</v>
      </c>
      <c r="CC568" s="3">
        <v>45408</v>
      </c>
      <c r="CD568" s="1">
        <v>7.2</v>
      </c>
      <c r="CE568" s="3">
        <v>45408</v>
      </c>
      <c r="CF568" s="1">
        <v>6.96</v>
      </c>
      <c r="CG568" s="3">
        <v>45408</v>
      </c>
      <c r="CH568" s="1">
        <v>6.9</v>
      </c>
      <c r="CI568" s="3">
        <v>45408</v>
      </c>
      <c r="CJ568" s="1">
        <v>6.74</v>
      </c>
      <c r="CK568" s="3">
        <v>45408</v>
      </c>
      <c r="CL568" s="1">
        <v>6.64</v>
      </c>
      <c r="CM568" s="3">
        <v>45408</v>
      </c>
      <c r="CN568" s="1">
        <v>6.585</v>
      </c>
      <c r="CO568" s="3">
        <v>45400</v>
      </c>
      <c r="CP568" s="1">
        <v>6.4625000000000004</v>
      </c>
      <c r="CQ568" s="3">
        <v>45400</v>
      </c>
      <c r="CR568" s="1">
        <v>6.44</v>
      </c>
      <c r="CS568" s="3">
        <v>45400</v>
      </c>
      <c r="CT568" s="1">
        <v>6.4275000000000002</v>
      </c>
    </row>
    <row r="569" spans="31:98" x14ac:dyDescent="0.2">
      <c r="AE569" s="3">
        <v>45399</v>
      </c>
      <c r="AF569" s="1">
        <v>5.75</v>
      </c>
      <c r="AG569" s="3">
        <v>45372</v>
      </c>
      <c r="AH569" s="1">
        <v>5.86</v>
      </c>
      <c r="AI569" s="3">
        <v>45407</v>
      </c>
      <c r="AJ569" s="2">
        <v>5.8665000000000003</v>
      </c>
      <c r="AK569" s="3">
        <v>45407</v>
      </c>
      <c r="AL569" s="2">
        <v>5.8550000000000004</v>
      </c>
      <c r="AM569" s="3">
        <v>45407</v>
      </c>
      <c r="AN569" s="2">
        <v>5.835</v>
      </c>
      <c r="AO569" s="3">
        <v>45407</v>
      </c>
      <c r="AP569" s="2">
        <v>5.7424999999999997</v>
      </c>
      <c r="AQ569" s="3">
        <v>45407</v>
      </c>
      <c r="AR569" s="2">
        <v>5.5774999999999997</v>
      </c>
      <c r="AS569" s="3">
        <v>45407</v>
      </c>
      <c r="AT569" s="2">
        <v>5.3724999999999996</v>
      </c>
      <c r="AU569" s="3">
        <v>45407</v>
      </c>
      <c r="AV569" s="2">
        <v>5.2074999999999996</v>
      </c>
      <c r="AW569" s="3">
        <v>45407</v>
      </c>
      <c r="AX569" s="2">
        <v>5.0674999999999999</v>
      </c>
      <c r="AY569" s="3">
        <v>45407</v>
      </c>
      <c r="AZ569" s="2">
        <v>4.9574999999999996</v>
      </c>
      <c r="BB569" s="3">
        <v>45372</v>
      </c>
      <c r="BC569" s="1">
        <v>5.75</v>
      </c>
      <c r="BD569" s="3">
        <v>45373</v>
      </c>
      <c r="BE569" s="1">
        <v>5.59</v>
      </c>
      <c r="BF569" s="3">
        <v>45407</v>
      </c>
      <c r="BG569" s="1">
        <v>5.19</v>
      </c>
      <c r="BH569" s="3">
        <v>45407</v>
      </c>
      <c r="BI569" s="1">
        <v>5.1079999999999997</v>
      </c>
      <c r="BJ569" s="3">
        <v>45407</v>
      </c>
      <c r="BK569" s="1">
        <v>4.8230000000000004</v>
      </c>
      <c r="BL569" s="3">
        <v>45407</v>
      </c>
      <c r="BM569" s="1">
        <v>4.3879999999999999</v>
      </c>
      <c r="BN569" s="3">
        <v>45407</v>
      </c>
      <c r="BO569" s="1">
        <v>4.2030000000000003</v>
      </c>
      <c r="BP569" s="3">
        <v>45407</v>
      </c>
      <c r="BQ569" s="1">
        <v>4.08</v>
      </c>
      <c r="BR569" s="3">
        <v>45407</v>
      </c>
      <c r="BS569" s="1">
        <v>4.04</v>
      </c>
      <c r="BT569" s="3">
        <v>45407</v>
      </c>
      <c r="BU569" s="1">
        <v>4.01</v>
      </c>
      <c r="BV569" s="3">
        <v>45407</v>
      </c>
      <c r="BW569" s="1">
        <v>3.98</v>
      </c>
      <c r="BY569" s="3">
        <v>45376</v>
      </c>
      <c r="BZ569" s="1">
        <v>9</v>
      </c>
      <c r="CA569" s="3">
        <v>45364</v>
      </c>
      <c r="CB569" s="1">
        <v>8.07</v>
      </c>
      <c r="CC569" s="3">
        <v>45407</v>
      </c>
      <c r="CD569" s="1">
        <v>7.21</v>
      </c>
      <c r="CE569" s="3">
        <v>45407</v>
      </c>
      <c r="CF569" s="1">
        <v>6.96</v>
      </c>
      <c r="CG569" s="3">
        <v>45407</v>
      </c>
      <c r="CH569" s="1">
        <v>6.88</v>
      </c>
      <c r="CI569" s="3">
        <v>45407</v>
      </c>
      <c r="CJ569" s="1">
        <v>6.71</v>
      </c>
      <c r="CK569" s="3">
        <v>45407</v>
      </c>
      <c r="CL569" s="1">
        <v>6.61</v>
      </c>
      <c r="CM569" s="3">
        <v>45407</v>
      </c>
      <c r="CN569" s="1">
        <v>6.52</v>
      </c>
      <c r="CO569" s="3">
        <v>45399</v>
      </c>
      <c r="CP569" s="1">
        <v>6.5125000000000002</v>
      </c>
      <c r="CQ569" s="3">
        <v>45399</v>
      </c>
      <c r="CR569" s="1">
        <v>6.49</v>
      </c>
      <c r="CS569" s="3">
        <v>45399</v>
      </c>
      <c r="CT569" s="1">
        <v>6.4775</v>
      </c>
    </row>
    <row r="570" spans="31:98" x14ac:dyDescent="0.2">
      <c r="AE570" s="3">
        <v>45398</v>
      </c>
      <c r="AF570" s="1">
        <v>5.75</v>
      </c>
      <c r="AG570" s="3">
        <v>45371</v>
      </c>
      <c r="AH570" s="1">
        <v>5.86</v>
      </c>
      <c r="AI570" s="3">
        <v>45406</v>
      </c>
      <c r="AJ570" s="2">
        <v>5.8559999999999999</v>
      </c>
      <c r="AK570" s="3">
        <v>45406</v>
      </c>
      <c r="AL570" s="2">
        <v>5.835</v>
      </c>
      <c r="AM570" s="3">
        <v>45406</v>
      </c>
      <c r="AN570" s="2">
        <v>5.81</v>
      </c>
      <c r="AO570" s="3">
        <v>45406</v>
      </c>
      <c r="AP570" s="2">
        <v>5.68</v>
      </c>
      <c r="AQ570" s="3">
        <v>45406</v>
      </c>
      <c r="AR570" s="2">
        <v>5.4675000000000002</v>
      </c>
      <c r="AS570" s="3">
        <v>45406</v>
      </c>
      <c r="AT570" s="2">
        <v>5.2374999999999998</v>
      </c>
      <c r="AU570" s="3">
        <v>45406</v>
      </c>
      <c r="AV570" s="2">
        <v>5.0575000000000001</v>
      </c>
      <c r="AW570" s="3">
        <v>45406</v>
      </c>
      <c r="AX570" s="2">
        <v>4.9074999999999998</v>
      </c>
      <c r="AY570" s="3">
        <v>45406</v>
      </c>
      <c r="AZ570" s="2">
        <v>4.8075000000000001</v>
      </c>
      <c r="BB570" s="3">
        <v>45371</v>
      </c>
      <c r="BC570" s="1">
        <v>6.25</v>
      </c>
      <c r="BD570" s="3">
        <v>45372</v>
      </c>
      <c r="BE570" s="1">
        <v>5.61</v>
      </c>
      <c r="BF570" s="3">
        <v>45406</v>
      </c>
      <c r="BG570" s="1">
        <v>5.14</v>
      </c>
      <c r="BH570" s="3">
        <v>45406</v>
      </c>
      <c r="BI570" s="1">
        <v>5.0449999999999999</v>
      </c>
      <c r="BJ570" s="3">
        <v>45406</v>
      </c>
      <c r="BK570" s="1">
        <v>4.78</v>
      </c>
      <c r="BL570" s="3">
        <v>45406</v>
      </c>
      <c r="BM570" s="1">
        <v>4.3029999999999999</v>
      </c>
      <c r="BN570" s="3">
        <v>45406</v>
      </c>
      <c r="BO570" s="1">
        <v>4.12</v>
      </c>
      <c r="BP570" s="3">
        <v>45406</v>
      </c>
      <c r="BQ570" s="1">
        <v>4</v>
      </c>
      <c r="BR570" s="3">
        <v>45406</v>
      </c>
      <c r="BS570" s="1">
        <v>3.96</v>
      </c>
      <c r="BT570" s="3">
        <v>45406</v>
      </c>
      <c r="BU570" s="1">
        <v>3.92</v>
      </c>
      <c r="BV570" s="3">
        <v>45406</v>
      </c>
      <c r="BW570" s="1">
        <v>3.89</v>
      </c>
      <c r="BY570" s="3">
        <v>45373</v>
      </c>
      <c r="BZ570" s="1">
        <v>9</v>
      </c>
      <c r="CA570" s="3">
        <v>45363</v>
      </c>
      <c r="CB570" s="1">
        <v>8.08</v>
      </c>
      <c r="CC570" s="3">
        <v>45406</v>
      </c>
      <c r="CD570" s="1">
        <v>7.2</v>
      </c>
      <c r="CE570" s="3">
        <v>45406</v>
      </c>
      <c r="CF570" s="1">
        <v>6.94</v>
      </c>
      <c r="CG570" s="3">
        <v>45406</v>
      </c>
      <c r="CH570" s="1">
        <v>6.82</v>
      </c>
      <c r="CI570" s="3">
        <v>45406</v>
      </c>
      <c r="CJ570" s="1">
        <v>6.65</v>
      </c>
      <c r="CK570" s="3">
        <v>45406</v>
      </c>
      <c r="CL570" s="1">
        <v>6.55</v>
      </c>
      <c r="CM570" s="3">
        <v>45406</v>
      </c>
      <c r="CN570" s="1">
        <v>6.3250000000000002</v>
      </c>
      <c r="CO570" s="3">
        <v>45398</v>
      </c>
      <c r="CP570" s="1">
        <v>6.5724999999999998</v>
      </c>
      <c r="CQ570" s="3">
        <v>45398</v>
      </c>
      <c r="CR570" s="1">
        <v>6.55</v>
      </c>
      <c r="CS570" s="3">
        <v>45398</v>
      </c>
      <c r="CT570" s="1">
        <v>6.5425000000000004</v>
      </c>
    </row>
    <row r="571" spans="31:98" x14ac:dyDescent="0.2">
      <c r="AE571" s="3">
        <v>45397</v>
      </c>
      <c r="AF571" s="1">
        <v>5.75</v>
      </c>
      <c r="AG571" s="3">
        <v>45370</v>
      </c>
      <c r="AH571" s="1">
        <v>5.86</v>
      </c>
      <c r="AI571" s="3">
        <v>45405</v>
      </c>
      <c r="AJ571" s="2">
        <v>5.8544999999999998</v>
      </c>
      <c r="AK571" s="3">
        <v>45405</v>
      </c>
      <c r="AL571" s="2">
        <v>5.835</v>
      </c>
      <c r="AM571" s="3">
        <v>45405</v>
      </c>
      <c r="AN571" s="2">
        <v>5.8049999999999997</v>
      </c>
      <c r="AO571" s="3">
        <v>45405</v>
      </c>
      <c r="AP571" s="2">
        <v>5.6449999999999996</v>
      </c>
      <c r="AQ571" s="3">
        <v>45405</v>
      </c>
      <c r="AR571" s="2">
        <v>5.415</v>
      </c>
      <c r="AS571" s="3">
        <v>45405</v>
      </c>
      <c r="AT571" s="2">
        <v>5.18</v>
      </c>
      <c r="AU571" s="3">
        <v>45405</v>
      </c>
      <c r="AV571" s="2">
        <v>5.0149999999999997</v>
      </c>
      <c r="AW571" s="3">
        <v>45405</v>
      </c>
      <c r="AX571" s="2">
        <v>4.8825000000000003</v>
      </c>
      <c r="AY571" s="3">
        <v>45405</v>
      </c>
      <c r="AZ571" s="2">
        <v>4.79</v>
      </c>
      <c r="BB571" s="3">
        <v>45370</v>
      </c>
      <c r="BC571" s="1">
        <v>6.25</v>
      </c>
      <c r="BD571" s="3">
        <v>45371</v>
      </c>
      <c r="BE571" s="1">
        <v>5.86</v>
      </c>
      <c r="BF571" s="3">
        <v>45405</v>
      </c>
      <c r="BG571" s="1">
        <v>5.09</v>
      </c>
      <c r="BH571" s="3">
        <v>45405</v>
      </c>
      <c r="BI571" s="1">
        <v>4.99</v>
      </c>
      <c r="BJ571" s="3">
        <v>45405</v>
      </c>
      <c r="BK571" s="1">
        <v>4.6900000000000004</v>
      </c>
      <c r="BL571" s="3">
        <v>45405</v>
      </c>
      <c r="BM571" s="1">
        <v>4.1749999999999998</v>
      </c>
      <c r="BN571" s="3">
        <v>45405</v>
      </c>
      <c r="BO571" s="1">
        <v>3.99</v>
      </c>
      <c r="BP571" s="3">
        <v>45405</v>
      </c>
      <c r="BQ571" s="1">
        <v>3.81</v>
      </c>
      <c r="BR571" s="3">
        <v>45405</v>
      </c>
      <c r="BS571" s="1">
        <v>3.7549999999999999</v>
      </c>
      <c r="BT571" s="3">
        <v>45405</v>
      </c>
      <c r="BU571" s="1">
        <v>3.718</v>
      </c>
      <c r="BV571" s="3">
        <v>45405</v>
      </c>
      <c r="BW571" s="1">
        <v>3.6930000000000001</v>
      </c>
      <c r="BY571" s="3">
        <v>45372</v>
      </c>
      <c r="BZ571" s="1">
        <v>9</v>
      </c>
      <c r="CA571" s="3">
        <v>45362</v>
      </c>
      <c r="CB571" s="1">
        <v>8.1</v>
      </c>
      <c r="CC571" s="3">
        <v>45405</v>
      </c>
      <c r="CD571" s="1">
        <v>7.12</v>
      </c>
      <c r="CE571" s="3">
        <v>45405</v>
      </c>
      <c r="CF571" s="1">
        <v>6.86</v>
      </c>
      <c r="CG571" s="3">
        <v>45405</v>
      </c>
      <c r="CH571" s="1">
        <v>6.8</v>
      </c>
      <c r="CI571" s="3">
        <v>45405</v>
      </c>
      <c r="CJ571" s="1">
        <v>6.62</v>
      </c>
      <c r="CK571" s="3">
        <v>45405</v>
      </c>
      <c r="CL571" s="1">
        <v>6.51</v>
      </c>
      <c r="CM571" s="3">
        <v>45405</v>
      </c>
      <c r="CN571" s="1">
        <v>6.34</v>
      </c>
      <c r="CO571" s="3">
        <v>45397</v>
      </c>
      <c r="CP571" s="1">
        <v>6.3075000000000001</v>
      </c>
      <c r="CQ571" s="3">
        <v>45397</v>
      </c>
      <c r="CR571" s="1">
        <v>6.28</v>
      </c>
      <c r="CS571" s="3">
        <v>45397</v>
      </c>
      <c r="CT571" s="1">
        <v>6.3174999999999999</v>
      </c>
    </row>
    <row r="572" spans="31:98" x14ac:dyDescent="0.2">
      <c r="AE572" s="3">
        <v>45394</v>
      </c>
      <c r="AF572" s="1">
        <v>5.75</v>
      </c>
      <c r="AG572" s="3">
        <v>45369</v>
      </c>
      <c r="AH572" s="1">
        <v>5.86</v>
      </c>
      <c r="AI572" s="3">
        <v>45404</v>
      </c>
      <c r="AJ572" s="2">
        <v>5.8475000000000001</v>
      </c>
      <c r="AK572" s="3">
        <v>45404</v>
      </c>
      <c r="AL572" s="2">
        <v>5.8274999999999997</v>
      </c>
      <c r="AM572" s="3">
        <v>45404</v>
      </c>
      <c r="AN572" s="2">
        <v>5.7975000000000003</v>
      </c>
      <c r="AO572" s="3">
        <v>45404</v>
      </c>
      <c r="AP572" s="2">
        <v>5.6275000000000004</v>
      </c>
      <c r="AQ572" s="3">
        <v>45404</v>
      </c>
      <c r="AR572" s="2">
        <v>5.3925000000000001</v>
      </c>
      <c r="AS572" s="3">
        <v>45404</v>
      </c>
      <c r="AT572" s="2">
        <v>5.1725000000000003</v>
      </c>
      <c r="AU572" s="3">
        <v>45404</v>
      </c>
      <c r="AV572" s="2">
        <v>5.0075000000000003</v>
      </c>
      <c r="AW572" s="3">
        <v>45404</v>
      </c>
      <c r="AX572" s="2">
        <v>4.8825000000000003</v>
      </c>
      <c r="AY572" s="3">
        <v>45404</v>
      </c>
      <c r="AZ572" s="2">
        <v>4.7874999999999996</v>
      </c>
      <c r="BB572" s="3">
        <v>45369</v>
      </c>
      <c r="BC572" s="1">
        <v>6.25</v>
      </c>
      <c r="BD572" s="3">
        <v>45370</v>
      </c>
      <c r="BE572" s="1">
        <v>5.87</v>
      </c>
      <c r="BF572" s="3">
        <v>45404</v>
      </c>
      <c r="BG572" s="1">
        <v>5.0650000000000004</v>
      </c>
      <c r="BH572" s="3">
        <v>45404</v>
      </c>
      <c r="BI572" s="1">
        <v>4.9429999999999996</v>
      </c>
      <c r="BJ572" s="3">
        <v>45404</v>
      </c>
      <c r="BK572" s="1">
        <v>4.6349999999999998</v>
      </c>
      <c r="BL572" s="3">
        <v>45404</v>
      </c>
      <c r="BM572" s="1">
        <v>4.0880000000000001</v>
      </c>
      <c r="BN572" s="3">
        <v>45404</v>
      </c>
      <c r="BO572" s="1">
        <v>3.883</v>
      </c>
      <c r="BP572" s="3">
        <v>45404</v>
      </c>
      <c r="BQ572" s="1">
        <v>3.718</v>
      </c>
      <c r="BR572" s="3">
        <v>45404</v>
      </c>
      <c r="BS572" s="1">
        <v>3.6779999999999999</v>
      </c>
      <c r="BT572" s="3">
        <v>45404</v>
      </c>
      <c r="BU572" s="1">
        <v>3.6480000000000001</v>
      </c>
      <c r="BV572" s="3">
        <v>45404</v>
      </c>
      <c r="BW572" s="1">
        <v>3.6280000000000001</v>
      </c>
      <c r="BY572" s="3">
        <v>45370</v>
      </c>
      <c r="BZ572" s="1">
        <v>9</v>
      </c>
      <c r="CA572" s="3">
        <v>45359</v>
      </c>
      <c r="CB572" s="1">
        <v>8.1199999999999992</v>
      </c>
      <c r="CC572" s="3">
        <v>45404</v>
      </c>
      <c r="CD572" s="1">
        <v>7.25</v>
      </c>
      <c r="CE572" s="3">
        <v>45404</v>
      </c>
      <c r="CF572" s="1">
        <v>7.03</v>
      </c>
      <c r="CG572" s="3">
        <v>45404</v>
      </c>
      <c r="CH572" s="1">
        <v>6.95</v>
      </c>
      <c r="CI572" s="3">
        <v>45404</v>
      </c>
      <c r="CJ572" s="1">
        <v>6.77</v>
      </c>
      <c r="CK572" s="3">
        <v>45404</v>
      </c>
      <c r="CL572" s="1">
        <v>6.66</v>
      </c>
      <c r="CM572" s="3">
        <v>45404</v>
      </c>
      <c r="CN572" s="1">
        <v>6.5049999999999999</v>
      </c>
      <c r="CO572" s="3">
        <v>45394</v>
      </c>
      <c r="CP572" s="1">
        <v>6.1275000000000004</v>
      </c>
      <c r="CQ572" s="3">
        <v>45394</v>
      </c>
      <c r="CR572" s="1">
        <v>6.09</v>
      </c>
      <c r="CS572" s="3">
        <v>45394</v>
      </c>
      <c r="CT572" s="1">
        <v>6.1375000000000002</v>
      </c>
    </row>
    <row r="573" spans="31:98" x14ac:dyDescent="0.2">
      <c r="AE573" s="3">
        <v>45393</v>
      </c>
      <c r="AF573" s="1">
        <v>5.75</v>
      </c>
      <c r="AG573" s="3">
        <v>45366</v>
      </c>
      <c r="AH573" s="1">
        <v>5.85</v>
      </c>
      <c r="AI573" s="3">
        <v>45401</v>
      </c>
      <c r="AJ573" s="2">
        <v>5.8475000000000001</v>
      </c>
      <c r="AK573" s="3">
        <v>45401</v>
      </c>
      <c r="AL573" s="2">
        <v>5.84</v>
      </c>
      <c r="AM573" s="3">
        <v>45401</v>
      </c>
      <c r="AN573" s="2">
        <v>5.8174999999999999</v>
      </c>
      <c r="AO573" s="3">
        <v>45401</v>
      </c>
      <c r="AP573" s="2">
        <v>5.69</v>
      </c>
      <c r="AQ573" s="3">
        <v>45401</v>
      </c>
      <c r="AR573" s="2">
        <v>5.4749999999999996</v>
      </c>
      <c r="AS573" s="3">
        <v>45401</v>
      </c>
      <c r="AT573" s="2">
        <v>5.2750000000000004</v>
      </c>
      <c r="AU573" s="3">
        <v>45401</v>
      </c>
      <c r="AV573" s="2">
        <v>5.1150000000000002</v>
      </c>
      <c r="AW573" s="3">
        <v>45401</v>
      </c>
      <c r="AX573" s="2">
        <v>4.9950000000000001</v>
      </c>
      <c r="AY573" s="3">
        <v>45401</v>
      </c>
      <c r="AZ573" s="2">
        <v>4.9000000000000004</v>
      </c>
      <c r="BB573" s="3">
        <v>45366</v>
      </c>
      <c r="BC573" s="1">
        <v>6.25</v>
      </c>
      <c r="BD573" s="3">
        <v>45369</v>
      </c>
      <c r="BE573" s="1">
        <v>5.88</v>
      </c>
      <c r="BF573" s="3">
        <v>45401</v>
      </c>
      <c r="BG573" s="1">
        <v>5.0999999999999996</v>
      </c>
      <c r="BH573" s="3">
        <v>45401</v>
      </c>
      <c r="BI573" s="1">
        <v>4.9850000000000003</v>
      </c>
      <c r="BJ573" s="3">
        <v>45401</v>
      </c>
      <c r="BK573" s="1">
        <v>4.6749999999999998</v>
      </c>
      <c r="BL573" s="3">
        <v>45401</v>
      </c>
      <c r="BM573" s="1">
        <v>4.1500000000000004</v>
      </c>
      <c r="BN573" s="3">
        <v>45401</v>
      </c>
      <c r="BO573" s="1">
        <v>3.97</v>
      </c>
      <c r="BP573" s="3">
        <v>45401</v>
      </c>
      <c r="BQ573" s="1">
        <v>3.8149999999999999</v>
      </c>
      <c r="BR573" s="3">
        <v>45401</v>
      </c>
      <c r="BS573" s="1">
        <v>3.7749999999999999</v>
      </c>
      <c r="BT573" s="3">
        <v>45401</v>
      </c>
      <c r="BU573" s="1">
        <v>3.75</v>
      </c>
      <c r="BV573" s="3">
        <v>45401</v>
      </c>
      <c r="BW573" s="1">
        <v>3.7330000000000001</v>
      </c>
      <c r="BY573" s="3">
        <v>45369</v>
      </c>
      <c r="BZ573" s="1">
        <v>9</v>
      </c>
      <c r="CA573" s="3">
        <v>45358</v>
      </c>
      <c r="CB573" s="1">
        <v>8.15</v>
      </c>
      <c r="CC573" s="3">
        <v>45401</v>
      </c>
      <c r="CD573" s="1">
        <v>7.39</v>
      </c>
      <c r="CE573" s="3">
        <v>45401</v>
      </c>
      <c r="CF573" s="1">
        <v>7.04</v>
      </c>
      <c r="CG573" s="3">
        <v>45401</v>
      </c>
      <c r="CH573" s="1">
        <v>6.99</v>
      </c>
      <c r="CI573" s="3">
        <v>45401</v>
      </c>
      <c r="CJ573" s="1">
        <v>6.81</v>
      </c>
      <c r="CK573" s="3">
        <v>45401</v>
      </c>
      <c r="CL573" s="1">
        <v>6.7</v>
      </c>
      <c r="CM573" s="3">
        <v>45401</v>
      </c>
      <c r="CN573" s="1">
        <v>6.56</v>
      </c>
      <c r="CO573" s="3">
        <v>45393</v>
      </c>
      <c r="CP573" s="1">
        <v>6.1124999999999998</v>
      </c>
      <c r="CQ573" s="3">
        <v>45393</v>
      </c>
      <c r="CR573" s="1">
        <v>6.07</v>
      </c>
      <c r="CS573" s="3">
        <v>45393</v>
      </c>
      <c r="CT573" s="1">
        <v>6.1174999999999997</v>
      </c>
    </row>
    <row r="574" spans="31:98" x14ac:dyDescent="0.2">
      <c r="AE574" s="3">
        <v>45392</v>
      </c>
      <c r="AF574" s="1">
        <v>5.75</v>
      </c>
      <c r="AG574" s="3">
        <v>45365</v>
      </c>
      <c r="AH574" s="1">
        <v>5.86</v>
      </c>
      <c r="AI574" s="3">
        <v>45400</v>
      </c>
      <c r="AJ574" s="2">
        <v>5.8555000000000001</v>
      </c>
      <c r="AK574" s="3">
        <v>45400</v>
      </c>
      <c r="AL574" s="2">
        <v>5.84</v>
      </c>
      <c r="AM574" s="3">
        <v>45400</v>
      </c>
      <c r="AN574" s="2">
        <v>5.82</v>
      </c>
      <c r="AO574" s="3">
        <v>45400</v>
      </c>
      <c r="AP574" s="2">
        <v>5.6924999999999999</v>
      </c>
      <c r="AQ574" s="3">
        <v>45400</v>
      </c>
      <c r="AR574" s="2">
        <v>5.4524999999999997</v>
      </c>
      <c r="AS574" s="3">
        <v>45400</v>
      </c>
      <c r="AT574" s="2">
        <v>5.23</v>
      </c>
      <c r="AU574" s="3">
        <v>45400</v>
      </c>
      <c r="AV574" s="2">
        <v>5.0525000000000002</v>
      </c>
      <c r="AW574" s="3">
        <v>45400</v>
      </c>
      <c r="AX574" s="2">
        <v>4.9175000000000004</v>
      </c>
      <c r="AY574" s="3">
        <v>45400</v>
      </c>
      <c r="AZ574" s="2">
        <v>4.8274999999999997</v>
      </c>
      <c r="BB574" s="3">
        <v>45365</v>
      </c>
      <c r="BC574" s="1">
        <v>6.25</v>
      </c>
      <c r="BD574" s="3">
        <v>45366</v>
      </c>
      <c r="BE574" s="1">
        <v>5.89</v>
      </c>
      <c r="BF574" s="3">
        <v>45400</v>
      </c>
      <c r="BG574" s="1">
        <v>5.0999999999999996</v>
      </c>
      <c r="BH574" s="3">
        <v>45400</v>
      </c>
      <c r="BI574" s="1">
        <v>4.9850000000000003</v>
      </c>
      <c r="BJ574" s="3">
        <v>45400</v>
      </c>
      <c r="BK574" s="1">
        <v>4.6749999999999998</v>
      </c>
      <c r="BL574" s="3">
        <v>45400</v>
      </c>
      <c r="BM574" s="1">
        <v>4.1399999999999997</v>
      </c>
      <c r="BN574" s="3">
        <v>45400</v>
      </c>
      <c r="BO574" s="1">
        <v>3.9529999999999998</v>
      </c>
      <c r="BP574" s="3">
        <v>45400</v>
      </c>
      <c r="BQ574" s="1">
        <v>3.7949999999999999</v>
      </c>
      <c r="BR574" s="3">
        <v>45400</v>
      </c>
      <c r="BS574" s="1">
        <v>3.7679999999999998</v>
      </c>
      <c r="BT574" s="3">
        <v>45400</v>
      </c>
      <c r="BU574" s="1">
        <v>3.7429999999999999</v>
      </c>
      <c r="BV574" s="3">
        <v>45400</v>
      </c>
      <c r="BW574" s="1">
        <v>3.718</v>
      </c>
      <c r="BY574" s="3">
        <v>45366</v>
      </c>
      <c r="BZ574" s="1">
        <v>9</v>
      </c>
      <c r="CA574" s="3">
        <v>45357</v>
      </c>
      <c r="CB574" s="1">
        <v>8.17</v>
      </c>
      <c r="CC574" s="3">
        <v>45400</v>
      </c>
      <c r="CD574" s="1">
        <v>7.3890000000000002</v>
      </c>
      <c r="CE574" s="3">
        <v>45400</v>
      </c>
      <c r="CF574" s="1">
        <v>7.01</v>
      </c>
      <c r="CG574" s="3">
        <v>45400</v>
      </c>
      <c r="CH574" s="1">
        <v>6.99</v>
      </c>
      <c r="CI574" s="3">
        <v>45400</v>
      </c>
      <c r="CJ574" s="1">
        <v>6.8</v>
      </c>
      <c r="CK574" s="3">
        <v>45400</v>
      </c>
      <c r="CL574" s="1">
        <v>6.69</v>
      </c>
      <c r="CM574" s="3">
        <v>45400</v>
      </c>
      <c r="CN574" s="1">
        <v>6.51</v>
      </c>
      <c r="CO574" s="3">
        <v>45392</v>
      </c>
      <c r="CP574" s="1">
        <v>5.8274999999999997</v>
      </c>
      <c r="CQ574" s="3">
        <v>45392</v>
      </c>
      <c r="CR574" s="1">
        <v>5.81</v>
      </c>
      <c r="CS574" s="3">
        <v>45392</v>
      </c>
      <c r="CT574" s="1">
        <v>5.8574999999999999</v>
      </c>
    </row>
    <row r="575" spans="31:98" x14ac:dyDescent="0.2">
      <c r="AE575" s="3">
        <v>45391</v>
      </c>
      <c r="AF575" s="1">
        <v>5.75</v>
      </c>
      <c r="AG575" s="3">
        <v>45364</v>
      </c>
      <c r="AH575" s="1">
        <v>5.86</v>
      </c>
      <c r="AI575" s="3">
        <v>45399</v>
      </c>
      <c r="AJ575" s="2">
        <v>5.8644999999999996</v>
      </c>
      <c r="AK575" s="3">
        <v>45399</v>
      </c>
      <c r="AL575" s="2">
        <v>5.8525</v>
      </c>
      <c r="AM575" s="3">
        <v>45399</v>
      </c>
      <c r="AN575" s="2">
        <v>5.84</v>
      </c>
      <c r="AO575" s="3">
        <v>45399</v>
      </c>
      <c r="AP575" s="2">
        <v>5.75</v>
      </c>
      <c r="AQ575" s="3">
        <v>45399</v>
      </c>
      <c r="AR575" s="2">
        <v>5.54</v>
      </c>
      <c r="AS575" s="3">
        <v>45399</v>
      </c>
      <c r="AT575" s="2">
        <v>5.34</v>
      </c>
      <c r="AU575" s="3">
        <v>45399</v>
      </c>
      <c r="AV575" s="2">
        <v>5.1775000000000002</v>
      </c>
      <c r="AW575" s="3">
        <v>45399</v>
      </c>
      <c r="AX575" s="2">
        <v>5.05</v>
      </c>
      <c r="AY575" s="3">
        <v>45399</v>
      </c>
      <c r="AZ575" s="2">
        <v>4.96</v>
      </c>
      <c r="BB575" s="3">
        <v>45364</v>
      </c>
      <c r="BC575" s="1">
        <v>6.25</v>
      </c>
      <c r="BD575" s="3">
        <v>45365</v>
      </c>
      <c r="BE575" s="1">
        <v>5.89</v>
      </c>
      <c r="BF575" s="3">
        <v>45399</v>
      </c>
      <c r="BG575" s="1">
        <v>5.15</v>
      </c>
      <c r="BH575" s="3">
        <v>45399</v>
      </c>
      <c r="BI575" s="1">
        <v>5.03</v>
      </c>
      <c r="BJ575" s="3">
        <v>45399</v>
      </c>
      <c r="BK575" s="1">
        <v>4.7380000000000004</v>
      </c>
      <c r="BL575" s="3">
        <v>45399</v>
      </c>
      <c r="BM575" s="1">
        <v>4.22</v>
      </c>
      <c r="BN575" s="3">
        <v>45399</v>
      </c>
      <c r="BO575" s="1">
        <v>4.05</v>
      </c>
      <c r="BP575" s="3">
        <v>45399</v>
      </c>
      <c r="BQ575" s="1">
        <v>3.88</v>
      </c>
      <c r="BR575" s="3">
        <v>45399</v>
      </c>
      <c r="BS575" s="1">
        <v>3.835</v>
      </c>
      <c r="BT575" s="3">
        <v>45399</v>
      </c>
      <c r="BU575" s="1">
        <v>3.8050000000000002</v>
      </c>
      <c r="BV575" s="3">
        <v>45399</v>
      </c>
      <c r="BW575" s="1">
        <v>3.79</v>
      </c>
      <c r="BY575" s="3">
        <v>45365</v>
      </c>
      <c r="BZ575" s="1">
        <v>9</v>
      </c>
      <c r="CA575" s="3">
        <v>45356</v>
      </c>
      <c r="CB575" s="1">
        <v>8.19</v>
      </c>
      <c r="CC575" s="3">
        <v>45399</v>
      </c>
      <c r="CD575" s="1">
        <v>7.41</v>
      </c>
      <c r="CE575" s="3">
        <v>45399</v>
      </c>
      <c r="CF575" s="1">
        <v>7.13</v>
      </c>
      <c r="CG575" s="3">
        <v>45399</v>
      </c>
      <c r="CH575" s="1">
        <v>7.04</v>
      </c>
      <c r="CI575" s="3">
        <v>45399</v>
      </c>
      <c r="CJ575" s="1">
        <v>6.84</v>
      </c>
      <c r="CK575" s="3">
        <v>45399</v>
      </c>
      <c r="CL575" s="1">
        <v>6.73</v>
      </c>
      <c r="CM575" s="3">
        <v>45399</v>
      </c>
      <c r="CN575" s="1">
        <v>6.56</v>
      </c>
      <c r="CO575" s="3">
        <v>45391</v>
      </c>
      <c r="CP575" s="1">
        <v>5.7175000000000002</v>
      </c>
      <c r="CQ575" s="3">
        <v>45391</v>
      </c>
      <c r="CR575" s="1">
        <v>5.71</v>
      </c>
      <c r="CS575" s="3">
        <v>45391</v>
      </c>
      <c r="CT575" s="1">
        <v>5.7525000000000004</v>
      </c>
    </row>
    <row r="576" spans="31:98" x14ac:dyDescent="0.2">
      <c r="AE576" s="3">
        <v>45390</v>
      </c>
      <c r="AF576" s="1">
        <v>5.75</v>
      </c>
      <c r="AG576" s="3">
        <v>45363</v>
      </c>
      <c r="AH576" s="1">
        <v>5.85</v>
      </c>
      <c r="AI576" s="3">
        <v>45398</v>
      </c>
      <c r="AJ576" s="2">
        <v>5.8674999999999997</v>
      </c>
      <c r="AK576" s="3">
        <v>45398</v>
      </c>
      <c r="AL576" s="2">
        <v>5.8574999999999999</v>
      </c>
      <c r="AM576" s="3">
        <v>45398</v>
      </c>
      <c r="AN576" s="2">
        <v>5.85</v>
      </c>
      <c r="AO576" s="3">
        <v>45398</v>
      </c>
      <c r="AP576" s="2">
        <v>5.7850000000000001</v>
      </c>
      <c r="AQ576" s="3">
        <v>45398</v>
      </c>
      <c r="AR576" s="2">
        <v>5.6124999999999998</v>
      </c>
      <c r="AS576" s="3">
        <v>45398</v>
      </c>
      <c r="AT576" s="2">
        <v>5.4349999999999996</v>
      </c>
      <c r="AU576" s="3">
        <v>45398</v>
      </c>
      <c r="AV576" s="2">
        <v>5.2750000000000004</v>
      </c>
      <c r="AW576" s="3">
        <v>45398</v>
      </c>
      <c r="AX576" s="2">
        <v>5.15</v>
      </c>
      <c r="AY576" s="3">
        <v>45398</v>
      </c>
      <c r="AZ576" s="2">
        <v>5.0599999999999996</v>
      </c>
      <c r="BB576" s="3">
        <v>45363</v>
      </c>
      <c r="BC576" s="1">
        <v>6.25</v>
      </c>
      <c r="BD576" s="3">
        <v>45364</v>
      </c>
      <c r="BE576" s="1">
        <v>5.9</v>
      </c>
      <c r="BF576" s="3">
        <v>45398</v>
      </c>
      <c r="BG576" s="1">
        <v>5.22</v>
      </c>
      <c r="BH576" s="3">
        <v>45398</v>
      </c>
      <c r="BI576" s="1">
        <v>5.1230000000000002</v>
      </c>
      <c r="BJ576" s="3">
        <v>45398</v>
      </c>
      <c r="BK576" s="1">
        <v>4.8650000000000002</v>
      </c>
      <c r="BL576" s="3">
        <v>45398</v>
      </c>
      <c r="BM576" s="1">
        <v>4.3680000000000003</v>
      </c>
      <c r="BN576" s="3">
        <v>45398</v>
      </c>
      <c r="BO576" s="1">
        <v>4.2080000000000002</v>
      </c>
      <c r="BP576" s="3">
        <v>45398</v>
      </c>
      <c r="BQ576" s="1">
        <v>4.0449999999999999</v>
      </c>
      <c r="BR576" s="3">
        <v>45398</v>
      </c>
      <c r="BS576" s="1">
        <v>3.9950000000000001</v>
      </c>
      <c r="BT576" s="3">
        <v>45398</v>
      </c>
      <c r="BU576" s="1">
        <v>3.95</v>
      </c>
      <c r="BV576" s="3">
        <v>45398</v>
      </c>
      <c r="BW576" s="1">
        <v>3.93</v>
      </c>
      <c r="BY576" s="3">
        <v>45364</v>
      </c>
      <c r="BZ576" s="1">
        <v>9</v>
      </c>
      <c r="CA576" s="3">
        <v>45355</v>
      </c>
      <c r="CB576" s="1">
        <v>8.2100000000000009</v>
      </c>
      <c r="CC576" s="3">
        <v>45398</v>
      </c>
      <c r="CD576" s="1">
        <v>7.43</v>
      </c>
      <c r="CE576" s="3">
        <v>45398</v>
      </c>
      <c r="CF576" s="1">
        <v>7.16</v>
      </c>
      <c r="CG576" s="3">
        <v>45398</v>
      </c>
      <c r="CH576" s="1">
        <v>7.08</v>
      </c>
      <c r="CI576" s="3">
        <v>45398</v>
      </c>
      <c r="CJ576" s="1">
        <v>6.88</v>
      </c>
      <c r="CK576" s="3">
        <v>45398</v>
      </c>
      <c r="CL576" s="1">
        <v>6.78</v>
      </c>
      <c r="CM576" s="3">
        <v>45398</v>
      </c>
      <c r="CN576" s="1">
        <v>6.62</v>
      </c>
      <c r="CO576" s="3">
        <v>45390</v>
      </c>
      <c r="CP576" s="1">
        <v>5.7625000000000002</v>
      </c>
      <c r="CQ576" s="3">
        <v>45390</v>
      </c>
      <c r="CR576" s="1">
        <v>5.7549999999999999</v>
      </c>
      <c r="CS576" s="3">
        <v>45390</v>
      </c>
      <c r="CT576" s="1">
        <v>5.8025000000000002</v>
      </c>
    </row>
    <row r="577" spans="31:98" x14ac:dyDescent="0.2">
      <c r="AE577" s="3">
        <v>45387</v>
      </c>
      <c r="AF577" s="1">
        <v>5.75</v>
      </c>
      <c r="AG577" s="3">
        <v>45362</v>
      </c>
      <c r="AH577" s="1">
        <v>5.86</v>
      </c>
      <c r="AI577" s="3">
        <v>45397</v>
      </c>
      <c r="AJ577" s="2">
        <v>5.8609999999999998</v>
      </c>
      <c r="AK577" s="3">
        <v>45397</v>
      </c>
      <c r="AL577" s="2">
        <v>5.85</v>
      </c>
      <c r="AM577" s="3">
        <v>45397</v>
      </c>
      <c r="AN577" s="2">
        <v>5.8449999999999998</v>
      </c>
      <c r="AO577" s="3">
        <v>45397</v>
      </c>
      <c r="AP577" s="2">
        <v>5.7874999999999996</v>
      </c>
      <c r="AQ577" s="3">
        <v>45397</v>
      </c>
      <c r="AR577" s="2">
        <v>5.6150000000000002</v>
      </c>
      <c r="AS577" s="3">
        <v>45397</v>
      </c>
      <c r="AT577" s="2">
        <v>5.4249999999999998</v>
      </c>
      <c r="AU577" s="3">
        <v>45397</v>
      </c>
      <c r="AV577" s="2">
        <v>5.2450000000000001</v>
      </c>
      <c r="AW577" s="3">
        <v>45397</v>
      </c>
      <c r="AX577" s="2">
        <v>5.1100000000000003</v>
      </c>
      <c r="AY577" s="3">
        <v>45397</v>
      </c>
      <c r="AZ577" s="2">
        <v>5.0049999999999999</v>
      </c>
      <c r="BB577" s="3">
        <v>45362</v>
      </c>
      <c r="BC577" s="1">
        <v>6.25</v>
      </c>
      <c r="BD577" s="3">
        <v>45363</v>
      </c>
      <c r="BE577" s="1">
        <v>5.91</v>
      </c>
      <c r="BF577" s="3">
        <v>45397</v>
      </c>
      <c r="BG577" s="1">
        <v>5.2</v>
      </c>
      <c r="BH577" s="3">
        <v>45397</v>
      </c>
      <c r="BI577" s="1">
        <v>5.0880000000000001</v>
      </c>
      <c r="BJ577" s="3">
        <v>45397</v>
      </c>
      <c r="BK577" s="1">
        <v>4.7930000000000001</v>
      </c>
      <c r="BL577" s="3">
        <v>45397</v>
      </c>
      <c r="BM577" s="1">
        <v>4.2329999999999997</v>
      </c>
      <c r="BN577" s="3">
        <v>45397</v>
      </c>
      <c r="BO577" s="1">
        <v>4.05</v>
      </c>
      <c r="BP577" s="3">
        <v>45397</v>
      </c>
      <c r="BQ577" s="1">
        <v>3.8780000000000001</v>
      </c>
      <c r="BR577" s="3">
        <v>45397</v>
      </c>
      <c r="BS577" s="1">
        <v>3.8479999999999999</v>
      </c>
      <c r="BT577" s="3">
        <v>45397</v>
      </c>
      <c r="BU577" s="1">
        <v>3.8180000000000001</v>
      </c>
      <c r="BV577" s="3">
        <v>45397</v>
      </c>
      <c r="BW577" s="1">
        <v>3.7949999999999999</v>
      </c>
      <c r="BY577" s="3">
        <v>45363</v>
      </c>
      <c r="BZ577" s="1">
        <v>9</v>
      </c>
      <c r="CA577" s="3">
        <v>45352</v>
      </c>
      <c r="CB577" s="1">
        <v>8.24</v>
      </c>
      <c r="CC577" s="3">
        <v>45397</v>
      </c>
      <c r="CD577" s="1">
        <v>7.407</v>
      </c>
      <c r="CE577" s="3">
        <v>45397</v>
      </c>
      <c r="CF577" s="1">
        <v>7.0940000000000003</v>
      </c>
      <c r="CG577" s="3">
        <v>45397</v>
      </c>
      <c r="CH577" s="1">
        <v>6.92</v>
      </c>
      <c r="CI577" s="3">
        <v>45397</v>
      </c>
      <c r="CJ577" s="1">
        <v>6.67</v>
      </c>
      <c r="CK577" s="3">
        <v>45397</v>
      </c>
      <c r="CL577" s="1">
        <v>6.57</v>
      </c>
      <c r="CM577" s="3">
        <v>45397</v>
      </c>
      <c r="CN577" s="1">
        <v>6.36</v>
      </c>
      <c r="CO577" s="3">
        <v>45387</v>
      </c>
      <c r="CP577" s="1">
        <v>5.7625000000000002</v>
      </c>
      <c r="CQ577" s="3">
        <v>45387</v>
      </c>
      <c r="CR577" s="1">
        <v>5.75</v>
      </c>
      <c r="CS577" s="3">
        <v>45387</v>
      </c>
      <c r="CT577" s="1">
        <v>5.7925000000000004</v>
      </c>
    </row>
    <row r="578" spans="31:98" x14ac:dyDescent="0.2">
      <c r="AE578" s="3">
        <v>45386</v>
      </c>
      <c r="AF578" s="1">
        <v>5.75</v>
      </c>
      <c r="AG578" s="3">
        <v>45359</v>
      </c>
      <c r="AH578" s="1">
        <v>5.86</v>
      </c>
      <c r="AI578" s="3">
        <v>45394</v>
      </c>
      <c r="AJ578" s="2">
        <v>5.8609999999999998</v>
      </c>
      <c r="AK578" s="3">
        <v>45394</v>
      </c>
      <c r="AL578" s="2">
        <v>5.8550000000000004</v>
      </c>
      <c r="AM578" s="3">
        <v>45394</v>
      </c>
      <c r="AN578" s="2">
        <v>5.8449999999999998</v>
      </c>
      <c r="AO578" s="3">
        <v>45394</v>
      </c>
      <c r="AP578" s="2">
        <v>5.7649999999999997</v>
      </c>
      <c r="AQ578" s="3">
        <v>45394</v>
      </c>
      <c r="AR578" s="2">
        <v>5.5549999999999997</v>
      </c>
      <c r="AS578" s="3">
        <v>45394</v>
      </c>
      <c r="AT578" s="2">
        <v>5.3550000000000004</v>
      </c>
      <c r="AU578" s="3">
        <v>45394</v>
      </c>
      <c r="AV578" s="2">
        <v>5.17</v>
      </c>
      <c r="AW578" s="3">
        <v>45394</v>
      </c>
      <c r="AX578" s="2">
        <v>5.0199999999999996</v>
      </c>
      <c r="AY578" s="3">
        <v>45394</v>
      </c>
      <c r="AZ578" s="2">
        <v>4.9000000000000004</v>
      </c>
      <c r="BB578" s="3">
        <v>45359</v>
      </c>
      <c r="BC578" s="1">
        <v>6.25</v>
      </c>
      <c r="BD578" s="3">
        <v>45362</v>
      </c>
      <c r="BE578" s="1">
        <v>5.92</v>
      </c>
      <c r="BF578" s="3">
        <v>45394</v>
      </c>
      <c r="BG578" s="1">
        <v>5.1749999999999998</v>
      </c>
      <c r="BH578" s="3">
        <v>45394</v>
      </c>
      <c r="BI578" s="1">
        <v>5.0549999999999997</v>
      </c>
      <c r="BJ578" s="3">
        <v>45394</v>
      </c>
      <c r="BK578" s="1">
        <v>4.75</v>
      </c>
      <c r="BL578" s="3">
        <v>45394</v>
      </c>
      <c r="BM578" s="1">
        <v>4.13</v>
      </c>
      <c r="BN578" s="3">
        <v>45394</v>
      </c>
      <c r="BO578" s="1">
        <v>3.8849999999999998</v>
      </c>
      <c r="BP578" s="3">
        <v>45394</v>
      </c>
      <c r="BQ578" s="1">
        <v>3.7280000000000002</v>
      </c>
      <c r="BR578" s="3">
        <v>45394</v>
      </c>
      <c r="BS578" s="1">
        <v>3.698</v>
      </c>
      <c r="BT578" s="3">
        <v>45394</v>
      </c>
      <c r="BU578" s="1">
        <v>3.68</v>
      </c>
      <c r="BV578" s="3">
        <v>45394</v>
      </c>
      <c r="BW578" s="1">
        <v>3.6629999999999998</v>
      </c>
      <c r="BY578" s="3">
        <v>45362</v>
      </c>
      <c r="BZ578" s="1">
        <v>9</v>
      </c>
      <c r="CA578" s="3">
        <v>45351</v>
      </c>
      <c r="CB578" s="1">
        <v>8.27</v>
      </c>
      <c r="CC578" s="3">
        <v>45394</v>
      </c>
      <c r="CD578" s="1">
        <v>7.37</v>
      </c>
      <c r="CE578" s="3">
        <v>45394</v>
      </c>
      <c r="CF578" s="1">
        <v>7.02</v>
      </c>
      <c r="CG578" s="3">
        <v>45394</v>
      </c>
      <c r="CH578" s="1">
        <v>6.81</v>
      </c>
      <c r="CI578" s="3">
        <v>45394</v>
      </c>
      <c r="CJ578" s="1">
        <v>6.56</v>
      </c>
      <c r="CK578" s="3">
        <v>45394</v>
      </c>
      <c r="CL578" s="1">
        <v>6.47</v>
      </c>
      <c r="CM578" s="3">
        <v>45394</v>
      </c>
      <c r="CN578" s="1">
        <v>6.19</v>
      </c>
      <c r="CO578" s="3">
        <v>45386</v>
      </c>
      <c r="CP578" s="1">
        <v>5.82</v>
      </c>
      <c r="CQ578" s="3">
        <v>45386</v>
      </c>
      <c r="CR578" s="1">
        <v>5.8049999999999997</v>
      </c>
      <c r="CS578" s="3">
        <v>45386</v>
      </c>
      <c r="CT578" s="1">
        <v>5.84</v>
      </c>
    </row>
    <row r="579" spans="31:98" x14ac:dyDescent="0.2">
      <c r="AE579" s="3">
        <v>45385</v>
      </c>
      <c r="AF579" s="1">
        <v>5.75</v>
      </c>
      <c r="AG579" s="3">
        <v>45358</v>
      </c>
      <c r="AH579" s="1">
        <v>5.85</v>
      </c>
      <c r="AI579" s="3">
        <v>45393</v>
      </c>
      <c r="AJ579" s="2">
        <v>5.8609999999999998</v>
      </c>
      <c r="AK579" s="3">
        <v>45393</v>
      </c>
      <c r="AL579" s="2">
        <v>5.85</v>
      </c>
      <c r="AM579" s="3">
        <v>45393</v>
      </c>
      <c r="AN579" s="2">
        <v>5.8449999999999998</v>
      </c>
      <c r="AO579" s="3">
        <v>45393</v>
      </c>
      <c r="AP579" s="2">
        <v>5.79</v>
      </c>
      <c r="AQ579" s="3">
        <v>45393</v>
      </c>
      <c r="AR579" s="2">
        <v>5.6</v>
      </c>
      <c r="AS579" s="3">
        <v>45393</v>
      </c>
      <c r="AT579" s="2">
        <v>5.41</v>
      </c>
      <c r="AU579" s="3">
        <v>45393</v>
      </c>
      <c r="AV579" s="2">
        <v>5.2350000000000003</v>
      </c>
      <c r="AW579" s="3">
        <v>45393</v>
      </c>
      <c r="AX579" s="2">
        <v>5.08</v>
      </c>
      <c r="AY579" s="3">
        <v>45393</v>
      </c>
      <c r="AZ579" s="2">
        <v>4.9450000000000003</v>
      </c>
      <c r="BB579" s="3">
        <v>45358</v>
      </c>
      <c r="BC579" s="1">
        <v>6.25</v>
      </c>
      <c r="BD579" s="3">
        <v>45359</v>
      </c>
      <c r="BE579" s="1">
        <v>5.94</v>
      </c>
      <c r="BF579" s="3">
        <v>45393</v>
      </c>
      <c r="BG579" s="1">
        <v>5.18</v>
      </c>
      <c r="BH579" s="3">
        <v>45393</v>
      </c>
      <c r="BI579" s="1">
        <v>5.04</v>
      </c>
      <c r="BJ579" s="3">
        <v>45393</v>
      </c>
      <c r="BK579" s="1">
        <v>4.7279999999999998</v>
      </c>
      <c r="BL579" s="3">
        <v>45393</v>
      </c>
      <c r="BM579" s="1">
        <v>4.1150000000000002</v>
      </c>
      <c r="BN579" s="3">
        <v>45393</v>
      </c>
      <c r="BO579" s="1">
        <v>3.86</v>
      </c>
      <c r="BP579" s="3">
        <v>45393</v>
      </c>
      <c r="BQ579" s="1">
        <v>3.7480000000000002</v>
      </c>
      <c r="BR579" s="3">
        <v>45393</v>
      </c>
      <c r="BS579" s="1">
        <v>3.7330000000000001</v>
      </c>
      <c r="BT579" s="3">
        <v>45393</v>
      </c>
      <c r="BU579" s="1">
        <v>3.7280000000000002</v>
      </c>
      <c r="BV579" s="3">
        <v>45393</v>
      </c>
      <c r="BW579" s="1">
        <v>3.718</v>
      </c>
      <c r="BY579" s="3">
        <v>45359</v>
      </c>
      <c r="BZ579" s="1">
        <v>9</v>
      </c>
      <c r="CA579" s="3">
        <v>45350</v>
      </c>
      <c r="CB579" s="1">
        <v>8.32</v>
      </c>
      <c r="CC579" s="3">
        <v>45393</v>
      </c>
      <c r="CD579" s="1">
        <v>7.39</v>
      </c>
      <c r="CE579" s="3">
        <v>45393</v>
      </c>
      <c r="CF579" s="1">
        <v>7.05</v>
      </c>
      <c r="CG579" s="3">
        <v>45393</v>
      </c>
      <c r="CH579" s="1">
        <v>6.83</v>
      </c>
      <c r="CI579" s="3">
        <v>45393</v>
      </c>
      <c r="CJ579" s="1">
        <v>6.57</v>
      </c>
      <c r="CK579" s="3">
        <v>45393</v>
      </c>
      <c r="CL579" s="1">
        <v>6.47</v>
      </c>
      <c r="CM579" s="3">
        <v>45393</v>
      </c>
      <c r="CN579" s="1">
        <v>6.1849999999999996</v>
      </c>
      <c r="CO579" s="3">
        <v>45385</v>
      </c>
      <c r="CP579" s="1">
        <v>5.91</v>
      </c>
      <c r="CQ579" s="3">
        <v>45385</v>
      </c>
      <c r="CR579" s="1">
        <v>5.91</v>
      </c>
      <c r="CS579" s="3">
        <v>45385</v>
      </c>
      <c r="CT579" s="1">
        <v>5.9349999999999996</v>
      </c>
    </row>
    <row r="580" spans="31:98" x14ac:dyDescent="0.2">
      <c r="AE580" s="3">
        <v>45384</v>
      </c>
      <c r="AF580" s="1">
        <v>5.75</v>
      </c>
      <c r="AG580" s="3">
        <v>45357</v>
      </c>
      <c r="AH580" s="1">
        <v>5.86</v>
      </c>
      <c r="AI580" s="3">
        <v>45392</v>
      </c>
      <c r="AJ580" s="2">
        <v>5.8654999999999999</v>
      </c>
      <c r="AK580" s="3">
        <v>45392</v>
      </c>
      <c r="AL580" s="2">
        <v>5.85</v>
      </c>
      <c r="AM580" s="3">
        <v>45392</v>
      </c>
      <c r="AN580" s="2">
        <v>5.84</v>
      </c>
      <c r="AO580" s="3">
        <v>45392</v>
      </c>
      <c r="AP580" s="2">
        <v>5.7649999999999997</v>
      </c>
      <c r="AQ580" s="3">
        <v>45392</v>
      </c>
      <c r="AR580" s="2">
        <v>5.51</v>
      </c>
      <c r="AS580" s="3">
        <v>45392</v>
      </c>
      <c r="AT580" s="2">
        <v>5.2850000000000001</v>
      </c>
      <c r="AU580" s="3">
        <v>45392</v>
      </c>
      <c r="AV580" s="2">
        <v>5.0750000000000002</v>
      </c>
      <c r="AW580" s="3">
        <v>45392</v>
      </c>
      <c r="AX580" s="2">
        <v>4.92</v>
      </c>
      <c r="AY580" s="3">
        <v>45392</v>
      </c>
      <c r="AZ580" s="2">
        <v>4.8</v>
      </c>
      <c r="BB580" s="3">
        <v>45357</v>
      </c>
      <c r="BC580" s="1">
        <v>6.25</v>
      </c>
      <c r="BD580" s="3">
        <v>45358</v>
      </c>
      <c r="BE580" s="1">
        <v>5.95</v>
      </c>
      <c r="BF580" s="3">
        <v>45392</v>
      </c>
      <c r="BG580" s="1">
        <v>5.1349999999999998</v>
      </c>
      <c r="BH580" s="3">
        <v>45392</v>
      </c>
      <c r="BI580" s="1">
        <v>4.9850000000000003</v>
      </c>
      <c r="BJ580" s="3">
        <v>45392</v>
      </c>
      <c r="BK580" s="1">
        <v>4.6349999999999998</v>
      </c>
      <c r="BL580" s="3">
        <v>45392</v>
      </c>
      <c r="BM580" s="1">
        <v>3.968</v>
      </c>
      <c r="BN580" s="3">
        <v>45392</v>
      </c>
      <c r="BO580" s="1">
        <v>3.68</v>
      </c>
      <c r="BP580" s="3">
        <v>45392</v>
      </c>
      <c r="BQ580" s="1">
        <v>3.57</v>
      </c>
      <c r="BR580" s="3">
        <v>45392</v>
      </c>
      <c r="BS580" s="1">
        <v>3.548</v>
      </c>
      <c r="BT580" s="3">
        <v>45392</v>
      </c>
      <c r="BU580" s="1">
        <v>3.5350000000000001</v>
      </c>
      <c r="BV580" s="3">
        <v>45392</v>
      </c>
      <c r="BW580" s="1">
        <v>3.53</v>
      </c>
      <c r="BY580" s="3">
        <v>45358</v>
      </c>
      <c r="BZ580" s="1">
        <v>9</v>
      </c>
      <c r="CA580" s="3">
        <v>45349</v>
      </c>
      <c r="CB580" s="1">
        <v>8.57</v>
      </c>
      <c r="CC580" s="3">
        <v>45392</v>
      </c>
      <c r="CD580" s="1">
        <v>7.32</v>
      </c>
      <c r="CE580" s="3">
        <v>45392</v>
      </c>
      <c r="CF580" s="1">
        <v>6.96</v>
      </c>
      <c r="CG580" s="3">
        <v>45392</v>
      </c>
      <c r="CH580" s="1">
        <v>6.64</v>
      </c>
      <c r="CI580" s="3">
        <v>45392</v>
      </c>
      <c r="CJ580" s="1">
        <v>6.31</v>
      </c>
      <c r="CK580" s="3">
        <v>45392</v>
      </c>
      <c r="CL580" s="1">
        <v>6.14</v>
      </c>
      <c r="CM580" s="3">
        <v>45392</v>
      </c>
      <c r="CN580" s="1">
        <v>5.8949999999999996</v>
      </c>
      <c r="CO580" s="3">
        <v>45384</v>
      </c>
      <c r="CP580" s="1">
        <v>5.95</v>
      </c>
      <c r="CQ580" s="3">
        <v>45384</v>
      </c>
      <c r="CR580" s="1">
        <v>5.93</v>
      </c>
      <c r="CS580" s="3">
        <v>45384</v>
      </c>
      <c r="CT580" s="1">
        <v>5.95</v>
      </c>
    </row>
    <row r="581" spans="31:98" x14ac:dyDescent="0.2">
      <c r="AE581" s="3">
        <v>45383</v>
      </c>
      <c r="AF581" s="1">
        <v>5.75</v>
      </c>
      <c r="AG581" s="3">
        <v>45356</v>
      </c>
      <c r="AH581" s="1">
        <v>5.85</v>
      </c>
      <c r="AI581" s="3">
        <v>45391</v>
      </c>
      <c r="AJ581" s="2">
        <v>5.8689999999999998</v>
      </c>
      <c r="AK581" s="3">
        <v>45391</v>
      </c>
      <c r="AL581" s="2">
        <v>5.84</v>
      </c>
      <c r="AM581" s="3">
        <v>45391</v>
      </c>
      <c r="AN581" s="2">
        <v>5.8250000000000002</v>
      </c>
      <c r="AO581" s="3">
        <v>45391</v>
      </c>
      <c r="AP581" s="2">
        <v>5.72</v>
      </c>
      <c r="AQ581" s="3">
        <v>45391</v>
      </c>
      <c r="AR581" s="2">
        <v>5.42</v>
      </c>
      <c r="AS581" s="3">
        <v>45391</v>
      </c>
      <c r="AT581" s="2">
        <v>5.1550000000000002</v>
      </c>
      <c r="AU581" s="3">
        <v>45391</v>
      </c>
      <c r="AV581" s="2">
        <v>4.9275000000000002</v>
      </c>
      <c r="AW581" s="3">
        <v>45391</v>
      </c>
      <c r="AX581" s="2">
        <v>4.7699999999999996</v>
      </c>
      <c r="AY581" s="3">
        <v>45391</v>
      </c>
      <c r="AZ581" s="2">
        <v>4.6500000000000004</v>
      </c>
      <c r="BB581" s="3">
        <v>45356</v>
      </c>
      <c r="BC581" s="1">
        <v>6.25</v>
      </c>
      <c r="BD581" s="3">
        <v>45357</v>
      </c>
      <c r="BE581" s="1">
        <v>5.96</v>
      </c>
      <c r="BF581" s="3">
        <v>45391</v>
      </c>
      <c r="BG581" s="1">
        <v>5.0999999999999996</v>
      </c>
      <c r="BH581" s="3">
        <v>45391</v>
      </c>
      <c r="BI581" s="1">
        <v>4.91</v>
      </c>
      <c r="BJ581" s="3">
        <v>45391</v>
      </c>
      <c r="BK581" s="1">
        <v>4.5449999999999999</v>
      </c>
      <c r="BL581" s="3">
        <v>45391</v>
      </c>
      <c r="BM581" s="1">
        <v>3.843</v>
      </c>
      <c r="BN581" s="3">
        <v>45391</v>
      </c>
      <c r="BO581" s="1">
        <v>3.548</v>
      </c>
      <c r="BP581" s="3">
        <v>45391</v>
      </c>
      <c r="BQ581" s="1">
        <v>3.4180000000000001</v>
      </c>
      <c r="BR581" s="3">
        <v>45391</v>
      </c>
      <c r="BS581" s="1">
        <v>3.38</v>
      </c>
      <c r="BT581" s="3">
        <v>45391</v>
      </c>
      <c r="BU581" s="1">
        <v>3.3650000000000002</v>
      </c>
      <c r="BV581" s="3">
        <v>45391</v>
      </c>
      <c r="BW581" s="1">
        <v>3.355</v>
      </c>
      <c r="BY581" s="3">
        <v>45357</v>
      </c>
      <c r="BZ581" s="1">
        <v>9</v>
      </c>
      <c r="CA581" s="3">
        <v>45348</v>
      </c>
      <c r="CB581" s="1">
        <v>8.64</v>
      </c>
      <c r="CC581" s="3">
        <v>45391</v>
      </c>
      <c r="CD581" s="1">
        <v>7.3369999999999997</v>
      </c>
      <c r="CE581" s="3">
        <v>45391</v>
      </c>
      <c r="CF581" s="1">
        <v>6.944</v>
      </c>
      <c r="CG581" s="3">
        <v>45391</v>
      </c>
      <c r="CH581" s="1">
        <v>6.6</v>
      </c>
      <c r="CI581" s="3">
        <v>45391</v>
      </c>
      <c r="CJ581" s="1">
        <v>6.22</v>
      </c>
      <c r="CK581" s="3">
        <v>45391</v>
      </c>
      <c r="CL581" s="1">
        <v>6.05</v>
      </c>
      <c r="CM581" s="3">
        <v>45391</v>
      </c>
      <c r="CN581" s="1">
        <v>5.8150000000000004</v>
      </c>
      <c r="CO581" s="3">
        <v>45383</v>
      </c>
      <c r="CP581" s="1">
        <v>5.9550000000000001</v>
      </c>
      <c r="CQ581" s="3">
        <v>45383</v>
      </c>
      <c r="CR581" s="1">
        <v>5.93</v>
      </c>
      <c r="CS581" s="3">
        <v>45383</v>
      </c>
      <c r="CT581" s="1">
        <v>5.94</v>
      </c>
    </row>
    <row r="582" spans="31:98" x14ac:dyDescent="0.2">
      <c r="AE582" s="3">
        <v>45380</v>
      </c>
      <c r="AF582" s="1">
        <v>5.75</v>
      </c>
      <c r="AG582" s="3">
        <v>45355</v>
      </c>
      <c r="AH582" s="1">
        <v>5.85</v>
      </c>
      <c r="AI582" s="3">
        <v>45390</v>
      </c>
      <c r="AJ582" s="2">
        <v>5.8665000000000003</v>
      </c>
      <c r="AK582" s="3">
        <v>45390</v>
      </c>
      <c r="AL582" s="2">
        <v>5.8449999999999998</v>
      </c>
      <c r="AM582" s="3">
        <v>45390</v>
      </c>
      <c r="AN582" s="2">
        <v>5.835</v>
      </c>
      <c r="AO582" s="3">
        <v>45390</v>
      </c>
      <c r="AP582" s="2">
        <v>5.7450000000000001</v>
      </c>
      <c r="AQ582" s="3">
        <v>45390</v>
      </c>
      <c r="AR582" s="2">
        <v>5.4550000000000001</v>
      </c>
      <c r="AS582" s="3">
        <v>45390</v>
      </c>
      <c r="AT582" s="2">
        <v>5.165</v>
      </c>
      <c r="AU582" s="3">
        <v>45390</v>
      </c>
      <c r="AV582" s="2">
        <v>4.9400000000000004</v>
      </c>
      <c r="AW582" s="3">
        <v>45390</v>
      </c>
      <c r="AX582" s="2">
        <v>4.7750000000000004</v>
      </c>
      <c r="AY582" s="3">
        <v>45390</v>
      </c>
      <c r="AZ582" s="2">
        <v>4.66</v>
      </c>
      <c r="BB582" s="3">
        <v>45355</v>
      </c>
      <c r="BC582" s="1">
        <v>6.25</v>
      </c>
      <c r="BD582" s="3">
        <v>45356</v>
      </c>
      <c r="BE582" s="1">
        <v>5.97</v>
      </c>
      <c r="BF582" s="3">
        <v>45390</v>
      </c>
      <c r="BG582" s="1">
        <v>5.1100000000000003</v>
      </c>
      <c r="BH582" s="3">
        <v>45390</v>
      </c>
      <c r="BI582" s="1">
        <v>4.9429999999999996</v>
      </c>
      <c r="BJ582" s="3">
        <v>45390</v>
      </c>
      <c r="BK582" s="1">
        <v>4.5750000000000002</v>
      </c>
      <c r="BL582" s="3">
        <v>45390</v>
      </c>
      <c r="BM582" s="1">
        <v>3.9049999999999998</v>
      </c>
      <c r="BN582" s="3">
        <v>45390</v>
      </c>
      <c r="BO582" s="1">
        <v>3.62</v>
      </c>
      <c r="BP582" s="3">
        <v>45390</v>
      </c>
      <c r="BQ582" s="1">
        <v>3.5</v>
      </c>
      <c r="BR582" s="3">
        <v>45390</v>
      </c>
      <c r="BS582" s="1">
        <v>3.4649999999999999</v>
      </c>
      <c r="BT582" s="3">
        <v>45390</v>
      </c>
      <c r="BU582" s="1">
        <v>3.45</v>
      </c>
      <c r="BV582" s="3">
        <v>45390</v>
      </c>
      <c r="BW582" s="1">
        <v>3.44</v>
      </c>
      <c r="BY582" s="3">
        <v>45356</v>
      </c>
      <c r="BZ582" s="1">
        <v>9</v>
      </c>
      <c r="CA582" s="3">
        <v>45345</v>
      </c>
      <c r="CB582" s="1">
        <v>8.73</v>
      </c>
      <c r="CC582" s="3">
        <v>45390</v>
      </c>
      <c r="CD582" s="1">
        <v>7.35</v>
      </c>
      <c r="CE582" s="3">
        <v>45390</v>
      </c>
      <c r="CF582" s="1">
        <v>6.96</v>
      </c>
      <c r="CG582" s="3">
        <v>45390</v>
      </c>
      <c r="CH582" s="1">
        <v>6.62</v>
      </c>
      <c r="CI582" s="3">
        <v>45390</v>
      </c>
      <c r="CJ582" s="1">
        <v>6.27</v>
      </c>
      <c r="CK582" s="3">
        <v>45390</v>
      </c>
      <c r="CL582" s="1">
        <v>6.1</v>
      </c>
      <c r="CM582" s="3">
        <v>45390</v>
      </c>
      <c r="CN582" s="1">
        <v>5.86</v>
      </c>
      <c r="CO582" s="3">
        <v>45380</v>
      </c>
      <c r="CP582" s="1">
        <v>5.9550000000000001</v>
      </c>
      <c r="CQ582" s="3">
        <v>45380</v>
      </c>
      <c r="CR582" s="1">
        <v>5.93</v>
      </c>
      <c r="CS582" s="3">
        <v>45380</v>
      </c>
      <c r="CT582" s="1">
        <v>5.94</v>
      </c>
    </row>
    <row r="583" spans="31:98" x14ac:dyDescent="0.2">
      <c r="AE583" s="3">
        <v>45379</v>
      </c>
      <c r="AF583" s="1">
        <v>5.75</v>
      </c>
      <c r="AG583" s="3">
        <v>45352</v>
      </c>
      <c r="AH583" s="1">
        <v>5.85</v>
      </c>
      <c r="AI583" s="3">
        <v>45387</v>
      </c>
      <c r="AJ583" s="2">
        <v>5.8650000000000002</v>
      </c>
      <c r="AK583" s="3">
        <v>45387</v>
      </c>
      <c r="AL583" s="2">
        <v>5.83</v>
      </c>
      <c r="AM583" s="3">
        <v>45387</v>
      </c>
      <c r="AN583" s="2">
        <v>5.8049999999999997</v>
      </c>
      <c r="AO583" s="3">
        <v>45387</v>
      </c>
      <c r="AP583" s="2">
        <v>5.7</v>
      </c>
      <c r="AQ583" s="3">
        <v>45387</v>
      </c>
      <c r="AR583" s="2">
        <v>5.4</v>
      </c>
      <c r="AS583" s="3">
        <v>45387</v>
      </c>
      <c r="AT583" s="2">
        <v>5.1050000000000004</v>
      </c>
      <c r="AU583" s="3">
        <v>45387</v>
      </c>
      <c r="AV583" s="2">
        <v>4.875</v>
      </c>
      <c r="AW583" s="3">
        <v>45387</v>
      </c>
      <c r="AX583" s="2">
        <v>4.7</v>
      </c>
      <c r="AY583" s="3">
        <v>45387</v>
      </c>
      <c r="AZ583" s="2">
        <v>4.5750000000000002</v>
      </c>
      <c r="BB583" s="3">
        <v>45352</v>
      </c>
      <c r="BC583" s="1">
        <v>6.25</v>
      </c>
      <c r="BD583" s="3">
        <v>45355</v>
      </c>
      <c r="BE583" s="1">
        <v>5.98</v>
      </c>
      <c r="BF583" s="3">
        <v>45387</v>
      </c>
      <c r="BG583" s="1">
        <v>5.125</v>
      </c>
      <c r="BH583" s="3">
        <v>45387</v>
      </c>
      <c r="BI583" s="1">
        <v>4.9249999999999998</v>
      </c>
      <c r="BJ583" s="3">
        <v>45387</v>
      </c>
      <c r="BK583" s="1">
        <v>4.5750000000000002</v>
      </c>
      <c r="BL583" s="3">
        <v>45387</v>
      </c>
      <c r="BM583" s="1">
        <v>3.86</v>
      </c>
      <c r="BN583" s="3">
        <v>45387</v>
      </c>
      <c r="BO583" s="1">
        <v>3.56</v>
      </c>
      <c r="BP583" s="3">
        <v>45387</v>
      </c>
      <c r="BQ583" s="1">
        <v>3.4529999999999998</v>
      </c>
      <c r="BR583" s="3">
        <v>45387</v>
      </c>
      <c r="BS583" s="1">
        <v>3.415</v>
      </c>
      <c r="BT583" s="3">
        <v>45387</v>
      </c>
      <c r="BU583" s="1">
        <v>3.41</v>
      </c>
      <c r="BV583" s="3">
        <v>45387</v>
      </c>
      <c r="BW583" s="1">
        <v>3.4049999999999998</v>
      </c>
      <c r="BY583" s="3">
        <v>45355</v>
      </c>
      <c r="BZ583" s="1">
        <v>9</v>
      </c>
      <c r="CA583" s="3">
        <v>45344</v>
      </c>
      <c r="CB583" s="1">
        <v>8.7799999999999994</v>
      </c>
      <c r="CC583" s="3">
        <v>45387</v>
      </c>
      <c r="CD583" s="1">
        <v>7.3609999999999998</v>
      </c>
      <c r="CE583" s="3">
        <v>45387</v>
      </c>
      <c r="CF583" s="1">
        <v>6.98</v>
      </c>
      <c r="CG583" s="3">
        <v>45387</v>
      </c>
      <c r="CH583" s="1">
        <v>6.62</v>
      </c>
      <c r="CI583" s="3">
        <v>45387</v>
      </c>
      <c r="CJ583" s="1">
        <v>6.28</v>
      </c>
      <c r="CK583" s="3">
        <v>45387</v>
      </c>
      <c r="CL583" s="1">
        <v>6.09</v>
      </c>
      <c r="CM583" s="3">
        <v>45387</v>
      </c>
      <c r="CN583" s="1">
        <v>5.86</v>
      </c>
      <c r="CO583" s="3">
        <v>45379</v>
      </c>
      <c r="CP583" s="1">
        <v>5.9550000000000001</v>
      </c>
      <c r="CQ583" s="3">
        <v>45379</v>
      </c>
      <c r="CR583" s="1">
        <v>5.93</v>
      </c>
      <c r="CS583" s="3">
        <v>45379</v>
      </c>
      <c r="CT583" s="1">
        <v>5.94</v>
      </c>
    </row>
    <row r="584" spans="31:98" x14ac:dyDescent="0.2">
      <c r="AE584" s="3">
        <v>45378</v>
      </c>
      <c r="AF584" s="1">
        <v>5.75</v>
      </c>
      <c r="AG584" s="3">
        <v>45351</v>
      </c>
      <c r="AH584" s="1">
        <v>5.86</v>
      </c>
      <c r="AI584" s="3">
        <v>45386</v>
      </c>
      <c r="AJ584" s="2">
        <v>5.8490000000000002</v>
      </c>
      <c r="AK584" s="3">
        <v>45386</v>
      </c>
      <c r="AL584" s="2">
        <v>5.7850000000000001</v>
      </c>
      <c r="AM584" s="3">
        <v>45386</v>
      </c>
      <c r="AN584" s="2">
        <v>5.7549999999999999</v>
      </c>
      <c r="AO584" s="3">
        <v>45386</v>
      </c>
      <c r="AP584" s="2">
        <v>5.6050000000000004</v>
      </c>
      <c r="AQ584" s="3">
        <v>45386</v>
      </c>
      <c r="AR584" s="2">
        <v>5.2975000000000003</v>
      </c>
      <c r="AS584" s="3">
        <v>45386</v>
      </c>
      <c r="AT584" s="2">
        <v>5.01</v>
      </c>
      <c r="AU584" s="3">
        <v>45386</v>
      </c>
      <c r="AV584" s="2">
        <v>4.7824999999999998</v>
      </c>
      <c r="AW584" s="3">
        <v>45386</v>
      </c>
      <c r="AX584" s="2">
        <v>4.6150000000000002</v>
      </c>
      <c r="AY584" s="3">
        <v>45386</v>
      </c>
      <c r="AZ584" s="2">
        <v>4.5025000000000004</v>
      </c>
      <c r="BB584" s="3">
        <v>45351</v>
      </c>
      <c r="BC584" s="1">
        <v>6.25</v>
      </c>
      <c r="BD584" s="3">
        <v>45352</v>
      </c>
      <c r="BE584" s="1">
        <v>5.98</v>
      </c>
      <c r="BF584" s="3">
        <v>45386</v>
      </c>
      <c r="BG584" s="1">
        <v>5.13</v>
      </c>
      <c r="BH584" s="3">
        <v>45386</v>
      </c>
      <c r="BI584" s="1">
        <v>4.915</v>
      </c>
      <c r="BJ584" s="3">
        <v>45386</v>
      </c>
      <c r="BK584" s="1">
        <v>4.5599999999999996</v>
      </c>
      <c r="BL584" s="3">
        <v>45386</v>
      </c>
      <c r="BM584" s="1">
        <v>3.8180000000000001</v>
      </c>
      <c r="BN584" s="3">
        <v>45386</v>
      </c>
      <c r="BO584" s="1">
        <v>3.51</v>
      </c>
      <c r="BP584" s="3">
        <v>45386</v>
      </c>
      <c r="BQ584" s="1">
        <v>3.4</v>
      </c>
      <c r="BR584" s="3">
        <v>45386</v>
      </c>
      <c r="BS584" s="1">
        <v>3.36</v>
      </c>
      <c r="BT584" s="3">
        <v>45386</v>
      </c>
      <c r="BU584" s="1">
        <v>3.3450000000000002</v>
      </c>
      <c r="BV584" s="3">
        <v>45386</v>
      </c>
      <c r="BW584" s="1">
        <v>3.3450000000000002</v>
      </c>
      <c r="BY584" s="3">
        <v>45352</v>
      </c>
      <c r="BZ584" s="1">
        <v>9</v>
      </c>
      <c r="CA584" s="3">
        <v>45343</v>
      </c>
      <c r="CB584" s="1">
        <v>8.83</v>
      </c>
      <c r="CC584" s="3">
        <v>45386</v>
      </c>
      <c r="CD584" s="1">
        <v>7.375</v>
      </c>
      <c r="CE584" s="3">
        <v>45386</v>
      </c>
      <c r="CF584" s="1">
        <v>7.0119999999999996</v>
      </c>
      <c r="CG584" s="3">
        <v>45386</v>
      </c>
      <c r="CH584" s="1">
        <v>6.68</v>
      </c>
      <c r="CI584" s="3">
        <v>45386</v>
      </c>
      <c r="CJ584" s="1">
        <v>6.37</v>
      </c>
      <c r="CK584" s="3">
        <v>45386</v>
      </c>
      <c r="CL584" s="1">
        <v>6.17</v>
      </c>
      <c r="CM584" s="3">
        <v>45386</v>
      </c>
      <c r="CN584" s="1">
        <v>5.92</v>
      </c>
      <c r="CO584" s="3">
        <v>45378</v>
      </c>
      <c r="CP584" s="1">
        <v>5.88</v>
      </c>
      <c r="CQ584" s="3">
        <v>45378</v>
      </c>
      <c r="CR584" s="1">
        <v>5.82</v>
      </c>
      <c r="CS584" s="3">
        <v>45378</v>
      </c>
      <c r="CT584" s="1">
        <v>5.835</v>
      </c>
    </row>
    <row r="585" spans="31:98" x14ac:dyDescent="0.2">
      <c r="AE585" s="3">
        <v>45377</v>
      </c>
      <c r="AF585" s="1">
        <v>5.75</v>
      </c>
      <c r="AG585" s="3">
        <v>45350</v>
      </c>
      <c r="AH585" s="1">
        <v>5.85</v>
      </c>
      <c r="AI585" s="3">
        <v>45385</v>
      </c>
      <c r="AJ585" s="2">
        <v>5.8635000000000002</v>
      </c>
      <c r="AK585" s="3">
        <v>45385</v>
      </c>
      <c r="AL585" s="2">
        <v>5.83</v>
      </c>
      <c r="AM585" s="3">
        <v>45385</v>
      </c>
      <c r="AN585" s="2">
        <v>5.8</v>
      </c>
      <c r="AO585" s="3">
        <v>45385</v>
      </c>
      <c r="AP585" s="2">
        <v>5.66</v>
      </c>
      <c r="AQ585" s="3">
        <v>45385</v>
      </c>
      <c r="AR585" s="2">
        <v>5.3674999999999997</v>
      </c>
      <c r="AS585" s="3">
        <v>45385</v>
      </c>
      <c r="AT585" s="2">
        <v>5.0875000000000004</v>
      </c>
      <c r="AU585" s="3">
        <v>45385</v>
      </c>
      <c r="AV585" s="2">
        <v>4.8825000000000003</v>
      </c>
      <c r="AW585" s="3">
        <v>45385</v>
      </c>
      <c r="AX585" s="2">
        <v>4.7275</v>
      </c>
      <c r="AY585" s="3">
        <v>45385</v>
      </c>
      <c r="AZ585" s="2">
        <v>4.6174999999999997</v>
      </c>
      <c r="BB585" s="3">
        <v>45350</v>
      </c>
      <c r="BC585" s="1">
        <v>6.25</v>
      </c>
      <c r="BD585" s="3">
        <v>45351</v>
      </c>
      <c r="BE585" s="1">
        <v>5.98</v>
      </c>
      <c r="BF585" s="3">
        <v>45385</v>
      </c>
      <c r="BG585" s="1">
        <v>5.43</v>
      </c>
      <c r="BH585" s="3">
        <v>45385</v>
      </c>
      <c r="BI585" s="1">
        <v>4.9749999999999996</v>
      </c>
      <c r="BJ585" s="3">
        <v>45385</v>
      </c>
      <c r="BK585" s="1">
        <v>4.62</v>
      </c>
      <c r="BL585" s="3">
        <v>45385</v>
      </c>
      <c r="BM585" s="1">
        <v>3.875</v>
      </c>
      <c r="BN585" s="3">
        <v>45385</v>
      </c>
      <c r="BO585" s="1">
        <v>3.5579999999999998</v>
      </c>
      <c r="BP585" s="3">
        <v>45385</v>
      </c>
      <c r="BQ585" s="1">
        <v>3.4580000000000002</v>
      </c>
      <c r="BR585" s="3">
        <v>45385</v>
      </c>
      <c r="BS585" s="1">
        <v>3.4180000000000001</v>
      </c>
      <c r="BT585" s="3">
        <v>45385</v>
      </c>
      <c r="BU585" s="1">
        <v>3.4079999999999999</v>
      </c>
      <c r="BV585" s="3">
        <v>45385</v>
      </c>
      <c r="BW585" s="1">
        <v>3.4079999999999999</v>
      </c>
      <c r="BY585" s="3">
        <v>45351</v>
      </c>
      <c r="BZ585" s="1">
        <v>9</v>
      </c>
      <c r="CA585" s="3">
        <v>45342</v>
      </c>
      <c r="CB585" s="1">
        <v>8.8699999999999992</v>
      </c>
      <c r="CC585" s="3">
        <v>45385</v>
      </c>
      <c r="CD585" s="1">
        <v>7.38</v>
      </c>
      <c r="CE585" s="3">
        <v>45385</v>
      </c>
      <c r="CF585" s="1">
        <v>7.0250000000000004</v>
      </c>
      <c r="CG585" s="3">
        <v>45385</v>
      </c>
      <c r="CH585" s="1">
        <v>6.7</v>
      </c>
      <c r="CI585" s="3">
        <v>45385</v>
      </c>
      <c r="CJ585" s="1">
        <v>6.42</v>
      </c>
      <c r="CK585" s="3">
        <v>45385</v>
      </c>
      <c r="CL585" s="1">
        <v>6.23</v>
      </c>
      <c r="CM585" s="3">
        <v>45385</v>
      </c>
      <c r="CN585" s="1">
        <v>6.0049999999999999</v>
      </c>
      <c r="CO585" s="3">
        <v>45377</v>
      </c>
      <c r="CP585" s="1">
        <v>5.79</v>
      </c>
      <c r="CQ585" s="3">
        <v>45377</v>
      </c>
      <c r="CR585" s="1">
        <v>5.73</v>
      </c>
      <c r="CS585" s="3">
        <v>45377</v>
      </c>
      <c r="CT585" s="1">
        <v>5.74</v>
      </c>
    </row>
    <row r="586" spans="31:98" x14ac:dyDescent="0.2">
      <c r="AE586" s="3">
        <v>45376</v>
      </c>
      <c r="AF586" s="1">
        <v>5.75</v>
      </c>
      <c r="AG586" s="3">
        <v>45349</v>
      </c>
      <c r="AH586" s="1">
        <v>5.86</v>
      </c>
      <c r="AI586" s="3">
        <v>45384</v>
      </c>
      <c r="AJ586" s="2">
        <v>5.8624999999999998</v>
      </c>
      <c r="AK586" s="3">
        <v>45384</v>
      </c>
      <c r="AL586" s="2">
        <v>5.8250000000000002</v>
      </c>
      <c r="AM586" s="3">
        <v>45384</v>
      </c>
      <c r="AN586" s="2">
        <v>5.8150000000000004</v>
      </c>
      <c r="AO586" s="3">
        <v>45384</v>
      </c>
      <c r="AP586" s="2">
        <v>5.71</v>
      </c>
      <c r="AQ586" s="3">
        <v>45384</v>
      </c>
      <c r="AR586" s="2">
        <v>5.38</v>
      </c>
      <c r="AS586" s="3">
        <v>45384</v>
      </c>
      <c r="AT586" s="2">
        <v>5.08</v>
      </c>
      <c r="AU586" s="3">
        <v>45384</v>
      </c>
      <c r="AV586" s="2">
        <v>4.84</v>
      </c>
      <c r="AW586" s="3">
        <v>45384</v>
      </c>
      <c r="AX586" s="2">
        <v>4.66</v>
      </c>
      <c r="AY586" s="3">
        <v>45384</v>
      </c>
      <c r="AZ586" s="2">
        <v>4.5449999999999999</v>
      </c>
      <c r="BB586" s="3">
        <v>45349</v>
      </c>
      <c r="BC586" s="1">
        <v>6.25</v>
      </c>
      <c r="BD586" s="3">
        <v>45350</v>
      </c>
      <c r="BE586" s="1">
        <v>5.99</v>
      </c>
      <c r="BF586" s="3">
        <v>45384</v>
      </c>
      <c r="BG586" s="1">
        <v>5.4249999999999998</v>
      </c>
      <c r="BH586" s="3">
        <v>45384</v>
      </c>
      <c r="BI586" s="1">
        <v>4.9850000000000003</v>
      </c>
      <c r="BJ586" s="3">
        <v>45384</v>
      </c>
      <c r="BK586" s="1">
        <v>4.6150000000000002</v>
      </c>
      <c r="BL586" s="3">
        <v>45384</v>
      </c>
      <c r="BM586" s="1">
        <v>3.835</v>
      </c>
      <c r="BN586" s="3">
        <v>45384</v>
      </c>
      <c r="BO586" s="1">
        <v>3.5049999999999999</v>
      </c>
      <c r="BP586" s="3">
        <v>45384</v>
      </c>
      <c r="BQ586" s="1">
        <v>3.383</v>
      </c>
      <c r="BR586" s="3">
        <v>45384</v>
      </c>
      <c r="BS586" s="1">
        <v>3.3530000000000002</v>
      </c>
      <c r="BT586" s="3">
        <v>45384</v>
      </c>
      <c r="BU586" s="1">
        <v>3.33</v>
      </c>
      <c r="BV586" s="3">
        <v>45384</v>
      </c>
      <c r="BW586" s="1">
        <v>3.31</v>
      </c>
      <c r="BY586" s="3">
        <v>45350</v>
      </c>
      <c r="BZ586" s="1">
        <v>9</v>
      </c>
      <c r="CA586" s="3">
        <v>45341</v>
      </c>
      <c r="CB586" s="1">
        <v>8.9</v>
      </c>
      <c r="CC586" s="3">
        <v>45384</v>
      </c>
      <c r="CD586" s="1">
        <v>7.38</v>
      </c>
      <c r="CE586" s="3">
        <v>45384</v>
      </c>
      <c r="CF586" s="1">
        <v>7.05</v>
      </c>
      <c r="CG586" s="3">
        <v>45384</v>
      </c>
      <c r="CH586" s="1">
        <v>6.73</v>
      </c>
      <c r="CI586" s="3">
        <v>45384</v>
      </c>
      <c r="CJ586" s="1">
        <v>6.45</v>
      </c>
      <c r="CK586" s="3">
        <v>45384</v>
      </c>
      <c r="CL586" s="1">
        <v>6.25</v>
      </c>
      <c r="CM586" s="3">
        <v>45384</v>
      </c>
      <c r="CN586" s="1">
        <v>6.0549999999999997</v>
      </c>
      <c r="CO586" s="3">
        <v>45376</v>
      </c>
      <c r="CP586" s="1">
        <v>5.76</v>
      </c>
      <c r="CQ586" s="3">
        <v>45376</v>
      </c>
      <c r="CR586" s="1">
        <v>5.7450000000000001</v>
      </c>
      <c r="CS586" s="3">
        <v>45376</v>
      </c>
      <c r="CT586" s="1">
        <v>5.7549999999999999</v>
      </c>
    </row>
    <row r="587" spans="31:98" x14ac:dyDescent="0.2">
      <c r="AE587" s="3">
        <v>45373</v>
      </c>
      <c r="AF587" s="1">
        <v>5.75</v>
      </c>
      <c r="AG587" s="3">
        <v>45348</v>
      </c>
      <c r="AH587" s="1">
        <v>5.86</v>
      </c>
      <c r="AI587" s="3">
        <v>45383</v>
      </c>
      <c r="AJ587" s="2">
        <v>5.8609999999999998</v>
      </c>
      <c r="AK587" s="3">
        <v>45383</v>
      </c>
      <c r="AL587" s="2">
        <v>5.835</v>
      </c>
      <c r="AM587" s="3">
        <v>45383</v>
      </c>
      <c r="AN587" s="2">
        <v>5.82</v>
      </c>
      <c r="AO587" s="3">
        <v>45383</v>
      </c>
      <c r="AP587" s="2">
        <v>5.71</v>
      </c>
      <c r="AQ587" s="3">
        <v>45383</v>
      </c>
      <c r="AR587" s="2">
        <v>5.3949999999999996</v>
      </c>
      <c r="AS587" s="3">
        <v>45383</v>
      </c>
      <c r="AT587" s="2">
        <v>5.07</v>
      </c>
      <c r="AU587" s="3">
        <v>45383</v>
      </c>
      <c r="AV587" s="2">
        <v>4.82</v>
      </c>
      <c r="AW587" s="3">
        <v>45383</v>
      </c>
      <c r="AX587" s="2">
        <v>4.625</v>
      </c>
      <c r="AY587" s="3">
        <v>45383</v>
      </c>
      <c r="AZ587" s="2">
        <v>4.4850000000000003</v>
      </c>
      <c r="BB587" s="3">
        <v>45348</v>
      </c>
      <c r="BC587" s="1">
        <v>6.25</v>
      </c>
      <c r="BD587" s="3">
        <v>45349</v>
      </c>
      <c r="BE587" s="1">
        <v>6</v>
      </c>
      <c r="BF587" s="3">
        <v>45383</v>
      </c>
      <c r="BG587" s="1">
        <v>5.4349999999999996</v>
      </c>
      <c r="BH587" s="3">
        <v>45383</v>
      </c>
      <c r="BI587" s="1">
        <v>4.992</v>
      </c>
      <c r="BJ587" s="3">
        <v>45383</v>
      </c>
      <c r="BK587" s="1">
        <v>4.58</v>
      </c>
      <c r="BL587" s="3">
        <v>45383</v>
      </c>
      <c r="BM587" s="1">
        <v>3.8050000000000002</v>
      </c>
      <c r="BN587" s="3">
        <v>45383</v>
      </c>
      <c r="BO587" s="1">
        <v>3.4550000000000001</v>
      </c>
      <c r="BP587" s="3">
        <v>45383</v>
      </c>
      <c r="BQ587" s="1">
        <v>3.3149999999999999</v>
      </c>
      <c r="BR587" s="3">
        <v>45383</v>
      </c>
      <c r="BS587" s="1">
        <v>3.2879999999999998</v>
      </c>
      <c r="BT587" s="3">
        <v>45383</v>
      </c>
      <c r="BU587" s="1">
        <v>3.26</v>
      </c>
      <c r="BV587" s="3">
        <v>45383</v>
      </c>
      <c r="BW587" s="1">
        <v>3.24</v>
      </c>
      <c r="BY587" s="3">
        <v>45349</v>
      </c>
      <c r="BZ587" s="1">
        <v>10</v>
      </c>
      <c r="CA587" s="3">
        <v>45338</v>
      </c>
      <c r="CB587" s="1">
        <v>8.93</v>
      </c>
      <c r="CC587" s="3">
        <v>45383</v>
      </c>
      <c r="CD587" s="1">
        <v>7.3947000000000003</v>
      </c>
      <c r="CE587" s="3">
        <v>45383</v>
      </c>
      <c r="CF587" s="1">
        <v>7.0613999999999999</v>
      </c>
      <c r="CG587" s="3">
        <v>45383</v>
      </c>
      <c r="CH587" s="1">
        <v>6.7641</v>
      </c>
      <c r="CI587" s="3">
        <v>45383</v>
      </c>
      <c r="CJ587" s="1">
        <v>6.4816000000000003</v>
      </c>
      <c r="CK587" s="3">
        <v>45383</v>
      </c>
      <c r="CL587" s="1">
        <v>6.2880000000000003</v>
      </c>
      <c r="CM587" s="3">
        <v>45383</v>
      </c>
      <c r="CN587" s="1">
        <v>6.0650000000000004</v>
      </c>
      <c r="CO587" s="3">
        <v>45373</v>
      </c>
      <c r="CP587" s="1">
        <v>5.73</v>
      </c>
      <c r="CQ587" s="3">
        <v>45373</v>
      </c>
      <c r="CR587" s="1">
        <v>5.71</v>
      </c>
      <c r="CS587" s="3">
        <v>45373</v>
      </c>
      <c r="CT587" s="1">
        <v>5.71</v>
      </c>
    </row>
    <row r="588" spans="31:98" x14ac:dyDescent="0.2">
      <c r="AE588" s="3">
        <v>45372</v>
      </c>
      <c r="AF588" s="1">
        <v>5.75</v>
      </c>
      <c r="AG588" s="3">
        <v>45345</v>
      </c>
      <c r="AH588" s="1">
        <v>5.85</v>
      </c>
      <c r="AI588" s="3">
        <v>45380</v>
      </c>
      <c r="AJ588" s="2">
        <v>5.8615000000000004</v>
      </c>
      <c r="AK588" s="3">
        <v>45380</v>
      </c>
      <c r="AL588" s="2">
        <v>5.835</v>
      </c>
      <c r="AM588" s="3">
        <v>45380</v>
      </c>
      <c r="AN588" s="2">
        <v>5.82</v>
      </c>
      <c r="AO588" s="3">
        <v>45380</v>
      </c>
      <c r="AP588" s="2">
        <v>5.71</v>
      </c>
      <c r="AQ588" s="3">
        <v>45380</v>
      </c>
      <c r="AR588" s="2">
        <v>5.3949999999999996</v>
      </c>
      <c r="AS588" s="3">
        <v>45380</v>
      </c>
      <c r="AT588" s="2">
        <v>5.07</v>
      </c>
      <c r="AU588" s="3">
        <v>45380</v>
      </c>
      <c r="AV588" s="2">
        <v>4.82</v>
      </c>
      <c r="AW588" s="3">
        <v>45380</v>
      </c>
      <c r="AX588" s="2">
        <v>4.625</v>
      </c>
      <c r="AY588" s="3">
        <v>45380</v>
      </c>
      <c r="AZ588" s="2">
        <v>4.4850000000000003</v>
      </c>
      <c r="BB588" s="3">
        <v>45345</v>
      </c>
      <c r="BC588" s="1">
        <v>6.25</v>
      </c>
      <c r="BD588" s="3">
        <v>45348</v>
      </c>
      <c r="BE588" s="1">
        <v>6.01</v>
      </c>
      <c r="BF588" s="3">
        <v>45380</v>
      </c>
      <c r="BG588" s="1">
        <v>5.4349999999999996</v>
      </c>
      <c r="BH588" s="3">
        <v>45380</v>
      </c>
      <c r="BI588" s="1">
        <v>4.9749999999999996</v>
      </c>
      <c r="BJ588" s="3">
        <v>45380</v>
      </c>
      <c r="BK588" s="1">
        <v>4.58</v>
      </c>
      <c r="BL588" s="3">
        <v>45380</v>
      </c>
      <c r="BM588" s="1">
        <v>3.8050000000000002</v>
      </c>
      <c r="BN588" s="3">
        <v>45380</v>
      </c>
      <c r="BO588" s="1">
        <v>3.4550000000000001</v>
      </c>
      <c r="BP588" s="3">
        <v>45380</v>
      </c>
      <c r="BQ588" s="1">
        <v>3.3149999999999999</v>
      </c>
      <c r="BR588" s="3">
        <v>45380</v>
      </c>
      <c r="BS588" s="1">
        <v>3.2879999999999998</v>
      </c>
      <c r="BT588" s="3">
        <v>45380</v>
      </c>
      <c r="BU588" s="1">
        <v>3.26</v>
      </c>
      <c r="BV588" s="3">
        <v>45380</v>
      </c>
      <c r="BW588" s="1">
        <v>3.24</v>
      </c>
      <c r="BY588" s="3">
        <v>45348</v>
      </c>
      <c r="BZ588" s="1">
        <v>10</v>
      </c>
      <c r="CA588" s="3">
        <v>45337</v>
      </c>
      <c r="CB588" s="1">
        <v>8.9600000000000009</v>
      </c>
      <c r="CC588" s="3">
        <v>45380</v>
      </c>
      <c r="CD588" s="1">
        <v>7.3559999999999999</v>
      </c>
      <c r="CE588" s="3">
        <v>45380</v>
      </c>
      <c r="CF588" s="1">
        <v>7.03</v>
      </c>
      <c r="CG588" s="3">
        <v>45380</v>
      </c>
      <c r="CH588" s="1">
        <v>6.74</v>
      </c>
      <c r="CI588" s="3">
        <v>45380</v>
      </c>
      <c r="CJ588" s="1">
        <v>6.48</v>
      </c>
      <c r="CK588" s="3">
        <v>45380</v>
      </c>
      <c r="CL588" s="1">
        <v>6.28</v>
      </c>
      <c r="CM588" s="3">
        <v>45380</v>
      </c>
      <c r="CN588" s="1">
        <v>6.0650000000000004</v>
      </c>
      <c r="CO588" s="3">
        <v>45372</v>
      </c>
      <c r="CP588" s="1">
        <v>5.68</v>
      </c>
      <c r="CQ588" s="3">
        <v>45372</v>
      </c>
      <c r="CR588" s="1">
        <v>5.665</v>
      </c>
      <c r="CS588" s="3">
        <v>45372</v>
      </c>
      <c r="CT588" s="1">
        <v>5.7050000000000001</v>
      </c>
    </row>
    <row r="589" spans="31:98" x14ac:dyDescent="0.2">
      <c r="AE589" s="3">
        <v>45371</v>
      </c>
      <c r="AF589" s="1">
        <v>5.75</v>
      </c>
      <c r="AG589" s="3">
        <v>45344</v>
      </c>
      <c r="AH589" s="1">
        <v>5.85</v>
      </c>
      <c r="AI589" s="3">
        <v>45379</v>
      </c>
      <c r="AJ589" s="2">
        <v>5.8615000000000004</v>
      </c>
      <c r="AK589" s="3">
        <v>45379</v>
      </c>
      <c r="AL589" s="2">
        <v>5.835</v>
      </c>
      <c r="AM589" s="3">
        <v>45379</v>
      </c>
      <c r="AN589" s="2">
        <v>5.82</v>
      </c>
      <c r="AO589" s="3">
        <v>45379</v>
      </c>
      <c r="AP589" s="2">
        <v>5.71</v>
      </c>
      <c r="AQ589" s="3">
        <v>45379</v>
      </c>
      <c r="AR589" s="2">
        <v>5.3949999999999996</v>
      </c>
      <c r="AS589" s="3">
        <v>45379</v>
      </c>
      <c r="AT589" s="2">
        <v>5.07</v>
      </c>
      <c r="AU589" s="3">
        <v>45379</v>
      </c>
      <c r="AV589" s="2">
        <v>4.82</v>
      </c>
      <c r="AW589" s="3">
        <v>45379</v>
      </c>
      <c r="AX589" s="2">
        <v>4.625</v>
      </c>
      <c r="AY589" s="3">
        <v>45379</v>
      </c>
      <c r="AZ589" s="2">
        <v>4.4850000000000003</v>
      </c>
      <c r="BB589" s="3">
        <v>45344</v>
      </c>
      <c r="BC589" s="1">
        <v>6.25</v>
      </c>
      <c r="BD589" s="3">
        <v>45345</v>
      </c>
      <c r="BE589" s="1">
        <v>6.03</v>
      </c>
      <c r="BF589" s="3">
        <v>45379</v>
      </c>
      <c r="BG589" s="1">
        <v>5.4349999999999996</v>
      </c>
      <c r="BH589" s="3">
        <v>45379</v>
      </c>
      <c r="BI589" s="1">
        <v>4.9749999999999996</v>
      </c>
      <c r="BJ589" s="3">
        <v>45379</v>
      </c>
      <c r="BK589" s="1">
        <v>4.58</v>
      </c>
      <c r="BL589" s="3">
        <v>45379</v>
      </c>
      <c r="BM589" s="1">
        <v>3.8050000000000002</v>
      </c>
      <c r="BN589" s="3">
        <v>45379</v>
      </c>
      <c r="BO589" s="1">
        <v>3.4550000000000001</v>
      </c>
      <c r="BP589" s="3">
        <v>45379</v>
      </c>
      <c r="BQ589" s="1">
        <v>3.3149999999999999</v>
      </c>
      <c r="BR589" s="3">
        <v>45379</v>
      </c>
      <c r="BS589" s="1">
        <v>3.2879999999999998</v>
      </c>
      <c r="BT589" s="3">
        <v>45379</v>
      </c>
      <c r="BU589" s="1">
        <v>3.26</v>
      </c>
      <c r="BV589" s="3">
        <v>45379</v>
      </c>
      <c r="BW589" s="1">
        <v>3.24</v>
      </c>
      <c r="BY589" s="3">
        <v>45345</v>
      </c>
      <c r="BZ589" s="1">
        <v>10</v>
      </c>
      <c r="CA589" s="3">
        <v>45336</v>
      </c>
      <c r="CB589" s="1">
        <v>8.99</v>
      </c>
      <c r="CC589" s="3">
        <v>45379</v>
      </c>
      <c r="CD589" s="1">
        <v>7.3559999999999999</v>
      </c>
      <c r="CE589" s="3">
        <v>45379</v>
      </c>
      <c r="CF589" s="1">
        <v>7.03</v>
      </c>
      <c r="CG589" s="3">
        <v>45379</v>
      </c>
      <c r="CH589" s="1">
        <v>6.74</v>
      </c>
      <c r="CI589" s="3">
        <v>45379</v>
      </c>
      <c r="CJ589" s="1">
        <v>6.48</v>
      </c>
      <c r="CK589" s="3">
        <v>45379</v>
      </c>
      <c r="CL589" s="1">
        <v>6.28</v>
      </c>
      <c r="CM589" s="3">
        <v>45379</v>
      </c>
      <c r="CN589" s="1">
        <v>6.0650000000000004</v>
      </c>
      <c r="CO589" s="3">
        <v>45371</v>
      </c>
      <c r="CP589" s="1">
        <v>5.68</v>
      </c>
      <c r="CQ589" s="3">
        <v>45371</v>
      </c>
      <c r="CR589" s="1">
        <v>5.66</v>
      </c>
      <c r="CS589" s="3">
        <v>45371</v>
      </c>
      <c r="CT589" s="1">
        <v>5.6950000000000003</v>
      </c>
    </row>
    <row r="590" spans="31:98" x14ac:dyDescent="0.2">
      <c r="AE590" s="3">
        <v>45370</v>
      </c>
      <c r="AF590" s="1">
        <v>5.75</v>
      </c>
      <c r="AG590" s="3">
        <v>45343</v>
      </c>
      <c r="AH590" s="1">
        <v>5.85</v>
      </c>
      <c r="AI590" s="3">
        <v>45378</v>
      </c>
      <c r="AJ590" s="2">
        <v>5.8520000000000003</v>
      </c>
      <c r="AK590" s="3">
        <v>45378</v>
      </c>
      <c r="AL590" s="2">
        <v>5.8375000000000004</v>
      </c>
      <c r="AM590" s="3">
        <v>45378</v>
      </c>
      <c r="AN590" s="2">
        <v>5.83</v>
      </c>
      <c r="AO590" s="3">
        <v>45378</v>
      </c>
      <c r="AP590" s="2">
        <v>5.7149999999999999</v>
      </c>
      <c r="AQ590" s="3">
        <v>45378</v>
      </c>
      <c r="AR590" s="2">
        <v>5.4474999999999998</v>
      </c>
      <c r="AS590" s="3">
        <v>45378</v>
      </c>
      <c r="AT590" s="2">
        <v>5.1725000000000003</v>
      </c>
      <c r="AU590" s="3">
        <v>45378</v>
      </c>
      <c r="AV590" s="2">
        <v>4.9275000000000002</v>
      </c>
      <c r="AW590" s="3">
        <v>45378</v>
      </c>
      <c r="AX590" s="2">
        <v>4.7324999999999999</v>
      </c>
      <c r="AY590" s="3">
        <v>45378</v>
      </c>
      <c r="AZ590" s="2">
        <v>4.5875000000000004</v>
      </c>
      <c r="BB590" s="3">
        <v>45343</v>
      </c>
      <c r="BC590" s="1">
        <v>6.25</v>
      </c>
      <c r="BD590" s="3">
        <v>45344</v>
      </c>
      <c r="BE590" s="1">
        <v>6.04</v>
      </c>
      <c r="BF590" s="3">
        <v>45378</v>
      </c>
      <c r="BG590" s="1">
        <v>5.4249999999999998</v>
      </c>
      <c r="BH590" s="3">
        <v>45378</v>
      </c>
      <c r="BI590" s="1">
        <v>4.9649999999999999</v>
      </c>
      <c r="BJ590" s="3">
        <v>45378</v>
      </c>
      <c r="BK590" s="1">
        <v>4.57</v>
      </c>
      <c r="BL590" s="3">
        <v>45378</v>
      </c>
      <c r="BM590" s="1">
        <v>3.798</v>
      </c>
      <c r="BN590" s="3">
        <v>45378</v>
      </c>
      <c r="BO590" s="1">
        <v>3.4329999999999998</v>
      </c>
      <c r="BP590" s="3">
        <v>45378</v>
      </c>
      <c r="BQ590" s="1">
        <v>3.29</v>
      </c>
      <c r="BR590" s="3">
        <v>45378</v>
      </c>
      <c r="BS590" s="1">
        <v>3.27</v>
      </c>
      <c r="BT590" s="3">
        <v>45378</v>
      </c>
      <c r="BU590" s="1">
        <v>3.25</v>
      </c>
      <c r="BV590" s="3">
        <v>45378</v>
      </c>
      <c r="BW590" s="1">
        <v>3.2450000000000001</v>
      </c>
      <c r="BY590" s="3">
        <v>45344</v>
      </c>
      <c r="BZ590" s="1">
        <v>10</v>
      </c>
      <c r="CA590" s="3">
        <v>45335</v>
      </c>
      <c r="CB590" s="1">
        <v>9.01</v>
      </c>
      <c r="CC590" s="3">
        <v>45378</v>
      </c>
      <c r="CD590" s="1">
        <v>7.38</v>
      </c>
      <c r="CE590" s="3">
        <v>45378</v>
      </c>
      <c r="CF590" s="1">
        <v>7.0650000000000004</v>
      </c>
      <c r="CG590" s="3">
        <v>45378</v>
      </c>
      <c r="CH590" s="1">
        <v>6.78</v>
      </c>
      <c r="CI590" s="3">
        <v>45378</v>
      </c>
      <c r="CJ590" s="1">
        <v>6.52</v>
      </c>
      <c r="CK590" s="3">
        <v>45378</v>
      </c>
      <c r="CL590" s="1">
        <v>6.29</v>
      </c>
      <c r="CM590" s="3">
        <v>45378</v>
      </c>
      <c r="CN590" s="1">
        <v>6.06</v>
      </c>
      <c r="CO590" s="3">
        <v>45370</v>
      </c>
      <c r="CP590" s="1">
        <v>5.7450000000000001</v>
      </c>
      <c r="CQ590" s="3">
        <v>45370</v>
      </c>
      <c r="CR590" s="1">
        <v>5.72</v>
      </c>
      <c r="CS590" s="3">
        <v>45370</v>
      </c>
      <c r="CT590" s="1">
        <v>5.7350000000000003</v>
      </c>
    </row>
    <row r="591" spans="31:98" x14ac:dyDescent="0.2">
      <c r="AE591" s="3">
        <v>45369</v>
      </c>
      <c r="AF591" s="1">
        <v>5.75</v>
      </c>
      <c r="AG591" s="3">
        <v>45342</v>
      </c>
      <c r="AH591" s="1">
        <v>5.87</v>
      </c>
      <c r="AI591" s="3">
        <v>45377</v>
      </c>
      <c r="AJ591" s="2">
        <v>5.8654999999999999</v>
      </c>
      <c r="AK591" s="3">
        <v>45377</v>
      </c>
      <c r="AL591" s="2">
        <v>5.85</v>
      </c>
      <c r="AM591" s="3">
        <v>45377</v>
      </c>
      <c r="AN591" s="2">
        <v>5.8449999999999998</v>
      </c>
      <c r="AO591" s="3">
        <v>45377</v>
      </c>
      <c r="AP591" s="2">
        <v>5.73</v>
      </c>
      <c r="AQ591" s="3">
        <v>45377</v>
      </c>
      <c r="AR591" s="2">
        <v>5.49</v>
      </c>
      <c r="AS591" s="3">
        <v>45377</v>
      </c>
      <c r="AT591" s="2">
        <v>5.2649999999999997</v>
      </c>
      <c r="AU591" s="3">
        <v>45377</v>
      </c>
      <c r="AV591" s="2">
        <v>5.0599999999999996</v>
      </c>
      <c r="AW591" s="3">
        <v>45377</v>
      </c>
      <c r="AX591" s="2">
        <v>4.8674999999999997</v>
      </c>
      <c r="AY591" s="3">
        <v>45377</v>
      </c>
      <c r="AZ591" s="2">
        <v>4.7225000000000001</v>
      </c>
      <c r="BB591" s="3">
        <v>45342</v>
      </c>
      <c r="BC591" s="1">
        <v>6.25</v>
      </c>
      <c r="BD591" s="3">
        <v>45343</v>
      </c>
      <c r="BE591" s="1">
        <v>6.06</v>
      </c>
      <c r="BF591" s="3">
        <v>45377</v>
      </c>
      <c r="BG591" s="1">
        <v>5.38</v>
      </c>
      <c r="BH591" s="3">
        <v>45377</v>
      </c>
      <c r="BI591" s="1">
        <v>4.9480000000000004</v>
      </c>
      <c r="BJ591" s="3">
        <v>45377</v>
      </c>
      <c r="BK591" s="1">
        <v>4.7629999999999999</v>
      </c>
      <c r="BL591" s="3">
        <v>45377</v>
      </c>
      <c r="BM591" s="1">
        <v>3.77</v>
      </c>
      <c r="BN591" s="3">
        <v>45377</v>
      </c>
      <c r="BO591" s="1">
        <v>3.3849999999999998</v>
      </c>
      <c r="BP591" s="3">
        <v>45377</v>
      </c>
      <c r="BQ591" s="1">
        <v>3.2429999999999999</v>
      </c>
      <c r="BR591" s="3">
        <v>45377</v>
      </c>
      <c r="BS591" s="1">
        <v>3.21</v>
      </c>
      <c r="BT591" s="3">
        <v>45377</v>
      </c>
      <c r="BU591" s="1">
        <v>3.2029999999999998</v>
      </c>
      <c r="BV591" s="3">
        <v>45377</v>
      </c>
      <c r="BW591" s="1">
        <v>3.1949999999999998</v>
      </c>
      <c r="BY591" s="3">
        <v>45343</v>
      </c>
      <c r="BZ591" s="1">
        <v>10</v>
      </c>
      <c r="CA591" s="3">
        <v>45334</v>
      </c>
      <c r="CB591" s="1">
        <v>9.0399999999999991</v>
      </c>
      <c r="CC591" s="3">
        <v>45377</v>
      </c>
      <c r="CD591" s="1">
        <v>7.3959999999999999</v>
      </c>
      <c r="CE591" s="3">
        <v>45377</v>
      </c>
      <c r="CF591" s="1">
        <v>7.024</v>
      </c>
      <c r="CG591" s="3">
        <v>45377</v>
      </c>
      <c r="CH591" s="1">
        <v>6.74</v>
      </c>
      <c r="CI591" s="3">
        <v>45377</v>
      </c>
      <c r="CJ591" s="1">
        <v>6.41</v>
      </c>
      <c r="CK591" s="3">
        <v>45377</v>
      </c>
      <c r="CL591" s="1">
        <v>6.15</v>
      </c>
      <c r="CM591" s="3">
        <v>45377</v>
      </c>
      <c r="CN591" s="1">
        <v>5.93</v>
      </c>
      <c r="CO591" s="3">
        <v>45369</v>
      </c>
      <c r="CP591" s="1">
        <v>5.835</v>
      </c>
      <c r="CQ591" s="3">
        <v>45369</v>
      </c>
      <c r="CR591" s="1">
        <v>5.81</v>
      </c>
      <c r="CS591" s="3">
        <v>45369</v>
      </c>
      <c r="CT591" s="1">
        <v>5.79</v>
      </c>
    </row>
    <row r="592" spans="31:98" x14ac:dyDescent="0.2">
      <c r="AE592" s="3">
        <v>45366</v>
      </c>
      <c r="AF592" s="1">
        <v>5.75</v>
      </c>
      <c r="AG592" s="3">
        <v>45341</v>
      </c>
      <c r="AH592" s="1">
        <v>5.86</v>
      </c>
      <c r="AI592" s="3">
        <v>45376</v>
      </c>
      <c r="AJ592" s="2">
        <v>5.8745000000000003</v>
      </c>
      <c r="AK592" s="3">
        <v>45376</v>
      </c>
      <c r="AL592" s="2">
        <v>5.87</v>
      </c>
      <c r="AM592" s="3">
        <v>45376</v>
      </c>
      <c r="AN592" s="2">
        <v>5.8624999999999998</v>
      </c>
      <c r="AO592" s="3">
        <v>45376</v>
      </c>
      <c r="AP592" s="2">
        <v>5.7750000000000004</v>
      </c>
      <c r="AQ592" s="3">
        <v>45376</v>
      </c>
      <c r="AR592" s="2">
        <v>5.54</v>
      </c>
      <c r="AS592" s="3">
        <v>45376</v>
      </c>
      <c r="AT592" s="2">
        <v>5.31</v>
      </c>
      <c r="AU592" s="3">
        <v>45376</v>
      </c>
      <c r="AV592" s="2">
        <v>5.0949999999999998</v>
      </c>
      <c r="AW592" s="3">
        <v>45376</v>
      </c>
      <c r="AX592" s="2">
        <v>4.8899999999999997</v>
      </c>
      <c r="AY592" s="3">
        <v>45376</v>
      </c>
      <c r="AZ592" s="2">
        <v>4.75</v>
      </c>
      <c r="BB592" s="3">
        <v>45341</v>
      </c>
      <c r="BC592" s="1">
        <v>6.25</v>
      </c>
      <c r="BD592" s="3">
        <v>45342</v>
      </c>
      <c r="BE592" s="1">
        <v>6.09</v>
      </c>
      <c r="BF592" s="3">
        <v>45376</v>
      </c>
      <c r="BG592" s="1">
        <v>5.3849999999999998</v>
      </c>
      <c r="BH592" s="3">
        <v>45376</v>
      </c>
      <c r="BI592" s="1">
        <v>4.9329999999999998</v>
      </c>
      <c r="BJ592" s="3">
        <v>45376</v>
      </c>
      <c r="BK592" s="1">
        <v>4.7549999999999999</v>
      </c>
      <c r="BL592" s="3">
        <v>45376</v>
      </c>
      <c r="BM592" s="1">
        <v>3.9249999999999998</v>
      </c>
      <c r="BN592" s="3">
        <v>45376</v>
      </c>
      <c r="BO592" s="1">
        <v>3.335</v>
      </c>
      <c r="BP592" s="3">
        <v>45376</v>
      </c>
      <c r="BQ592" s="1">
        <v>3.2080000000000002</v>
      </c>
      <c r="BR592" s="3">
        <v>45376</v>
      </c>
      <c r="BS592" s="1">
        <v>3.18</v>
      </c>
      <c r="BT592" s="3">
        <v>45376</v>
      </c>
      <c r="BU592" s="1">
        <v>3.16</v>
      </c>
      <c r="BV592" s="3">
        <v>45376</v>
      </c>
      <c r="BW592" s="1">
        <v>3.1429999999999998</v>
      </c>
      <c r="BY592" s="3">
        <v>45342</v>
      </c>
      <c r="BZ592" s="1">
        <v>10</v>
      </c>
      <c r="CA592" s="3">
        <v>45331</v>
      </c>
      <c r="CB592" s="1">
        <v>9.08</v>
      </c>
      <c r="CC592" s="3">
        <v>45376</v>
      </c>
      <c r="CD592" s="1">
        <v>7.4</v>
      </c>
      <c r="CE592" s="3">
        <v>45376</v>
      </c>
      <c r="CF592" s="1">
        <v>7.03</v>
      </c>
      <c r="CG592" s="3">
        <v>45376</v>
      </c>
      <c r="CH592" s="1">
        <v>6.74</v>
      </c>
      <c r="CI592" s="3">
        <v>45376</v>
      </c>
      <c r="CJ592" s="1">
        <v>6.36</v>
      </c>
      <c r="CK592" s="3">
        <v>45376</v>
      </c>
      <c r="CL592" s="1">
        <v>6.1</v>
      </c>
      <c r="CM592" s="3">
        <v>45376</v>
      </c>
      <c r="CN592" s="1">
        <v>5.82</v>
      </c>
      <c r="CO592" s="3">
        <v>45366</v>
      </c>
      <c r="CP592" s="1">
        <v>5.4749999999999996</v>
      </c>
      <c r="CQ592" s="3">
        <v>45366</v>
      </c>
      <c r="CR592" s="1">
        <v>5.4450000000000003</v>
      </c>
      <c r="CS592" s="3">
        <v>45366</v>
      </c>
      <c r="CT592" s="1">
        <v>5.4349999999999996</v>
      </c>
    </row>
    <row r="593" spans="31:98" x14ac:dyDescent="0.2">
      <c r="AE593" s="3">
        <v>45365</v>
      </c>
      <c r="AF593" s="1">
        <v>5.75</v>
      </c>
      <c r="AG593" s="3">
        <v>45338</v>
      </c>
      <c r="AH593" s="1">
        <v>5.88</v>
      </c>
      <c r="AI593" s="3">
        <v>45373</v>
      </c>
      <c r="AJ593" s="2">
        <v>5.875</v>
      </c>
      <c r="AK593" s="3">
        <v>45373</v>
      </c>
      <c r="AL593" s="2">
        <v>5.87</v>
      </c>
      <c r="AM593" s="3">
        <v>45373</v>
      </c>
      <c r="AN593" s="2">
        <v>5.86</v>
      </c>
      <c r="AO593" s="3">
        <v>45373</v>
      </c>
      <c r="AP593" s="2">
        <v>5.7850000000000001</v>
      </c>
      <c r="AQ593" s="3">
        <v>45373</v>
      </c>
      <c r="AR593" s="2">
        <v>5.54</v>
      </c>
      <c r="AS593" s="3">
        <v>45373</v>
      </c>
      <c r="AT593" s="2">
        <v>5.2750000000000004</v>
      </c>
      <c r="AU593" s="3">
        <v>45373</v>
      </c>
      <c r="AV593" s="2">
        <v>5.03</v>
      </c>
      <c r="AW593" s="3">
        <v>45373</v>
      </c>
      <c r="AX593" s="2">
        <v>4.8075000000000001</v>
      </c>
      <c r="AY593" s="3">
        <v>45373</v>
      </c>
      <c r="AZ593" s="2">
        <v>4.66</v>
      </c>
      <c r="BB593" s="3">
        <v>45334</v>
      </c>
      <c r="BC593" s="1">
        <v>6.25</v>
      </c>
      <c r="BD593" s="3">
        <v>45341</v>
      </c>
      <c r="BE593" s="1">
        <v>6.09</v>
      </c>
      <c r="BF593" s="3">
        <v>45373</v>
      </c>
      <c r="BG593" s="1">
        <v>5.41</v>
      </c>
      <c r="BH593" s="3">
        <v>45373</v>
      </c>
      <c r="BI593" s="1">
        <v>4.923</v>
      </c>
      <c r="BJ593" s="3">
        <v>45373</v>
      </c>
      <c r="BK593" s="1">
        <v>4.7329999999999997</v>
      </c>
      <c r="BL593" s="3">
        <v>45373</v>
      </c>
      <c r="BM593" s="1">
        <v>3.8929999999999998</v>
      </c>
      <c r="BN593" s="3">
        <v>45373</v>
      </c>
      <c r="BO593" s="1">
        <v>3.33</v>
      </c>
      <c r="BP593" s="3">
        <v>45373</v>
      </c>
      <c r="BQ593" s="1">
        <v>3.2050000000000001</v>
      </c>
      <c r="BR593" s="3">
        <v>45373</v>
      </c>
      <c r="BS593" s="1">
        <v>3.16</v>
      </c>
      <c r="BT593" s="3">
        <v>45373</v>
      </c>
      <c r="BU593" s="1">
        <v>3.13</v>
      </c>
      <c r="BV593" s="3">
        <v>45373</v>
      </c>
      <c r="BW593" s="1">
        <v>3.105</v>
      </c>
      <c r="BY593" s="3">
        <v>45341</v>
      </c>
      <c r="BZ593" s="1">
        <v>10</v>
      </c>
      <c r="CA593" s="3">
        <v>45330</v>
      </c>
      <c r="CB593" s="1">
        <v>9.1199999999999992</v>
      </c>
      <c r="CC593" s="3">
        <v>45373</v>
      </c>
      <c r="CD593" s="1">
        <v>7.37</v>
      </c>
      <c r="CE593" s="3">
        <v>45373</v>
      </c>
      <c r="CF593" s="1">
        <v>6.98</v>
      </c>
      <c r="CG593" s="3">
        <v>45373</v>
      </c>
      <c r="CH593" s="1">
        <v>6.67</v>
      </c>
      <c r="CI593" s="3">
        <v>45373</v>
      </c>
      <c r="CJ593" s="1">
        <v>6.35</v>
      </c>
      <c r="CK593" s="3">
        <v>45373</v>
      </c>
      <c r="CL593" s="1">
        <v>6.03</v>
      </c>
      <c r="CM593" s="3">
        <v>45373</v>
      </c>
      <c r="CN593" s="1">
        <v>5.79</v>
      </c>
      <c r="CO593" s="3">
        <v>45365</v>
      </c>
      <c r="CP593" s="1">
        <v>5.4749999999999996</v>
      </c>
      <c r="CQ593" s="3">
        <v>45365</v>
      </c>
      <c r="CR593" s="1">
        <v>5.4450000000000003</v>
      </c>
      <c r="CS593" s="3">
        <v>45365</v>
      </c>
      <c r="CT593" s="1">
        <v>5.4349999999999996</v>
      </c>
    </row>
    <row r="594" spans="31:98" x14ac:dyDescent="0.2">
      <c r="AE594" s="3">
        <v>45364</v>
      </c>
      <c r="AF594" s="1">
        <v>5.75</v>
      </c>
      <c r="AG594" s="3">
        <v>45337</v>
      </c>
      <c r="AH594" s="1">
        <v>5.86</v>
      </c>
      <c r="AI594" s="3">
        <v>45372</v>
      </c>
      <c r="AJ594" s="2">
        <v>5.8745000000000003</v>
      </c>
      <c r="AK594" s="3">
        <v>45372</v>
      </c>
      <c r="AL594" s="2">
        <v>5.8674999999999997</v>
      </c>
      <c r="AM594" s="3">
        <v>45372</v>
      </c>
      <c r="AN594" s="2">
        <v>5.86</v>
      </c>
      <c r="AO594" s="3">
        <v>45372</v>
      </c>
      <c r="AP594" s="2">
        <v>5.7824999999999998</v>
      </c>
      <c r="AQ594" s="3">
        <v>45372</v>
      </c>
      <c r="AR594" s="2">
        <v>5.53</v>
      </c>
      <c r="AS594" s="3">
        <v>45372</v>
      </c>
      <c r="AT594" s="2">
        <v>5.26</v>
      </c>
      <c r="AU594" s="3">
        <v>45372</v>
      </c>
      <c r="AV594" s="2">
        <v>5.0049999999999999</v>
      </c>
      <c r="AW594" s="3">
        <v>45372</v>
      </c>
      <c r="AX594" s="2">
        <v>4.7699999999999996</v>
      </c>
      <c r="AY594" s="3">
        <v>45372</v>
      </c>
      <c r="AZ594" s="2">
        <v>4.6174999999999997</v>
      </c>
      <c r="BB594" s="3">
        <v>45331</v>
      </c>
      <c r="BC594" s="1">
        <v>6.25</v>
      </c>
      <c r="BD594" s="3">
        <v>45338</v>
      </c>
      <c r="BE594" s="1">
        <v>6.1</v>
      </c>
      <c r="BF594" s="3">
        <v>45372</v>
      </c>
      <c r="BG594" s="1">
        <v>5.41</v>
      </c>
      <c r="BH594" s="3">
        <v>45372</v>
      </c>
      <c r="BI594" s="1">
        <v>4.9450000000000003</v>
      </c>
      <c r="BJ594" s="3">
        <v>45372</v>
      </c>
      <c r="BK594" s="1">
        <v>4.7549999999999999</v>
      </c>
      <c r="BL594" s="3">
        <v>45372</v>
      </c>
      <c r="BM594" s="1">
        <v>3.915</v>
      </c>
      <c r="BN594" s="3">
        <v>45372</v>
      </c>
      <c r="BO594" s="1">
        <v>3.3130000000000002</v>
      </c>
      <c r="BP594" s="3">
        <v>45372</v>
      </c>
      <c r="BQ594" s="1">
        <v>3.2280000000000002</v>
      </c>
      <c r="BR594" s="3">
        <v>45372</v>
      </c>
      <c r="BS594" s="1">
        <v>3.1949999999999998</v>
      </c>
      <c r="BT594" s="3">
        <v>45372</v>
      </c>
      <c r="BU594" s="1">
        <v>3.18</v>
      </c>
      <c r="BV594" s="3">
        <v>45372</v>
      </c>
      <c r="BW594" s="1">
        <v>3.1680000000000001</v>
      </c>
      <c r="BY594" s="3">
        <v>45338</v>
      </c>
      <c r="BZ594" s="1">
        <v>10</v>
      </c>
      <c r="CA594" s="3">
        <v>45329</v>
      </c>
      <c r="CB594" s="1">
        <v>9.14</v>
      </c>
      <c r="CC594" s="3">
        <v>45372</v>
      </c>
      <c r="CD594" s="1">
        <v>7.45</v>
      </c>
      <c r="CE594" s="3">
        <v>45372</v>
      </c>
      <c r="CF594" s="1">
        <v>6.9249999999999998</v>
      </c>
      <c r="CG594" s="3">
        <v>45372</v>
      </c>
      <c r="CH594" s="1">
        <v>6.57</v>
      </c>
      <c r="CI594" s="3">
        <v>45372</v>
      </c>
      <c r="CJ594" s="1">
        <v>6.16</v>
      </c>
      <c r="CK594" s="3">
        <v>45372</v>
      </c>
      <c r="CL594" s="1">
        <v>5.84</v>
      </c>
      <c r="CM594" s="3">
        <v>45372</v>
      </c>
      <c r="CN594" s="1">
        <v>5.71</v>
      </c>
      <c r="CO594" s="3">
        <v>45364</v>
      </c>
      <c r="CP594" s="1">
        <v>5.37</v>
      </c>
      <c r="CQ594" s="3">
        <v>45364</v>
      </c>
      <c r="CR594" s="1">
        <v>5.36</v>
      </c>
      <c r="CS594" s="3">
        <v>45364</v>
      </c>
      <c r="CT594" s="1">
        <v>5.35</v>
      </c>
    </row>
    <row r="595" spans="31:98" x14ac:dyDescent="0.2">
      <c r="AE595" s="3">
        <v>45363</v>
      </c>
      <c r="AF595" s="1">
        <v>5.75</v>
      </c>
      <c r="AG595" s="3">
        <v>45336</v>
      </c>
      <c r="AH595" s="1">
        <v>5.86</v>
      </c>
      <c r="AI595" s="3">
        <v>45371</v>
      </c>
      <c r="AJ595" s="2">
        <v>5.8739999999999997</v>
      </c>
      <c r="AK595" s="3">
        <v>45371</v>
      </c>
      <c r="AL595" s="2">
        <v>5.87</v>
      </c>
      <c r="AM595" s="3">
        <v>45371</v>
      </c>
      <c r="AN595" s="2">
        <v>5.86</v>
      </c>
      <c r="AO595" s="3">
        <v>45371</v>
      </c>
      <c r="AP595" s="2">
        <v>5.79</v>
      </c>
      <c r="AQ595" s="3">
        <v>45371</v>
      </c>
      <c r="AR595" s="2">
        <v>5.55</v>
      </c>
      <c r="AS595" s="3">
        <v>45371</v>
      </c>
      <c r="AT595" s="2">
        <v>5.2750000000000004</v>
      </c>
      <c r="AU595" s="3">
        <v>45371</v>
      </c>
      <c r="AV595" s="2">
        <v>5.0149999999999997</v>
      </c>
      <c r="AW595" s="3">
        <v>45371</v>
      </c>
      <c r="AX595" s="2">
        <v>4.78</v>
      </c>
      <c r="AY595" s="3">
        <v>45371</v>
      </c>
      <c r="AZ595" s="2">
        <v>4.625</v>
      </c>
      <c r="BB595" s="3">
        <v>45330</v>
      </c>
      <c r="BC595" s="1">
        <v>6.75</v>
      </c>
      <c r="BD595" s="3">
        <v>45337</v>
      </c>
      <c r="BE595" s="1">
        <v>6.11</v>
      </c>
      <c r="BF595" s="3">
        <v>45371</v>
      </c>
      <c r="BG595" s="1">
        <v>5.4649999999999999</v>
      </c>
      <c r="BH595" s="3">
        <v>45371</v>
      </c>
      <c r="BI595" s="1">
        <v>4.9450000000000003</v>
      </c>
      <c r="BJ595" s="3">
        <v>45371</v>
      </c>
      <c r="BK595" s="1">
        <v>4.76</v>
      </c>
      <c r="BL595" s="3">
        <v>45371</v>
      </c>
      <c r="BM595" s="1">
        <v>3.93</v>
      </c>
      <c r="BN595" s="3">
        <v>45371</v>
      </c>
      <c r="BO595" s="1">
        <v>3.415</v>
      </c>
      <c r="BP595" s="3">
        <v>45371</v>
      </c>
      <c r="BQ595" s="1">
        <v>3.2</v>
      </c>
      <c r="BR595" s="3">
        <v>45371</v>
      </c>
      <c r="BS595" s="1">
        <v>3.17</v>
      </c>
      <c r="BT595" s="3">
        <v>45371</v>
      </c>
      <c r="BU595" s="1">
        <v>3.1549999999999998</v>
      </c>
      <c r="BV595" s="3">
        <v>45371</v>
      </c>
      <c r="BW595" s="1">
        <v>3.145</v>
      </c>
      <c r="BY595" s="3">
        <v>45337</v>
      </c>
      <c r="BZ595" s="1">
        <v>10</v>
      </c>
      <c r="CA595" s="3">
        <v>45328</v>
      </c>
      <c r="CB595" s="1">
        <v>9.16</v>
      </c>
      <c r="CC595" s="3">
        <v>45371</v>
      </c>
      <c r="CD595" s="1">
        <v>7.5179999999999998</v>
      </c>
      <c r="CE595" s="3">
        <v>45371</v>
      </c>
      <c r="CF595" s="1">
        <v>7.0819999999999999</v>
      </c>
      <c r="CG595" s="3">
        <v>45371</v>
      </c>
      <c r="CH595" s="1">
        <v>6.61</v>
      </c>
      <c r="CI595" s="3">
        <v>45371</v>
      </c>
      <c r="CJ595" s="1">
        <v>6.2</v>
      </c>
      <c r="CK595" s="3">
        <v>45371</v>
      </c>
      <c r="CL595" s="1">
        <v>5.88</v>
      </c>
      <c r="CM595" s="3">
        <v>45371</v>
      </c>
      <c r="CN595" s="1">
        <v>5.7149999999999999</v>
      </c>
      <c r="CO595" s="3">
        <v>45363</v>
      </c>
      <c r="CP595" s="1">
        <v>5.28</v>
      </c>
      <c r="CQ595" s="3">
        <v>45363</v>
      </c>
      <c r="CR595" s="1">
        <v>5.2750000000000004</v>
      </c>
      <c r="CS595" s="3">
        <v>45363</v>
      </c>
      <c r="CT595" s="1">
        <v>5.2750000000000004</v>
      </c>
    </row>
    <row r="596" spans="31:98" x14ac:dyDescent="0.2">
      <c r="AE596" s="3">
        <v>45362</v>
      </c>
      <c r="AF596" s="1">
        <v>5.75</v>
      </c>
      <c r="AG596" s="3">
        <v>45335</v>
      </c>
      <c r="AH596" s="1">
        <v>5.86</v>
      </c>
      <c r="AI596" s="3">
        <v>45370</v>
      </c>
      <c r="AJ596" s="2">
        <v>5.8775000000000004</v>
      </c>
      <c r="AK596" s="3">
        <v>45370</v>
      </c>
      <c r="AL596" s="2">
        <v>5.8650000000000002</v>
      </c>
      <c r="AM596" s="3">
        <v>45370</v>
      </c>
      <c r="AN596" s="2">
        <v>5.8550000000000004</v>
      </c>
      <c r="AO596" s="3">
        <v>45370</v>
      </c>
      <c r="AP596" s="2">
        <v>5.75</v>
      </c>
      <c r="AQ596" s="3">
        <v>45370</v>
      </c>
      <c r="AR596" s="2">
        <v>5.48</v>
      </c>
      <c r="AS596" s="3">
        <v>45370</v>
      </c>
      <c r="AT596" s="2">
        <v>5.2024999999999997</v>
      </c>
      <c r="AU596" s="3">
        <v>45370</v>
      </c>
      <c r="AV596" s="2">
        <v>4.9424999999999999</v>
      </c>
      <c r="AW596" s="3">
        <v>45370</v>
      </c>
      <c r="AX596" s="2">
        <v>4.7024999999999997</v>
      </c>
      <c r="AY596" s="3">
        <v>45370</v>
      </c>
      <c r="AZ596" s="2">
        <v>4.5425000000000004</v>
      </c>
      <c r="BB596" s="3">
        <v>45329</v>
      </c>
      <c r="BC596" s="1">
        <v>6.75</v>
      </c>
      <c r="BD596" s="3">
        <v>45336</v>
      </c>
      <c r="BE596" s="1">
        <v>6.13</v>
      </c>
      <c r="BF596" s="3">
        <v>45370</v>
      </c>
      <c r="BG596" s="1">
        <v>5.37</v>
      </c>
      <c r="BH596" s="3">
        <v>45370</v>
      </c>
      <c r="BI596" s="1">
        <v>4.88</v>
      </c>
      <c r="BJ596" s="3">
        <v>45370</v>
      </c>
      <c r="BK596" s="1">
        <v>4.6900000000000004</v>
      </c>
      <c r="BL596" s="3">
        <v>45370</v>
      </c>
      <c r="BM596" s="1">
        <v>3.91</v>
      </c>
      <c r="BN596" s="3">
        <v>45370</v>
      </c>
      <c r="BO596" s="1">
        <v>3.403</v>
      </c>
      <c r="BP596" s="3">
        <v>45370</v>
      </c>
      <c r="BQ596" s="1">
        <v>3.1680000000000001</v>
      </c>
      <c r="BR596" s="3">
        <v>45370</v>
      </c>
      <c r="BS596" s="1">
        <v>3.145</v>
      </c>
      <c r="BT596" s="3">
        <v>45370</v>
      </c>
      <c r="BU596" s="1">
        <v>3.1179999999999999</v>
      </c>
      <c r="BV596" s="3">
        <v>45370</v>
      </c>
      <c r="BW596" s="1">
        <v>3.1</v>
      </c>
      <c r="BY596" s="3">
        <v>45336</v>
      </c>
      <c r="BZ596" s="1">
        <v>10</v>
      </c>
      <c r="CA596" s="3">
        <v>45327</v>
      </c>
      <c r="CB596" s="1">
        <v>9.17</v>
      </c>
      <c r="CC596" s="3">
        <v>45370</v>
      </c>
      <c r="CD596" s="1">
        <v>7.5529999999999999</v>
      </c>
      <c r="CE596" s="3">
        <v>45370</v>
      </c>
      <c r="CF596" s="1">
        <v>7.1159999999999997</v>
      </c>
      <c r="CG596" s="3">
        <v>45370</v>
      </c>
      <c r="CH596" s="1">
        <v>6.63</v>
      </c>
      <c r="CI596" s="3">
        <v>45370</v>
      </c>
      <c r="CJ596" s="1">
        <v>6.2</v>
      </c>
      <c r="CK596" s="3">
        <v>45370</v>
      </c>
      <c r="CL596" s="1">
        <v>5.88</v>
      </c>
      <c r="CM596" s="3">
        <v>45370</v>
      </c>
      <c r="CN596" s="1">
        <v>5.7850000000000001</v>
      </c>
      <c r="CO596" s="3">
        <v>45362</v>
      </c>
      <c r="CP596" s="1">
        <v>5.1749999999999998</v>
      </c>
      <c r="CQ596" s="3">
        <v>45362</v>
      </c>
      <c r="CR596" s="1">
        <v>5.1849999999999996</v>
      </c>
      <c r="CS596" s="3">
        <v>45362</v>
      </c>
      <c r="CT596" s="1">
        <v>5.2249999999999996</v>
      </c>
    </row>
    <row r="597" spans="31:98" x14ac:dyDescent="0.2">
      <c r="AE597" s="3">
        <v>45359</v>
      </c>
      <c r="AF597" s="1">
        <v>5.75</v>
      </c>
      <c r="AG597" s="3">
        <v>45334</v>
      </c>
      <c r="AH597" s="1">
        <v>5.87</v>
      </c>
      <c r="AI597" s="3">
        <v>45369</v>
      </c>
      <c r="AJ597" s="2">
        <v>5.8754999999999997</v>
      </c>
      <c r="AK597" s="3">
        <v>45369</v>
      </c>
      <c r="AL597" s="2">
        <v>5.8650000000000002</v>
      </c>
      <c r="AM597" s="3">
        <v>45369</v>
      </c>
      <c r="AN597" s="2">
        <v>5.85</v>
      </c>
      <c r="AO597" s="3">
        <v>45369</v>
      </c>
      <c r="AP597" s="2">
        <v>5.75</v>
      </c>
      <c r="AQ597" s="3">
        <v>45369</v>
      </c>
      <c r="AR597" s="2">
        <v>5.47</v>
      </c>
      <c r="AS597" s="3">
        <v>45369</v>
      </c>
      <c r="AT597" s="2">
        <v>5.18</v>
      </c>
      <c r="AU597" s="3">
        <v>45369</v>
      </c>
      <c r="AV597" s="2">
        <v>4.91</v>
      </c>
      <c r="AW597" s="3">
        <v>45369</v>
      </c>
      <c r="AX597" s="2">
        <v>4.6749999999999998</v>
      </c>
      <c r="AY597" s="3">
        <v>45369</v>
      </c>
      <c r="AZ597" s="2">
        <v>4.53</v>
      </c>
      <c r="BB597" s="3">
        <v>45328</v>
      </c>
      <c r="BC597" s="1">
        <v>6.75</v>
      </c>
      <c r="BD597" s="3">
        <v>45335</v>
      </c>
      <c r="BE597" s="1">
        <v>6.15</v>
      </c>
      <c r="BF597" s="3">
        <v>45369</v>
      </c>
      <c r="BG597" s="1">
        <v>5.4</v>
      </c>
      <c r="BH597" s="3">
        <v>45369</v>
      </c>
      <c r="BI597" s="1">
        <v>4.8899999999999997</v>
      </c>
      <c r="BJ597" s="3">
        <v>45369</v>
      </c>
      <c r="BK597" s="1">
        <v>4.7</v>
      </c>
      <c r="BL597" s="3">
        <v>45369</v>
      </c>
      <c r="BM597" s="1">
        <v>3.9279999999999999</v>
      </c>
      <c r="BN597" s="3">
        <v>45369</v>
      </c>
      <c r="BO597" s="1">
        <v>3.4129999999999998</v>
      </c>
      <c r="BP597" s="3">
        <v>45369</v>
      </c>
      <c r="BQ597" s="1">
        <v>3.1549999999999998</v>
      </c>
      <c r="BR597" s="3">
        <v>45369</v>
      </c>
      <c r="BS597" s="1">
        <v>3.145</v>
      </c>
      <c r="BT597" s="3">
        <v>45369</v>
      </c>
      <c r="BU597" s="1">
        <v>3.13</v>
      </c>
      <c r="BV597" s="3">
        <v>45369</v>
      </c>
      <c r="BW597" s="1">
        <v>3.113</v>
      </c>
      <c r="BY597" s="3">
        <v>45335</v>
      </c>
      <c r="BZ597" s="1">
        <v>10</v>
      </c>
      <c r="CA597" s="3">
        <v>45324</v>
      </c>
      <c r="CB597" s="1">
        <v>9.19</v>
      </c>
      <c r="CC597" s="3">
        <v>45369</v>
      </c>
      <c r="CD597" s="1">
        <v>7.55</v>
      </c>
      <c r="CE597" s="3">
        <v>45369</v>
      </c>
      <c r="CF597" s="1">
        <v>7.14</v>
      </c>
      <c r="CG597" s="3">
        <v>45369</v>
      </c>
      <c r="CH597" s="1">
        <v>6.78</v>
      </c>
      <c r="CI597" s="3">
        <v>45369</v>
      </c>
      <c r="CJ597" s="1">
        <v>6.32</v>
      </c>
      <c r="CK597" s="3">
        <v>45369</v>
      </c>
      <c r="CL597" s="1">
        <v>6.07</v>
      </c>
      <c r="CM597" s="3">
        <v>45369</v>
      </c>
      <c r="CN597" s="1">
        <v>5.88</v>
      </c>
      <c r="CO597" s="3">
        <v>45359</v>
      </c>
      <c r="CP597" s="1">
        <v>5.16</v>
      </c>
      <c r="CQ597" s="3">
        <v>45359</v>
      </c>
      <c r="CR597" s="1">
        <v>5.1550000000000002</v>
      </c>
      <c r="CS597" s="3">
        <v>45359</v>
      </c>
      <c r="CT597" s="1">
        <v>5.1849999999999996</v>
      </c>
    </row>
    <row r="598" spans="31:98" x14ac:dyDescent="0.2">
      <c r="AE598" s="3">
        <v>45358</v>
      </c>
      <c r="AF598" s="1">
        <v>5.75</v>
      </c>
      <c r="AG598" s="3">
        <v>45331</v>
      </c>
      <c r="AH598" s="1">
        <v>5.86</v>
      </c>
      <c r="AI598" s="3">
        <v>45366</v>
      </c>
      <c r="AJ598" s="2">
        <v>5.8615000000000004</v>
      </c>
      <c r="AK598" s="3">
        <v>45366</v>
      </c>
      <c r="AL598" s="2">
        <v>5.8525</v>
      </c>
      <c r="AM598" s="3">
        <v>45366</v>
      </c>
      <c r="AN598" s="2">
        <v>5.8324999999999996</v>
      </c>
      <c r="AO598" s="3">
        <v>45366</v>
      </c>
      <c r="AP598" s="2">
        <v>5.7050000000000001</v>
      </c>
      <c r="AQ598" s="3">
        <v>45366</v>
      </c>
      <c r="AR598" s="2">
        <v>5.3949999999999996</v>
      </c>
      <c r="AS598" s="3">
        <v>45366</v>
      </c>
      <c r="AT598" s="2">
        <v>5.0449999999999999</v>
      </c>
      <c r="AU598" s="3">
        <v>45366</v>
      </c>
      <c r="AV598" s="2">
        <v>4.7649999999999997</v>
      </c>
      <c r="AW598" s="3">
        <v>45366</v>
      </c>
      <c r="AX598" s="2">
        <v>4.5350000000000001</v>
      </c>
      <c r="AY598" s="3">
        <v>45366</v>
      </c>
      <c r="AZ598" s="2">
        <v>4.41</v>
      </c>
      <c r="BB598" s="3">
        <v>45327</v>
      </c>
      <c r="BC598" s="1">
        <v>6.75</v>
      </c>
      <c r="BD598" s="3">
        <v>45334</v>
      </c>
      <c r="BE598" s="1">
        <v>6.17</v>
      </c>
      <c r="BF598" s="3">
        <v>45366</v>
      </c>
      <c r="BG598" s="1">
        <v>5.37</v>
      </c>
      <c r="BH598" s="3">
        <v>45366</v>
      </c>
      <c r="BI598" s="1">
        <v>4.8630000000000004</v>
      </c>
      <c r="BJ598" s="3">
        <v>45366</v>
      </c>
      <c r="BK598" s="1">
        <v>4.6749999999999998</v>
      </c>
      <c r="BL598" s="3">
        <v>45366</v>
      </c>
      <c r="BM598" s="1">
        <v>3.835</v>
      </c>
      <c r="BN598" s="3">
        <v>45366</v>
      </c>
      <c r="BO598" s="1">
        <v>3.33</v>
      </c>
      <c r="BP598" s="3">
        <v>45366</v>
      </c>
      <c r="BQ598" s="1">
        <v>3.048</v>
      </c>
      <c r="BR598" s="3">
        <v>45366</v>
      </c>
      <c r="BS598" s="1">
        <v>3.0350000000000001</v>
      </c>
      <c r="BT598" s="3">
        <v>45366</v>
      </c>
      <c r="BU598" s="1">
        <v>3.028</v>
      </c>
      <c r="BV598" s="3">
        <v>45366</v>
      </c>
      <c r="BW598" s="1">
        <v>3.0329999999999999</v>
      </c>
      <c r="BY598" s="3">
        <v>45334</v>
      </c>
      <c r="BZ598" s="1">
        <v>10</v>
      </c>
      <c r="CA598" s="3">
        <v>45323</v>
      </c>
      <c r="CB598" s="1">
        <v>9.1999999999999993</v>
      </c>
      <c r="CC598" s="3">
        <v>45366</v>
      </c>
      <c r="CD598" s="1">
        <v>7.57</v>
      </c>
      <c r="CE598" s="3">
        <v>45366</v>
      </c>
      <c r="CF598" s="1">
        <v>7.0810000000000004</v>
      </c>
      <c r="CG598" s="3">
        <v>45366</v>
      </c>
      <c r="CH598" s="1">
        <v>6.64</v>
      </c>
      <c r="CI598" s="3">
        <v>45366</v>
      </c>
      <c r="CJ598" s="1">
        <v>6.01</v>
      </c>
      <c r="CK598" s="3">
        <v>45366</v>
      </c>
      <c r="CL598" s="1">
        <v>5.69</v>
      </c>
      <c r="CM598" s="3">
        <v>45366</v>
      </c>
      <c r="CN598" s="1">
        <v>5.5250000000000004</v>
      </c>
      <c r="CO598" s="3">
        <v>45358</v>
      </c>
      <c r="CP598" s="1">
        <v>5.2</v>
      </c>
      <c r="CQ598" s="3">
        <v>45358</v>
      </c>
      <c r="CR598" s="1">
        <v>5.2249999999999996</v>
      </c>
      <c r="CS598" s="3">
        <v>45358</v>
      </c>
      <c r="CT598" s="1">
        <v>5.2750000000000004</v>
      </c>
    </row>
    <row r="599" spans="31:98" x14ac:dyDescent="0.2">
      <c r="AE599" s="3">
        <v>45357</v>
      </c>
      <c r="AF599" s="1">
        <v>5.75</v>
      </c>
      <c r="AG599" s="3">
        <v>45330</v>
      </c>
      <c r="AH599" s="1">
        <v>5.86</v>
      </c>
      <c r="AI599" s="3">
        <v>45365</v>
      </c>
      <c r="AJ599" s="2">
        <v>5.8674999999999997</v>
      </c>
      <c r="AK599" s="3">
        <v>45365</v>
      </c>
      <c r="AL599" s="2">
        <v>5.8550000000000004</v>
      </c>
      <c r="AM599" s="3">
        <v>45365</v>
      </c>
      <c r="AN599" s="2">
        <v>5.83</v>
      </c>
      <c r="AO599" s="3">
        <v>45365</v>
      </c>
      <c r="AP599" s="2">
        <v>5.7350000000000003</v>
      </c>
      <c r="AQ599" s="3">
        <v>45365</v>
      </c>
      <c r="AR599" s="2">
        <v>5.44</v>
      </c>
      <c r="AS599" s="3">
        <v>45365</v>
      </c>
      <c r="AT599" s="2">
        <v>5.1174999999999997</v>
      </c>
      <c r="AU599" s="3">
        <v>45365</v>
      </c>
      <c r="AV599" s="2">
        <v>4.8375000000000004</v>
      </c>
      <c r="AW599" s="3">
        <v>45365</v>
      </c>
      <c r="AX599" s="2">
        <v>4.6475</v>
      </c>
      <c r="AY599" s="3">
        <v>45365</v>
      </c>
      <c r="AZ599" s="2">
        <v>4.5324999999999998</v>
      </c>
      <c r="BB599" s="3">
        <v>45322</v>
      </c>
      <c r="BC599" s="1">
        <v>6.75</v>
      </c>
      <c r="BD599" s="3">
        <v>45331</v>
      </c>
      <c r="BE599" s="1">
        <v>6.2</v>
      </c>
      <c r="BF599" s="3">
        <v>45365</v>
      </c>
      <c r="BG599" s="1">
        <v>5.38</v>
      </c>
      <c r="BH599" s="3">
        <v>45365</v>
      </c>
      <c r="BI599" s="1">
        <v>4.8600000000000003</v>
      </c>
      <c r="BJ599" s="3">
        <v>45365</v>
      </c>
      <c r="BK599" s="1">
        <v>4.67</v>
      </c>
      <c r="BL599" s="3">
        <v>45365</v>
      </c>
      <c r="BM599" s="1">
        <v>3.8050000000000002</v>
      </c>
      <c r="BN599" s="3">
        <v>45365</v>
      </c>
      <c r="BO599" s="1">
        <v>3.29</v>
      </c>
      <c r="BP599" s="3">
        <v>45365</v>
      </c>
      <c r="BQ599" s="1">
        <v>3.0249999999999999</v>
      </c>
      <c r="BR599" s="3">
        <v>45365</v>
      </c>
      <c r="BS599" s="1">
        <v>3.02</v>
      </c>
      <c r="BT599" s="3">
        <v>45365</v>
      </c>
      <c r="BU599" s="1">
        <v>3.0249999999999999</v>
      </c>
      <c r="BV599" s="3">
        <v>45365</v>
      </c>
      <c r="BW599" s="1">
        <v>3.028</v>
      </c>
      <c r="BY599" s="3">
        <v>45331</v>
      </c>
      <c r="BZ599" s="1">
        <v>10</v>
      </c>
      <c r="CA599" s="3">
        <v>45322</v>
      </c>
      <c r="CB599" s="1">
        <v>9.2200000000000006</v>
      </c>
      <c r="CC599" s="3">
        <v>45365</v>
      </c>
      <c r="CD599" s="1">
        <v>7.57</v>
      </c>
      <c r="CE599" s="3">
        <v>45365</v>
      </c>
      <c r="CF599" s="1">
        <v>7.0810000000000004</v>
      </c>
      <c r="CG599" s="3">
        <v>45365</v>
      </c>
      <c r="CH599" s="1">
        <v>6.64</v>
      </c>
      <c r="CI599" s="3">
        <v>45365</v>
      </c>
      <c r="CJ599" s="1">
        <v>6.01</v>
      </c>
      <c r="CK599" s="3">
        <v>45365</v>
      </c>
      <c r="CL599" s="1">
        <v>5.69</v>
      </c>
      <c r="CM599" s="3">
        <v>45365</v>
      </c>
      <c r="CN599" s="1">
        <v>5.5250000000000004</v>
      </c>
      <c r="CO599" s="3">
        <v>45357</v>
      </c>
      <c r="CP599" s="1">
        <v>5.21</v>
      </c>
      <c r="CQ599" s="3">
        <v>45357</v>
      </c>
      <c r="CR599" s="1">
        <v>5.24</v>
      </c>
      <c r="CS599" s="3">
        <v>45357</v>
      </c>
      <c r="CT599" s="1">
        <v>5.2949999999999999</v>
      </c>
    </row>
    <row r="600" spans="31:98" x14ac:dyDescent="0.2">
      <c r="AE600" s="3">
        <v>45356</v>
      </c>
      <c r="AF600" s="1">
        <v>5.75</v>
      </c>
      <c r="AG600" s="3">
        <v>45329</v>
      </c>
      <c r="AH600" s="1">
        <v>5.85</v>
      </c>
      <c r="AI600" s="3">
        <v>45364</v>
      </c>
      <c r="AJ600" s="2">
        <v>5.8665000000000003</v>
      </c>
      <c r="AK600" s="3">
        <v>45364</v>
      </c>
      <c r="AL600" s="2">
        <v>5.8529999999999998</v>
      </c>
      <c r="AM600" s="3">
        <v>45364</v>
      </c>
      <c r="AN600" s="2">
        <v>5.8224999999999998</v>
      </c>
      <c r="AO600" s="3">
        <v>45364</v>
      </c>
      <c r="AP600" s="2">
        <v>5.74</v>
      </c>
      <c r="AQ600" s="3">
        <v>45364</v>
      </c>
      <c r="AR600" s="2">
        <v>5.4450000000000003</v>
      </c>
      <c r="AS600" s="3">
        <v>45364</v>
      </c>
      <c r="AT600" s="2">
        <v>5.1150000000000002</v>
      </c>
      <c r="AU600" s="3">
        <v>45364</v>
      </c>
      <c r="AV600" s="2">
        <v>4.8250000000000002</v>
      </c>
      <c r="AW600" s="3">
        <v>45364</v>
      </c>
      <c r="AX600" s="2">
        <v>4.63</v>
      </c>
      <c r="AY600" s="3">
        <v>45364</v>
      </c>
      <c r="AZ600" s="2">
        <v>4.5149999999999997</v>
      </c>
      <c r="BB600" s="3">
        <v>45320</v>
      </c>
      <c r="BC600" s="1">
        <v>6.75</v>
      </c>
      <c r="BD600" s="3">
        <v>45330</v>
      </c>
      <c r="BE600" s="1">
        <v>6.51</v>
      </c>
      <c r="BF600" s="3">
        <v>45364</v>
      </c>
      <c r="BG600" s="1">
        <v>5.3849999999999998</v>
      </c>
      <c r="BH600" s="3">
        <v>45364</v>
      </c>
      <c r="BI600" s="1">
        <v>4.8380000000000001</v>
      </c>
      <c r="BJ600" s="3">
        <v>45364</v>
      </c>
      <c r="BK600" s="1">
        <v>4.6550000000000002</v>
      </c>
      <c r="BL600" s="3">
        <v>45364</v>
      </c>
      <c r="BM600" s="1">
        <v>3.7450000000000001</v>
      </c>
      <c r="BN600" s="3">
        <v>45364</v>
      </c>
      <c r="BO600" s="1">
        <v>3.1930000000000001</v>
      </c>
      <c r="BP600" s="3">
        <v>45364</v>
      </c>
      <c r="BQ600" s="1">
        <v>2.948</v>
      </c>
      <c r="BR600" s="3">
        <v>45364</v>
      </c>
      <c r="BS600" s="1">
        <v>2.9430000000000001</v>
      </c>
      <c r="BT600" s="3">
        <v>45364</v>
      </c>
      <c r="BU600" s="1">
        <v>2.9449999999999998</v>
      </c>
      <c r="BV600" s="3">
        <v>45364</v>
      </c>
      <c r="BW600" s="1">
        <v>2.9550000000000001</v>
      </c>
      <c r="BY600" s="3">
        <v>45330</v>
      </c>
      <c r="BZ600" s="1">
        <v>10</v>
      </c>
      <c r="CA600" s="3">
        <v>45321</v>
      </c>
      <c r="CB600" s="1">
        <v>9.26</v>
      </c>
      <c r="CC600" s="3">
        <v>45364</v>
      </c>
      <c r="CD600" s="1">
        <v>7.6</v>
      </c>
      <c r="CE600" s="3">
        <v>45364</v>
      </c>
      <c r="CF600" s="1">
        <v>7.05</v>
      </c>
      <c r="CG600" s="3">
        <v>45364</v>
      </c>
      <c r="CH600" s="1">
        <v>6.58</v>
      </c>
      <c r="CI600" s="3">
        <v>45364</v>
      </c>
      <c r="CJ600" s="1">
        <v>5.85</v>
      </c>
      <c r="CK600" s="3">
        <v>45364</v>
      </c>
      <c r="CL600" s="1">
        <v>5.6</v>
      </c>
      <c r="CM600" s="3">
        <v>45364</v>
      </c>
      <c r="CN600" s="1">
        <v>5.39</v>
      </c>
      <c r="CO600" s="3">
        <v>45356</v>
      </c>
      <c r="CP600" s="1">
        <v>5.22</v>
      </c>
      <c r="CQ600" s="3">
        <v>45356</v>
      </c>
      <c r="CR600" s="1">
        <v>5.2549999999999999</v>
      </c>
      <c r="CS600" s="3">
        <v>45356</v>
      </c>
      <c r="CT600" s="1">
        <v>5.31</v>
      </c>
    </row>
    <row r="601" spans="31:98" x14ac:dyDescent="0.2">
      <c r="AE601" s="3">
        <v>45355</v>
      </c>
      <c r="AF601" s="1">
        <v>5.75</v>
      </c>
      <c r="AG601" s="3">
        <v>45328</v>
      </c>
      <c r="AH601" s="1">
        <v>5.85</v>
      </c>
      <c r="AI601" s="3">
        <v>45363</v>
      </c>
      <c r="AJ601" s="2">
        <v>5.8635000000000002</v>
      </c>
      <c r="AK601" s="3">
        <v>45363</v>
      </c>
      <c r="AL601" s="2">
        <v>5.8550000000000004</v>
      </c>
      <c r="AM601" s="3">
        <v>45363</v>
      </c>
      <c r="AN601" s="2">
        <v>5.8324999999999996</v>
      </c>
      <c r="AO601" s="3">
        <v>45363</v>
      </c>
      <c r="AP601" s="2">
        <v>5.76</v>
      </c>
      <c r="AQ601" s="3">
        <v>45363</v>
      </c>
      <c r="AR601" s="2">
        <v>5.46</v>
      </c>
      <c r="AS601" s="3">
        <v>45363</v>
      </c>
      <c r="AT601" s="2">
        <v>5.09</v>
      </c>
      <c r="AU601" s="3">
        <v>45363</v>
      </c>
      <c r="AV601" s="2">
        <v>4.7949999999999999</v>
      </c>
      <c r="AW601" s="3">
        <v>45363</v>
      </c>
      <c r="AX601" s="2">
        <v>4.59</v>
      </c>
      <c r="AY601" s="3">
        <v>45363</v>
      </c>
      <c r="AZ601" s="2">
        <v>4.47</v>
      </c>
      <c r="BB601" s="3">
        <v>45316</v>
      </c>
      <c r="BC601" s="1">
        <v>6.75</v>
      </c>
      <c r="BD601" s="3">
        <v>45329</v>
      </c>
      <c r="BE601" s="1">
        <v>6.51</v>
      </c>
      <c r="BF601" s="3">
        <v>45363</v>
      </c>
      <c r="BG601" s="1">
        <v>5.39</v>
      </c>
      <c r="BH601" s="3">
        <v>45363</v>
      </c>
      <c r="BI601" s="1">
        <v>4.8380000000000001</v>
      </c>
      <c r="BJ601" s="3">
        <v>45363</v>
      </c>
      <c r="BK601" s="1">
        <v>4.6429999999999998</v>
      </c>
      <c r="BL601" s="3">
        <v>45363</v>
      </c>
      <c r="BM601" s="1">
        <v>3.7149999999999999</v>
      </c>
      <c r="BN601" s="3">
        <v>45363</v>
      </c>
      <c r="BO601" s="1">
        <v>3.161</v>
      </c>
      <c r="BP601" s="3">
        <v>45363</v>
      </c>
      <c r="BQ601" s="1">
        <v>2.93</v>
      </c>
      <c r="BR601" s="3">
        <v>45363</v>
      </c>
      <c r="BS601" s="1">
        <v>2.9249999999999998</v>
      </c>
      <c r="BT601" s="3">
        <v>45363</v>
      </c>
      <c r="BU601" s="1">
        <v>2.92</v>
      </c>
      <c r="BV601" s="3">
        <v>45363</v>
      </c>
      <c r="BW601" s="1">
        <v>2.94</v>
      </c>
      <c r="BY601" s="3">
        <v>45329</v>
      </c>
      <c r="BZ601" s="1">
        <v>10</v>
      </c>
      <c r="CA601" s="3">
        <v>45320</v>
      </c>
      <c r="CB601" s="1">
        <v>9.3000000000000007</v>
      </c>
      <c r="CC601" s="3">
        <v>45363</v>
      </c>
      <c r="CD601" s="1">
        <v>7.5039999999999996</v>
      </c>
      <c r="CE601" s="3">
        <v>45363</v>
      </c>
      <c r="CF601" s="1">
        <v>6.8780000000000001</v>
      </c>
      <c r="CG601" s="3">
        <v>45363</v>
      </c>
      <c r="CH601" s="1">
        <v>6.32</v>
      </c>
      <c r="CI601" s="3">
        <v>45363</v>
      </c>
      <c r="CJ601" s="1">
        <v>5.59</v>
      </c>
      <c r="CK601" s="3">
        <v>45363</v>
      </c>
      <c r="CL601" s="1">
        <v>5.37</v>
      </c>
      <c r="CM601" s="3">
        <v>45363</v>
      </c>
      <c r="CN601" s="1">
        <v>5.2850000000000001</v>
      </c>
      <c r="CO601" s="3">
        <v>45355</v>
      </c>
      <c r="CP601" s="1">
        <v>5.2225000000000001</v>
      </c>
      <c r="CQ601" s="3">
        <v>45355</v>
      </c>
      <c r="CR601" s="1">
        <v>5.3025000000000002</v>
      </c>
      <c r="CS601" s="3">
        <v>45355</v>
      </c>
      <c r="CT601" s="1">
        <v>5.3574999999999999</v>
      </c>
    </row>
    <row r="602" spans="31:98" x14ac:dyDescent="0.2">
      <c r="AE602" s="3">
        <v>45352</v>
      </c>
      <c r="AF602" s="1">
        <v>5.75</v>
      </c>
      <c r="AG602" s="3">
        <v>45327</v>
      </c>
      <c r="AH602" s="1">
        <v>5.85</v>
      </c>
      <c r="AI602" s="3">
        <v>45362</v>
      </c>
      <c r="AJ602" s="2">
        <v>5.8615000000000004</v>
      </c>
      <c r="AK602" s="3">
        <v>45362</v>
      </c>
      <c r="AL602" s="2">
        <v>5.85</v>
      </c>
      <c r="AM602" s="3">
        <v>45362</v>
      </c>
      <c r="AN602" s="2">
        <v>5.81</v>
      </c>
      <c r="AO602" s="3">
        <v>45362</v>
      </c>
      <c r="AP602" s="2">
        <v>5.7149999999999999</v>
      </c>
      <c r="AQ602" s="3">
        <v>45362</v>
      </c>
      <c r="AR602" s="2">
        <v>5.415</v>
      </c>
      <c r="AS602" s="3">
        <v>45362</v>
      </c>
      <c r="AT602" s="2">
        <v>5.0350000000000001</v>
      </c>
      <c r="AU602" s="3">
        <v>45362</v>
      </c>
      <c r="AV602" s="2">
        <v>4.7350000000000003</v>
      </c>
      <c r="AW602" s="3">
        <v>45362</v>
      </c>
      <c r="AX602" s="2">
        <v>4.5250000000000004</v>
      </c>
      <c r="AY602" s="3">
        <v>45362</v>
      </c>
      <c r="AZ602" s="2">
        <v>4.4050000000000002</v>
      </c>
      <c r="BB602" s="3">
        <v>45315</v>
      </c>
      <c r="BC602" s="1">
        <v>6.75</v>
      </c>
      <c r="BD602" s="3">
        <v>45328</v>
      </c>
      <c r="BE602" s="1">
        <v>6.51</v>
      </c>
      <c r="BF602" s="3">
        <v>45362</v>
      </c>
      <c r="BG602" s="1">
        <v>5.38</v>
      </c>
      <c r="BH602" s="3">
        <v>45362</v>
      </c>
      <c r="BI602" s="1">
        <v>4.8230000000000004</v>
      </c>
      <c r="BJ602" s="3">
        <v>45362</v>
      </c>
      <c r="BK602" s="1">
        <v>4.6379999999999999</v>
      </c>
      <c r="BL602" s="3">
        <v>45362</v>
      </c>
      <c r="BM602" s="1">
        <v>3.6779999999999999</v>
      </c>
      <c r="BN602" s="3">
        <v>45362</v>
      </c>
      <c r="BO602" s="1">
        <v>3.11</v>
      </c>
      <c r="BP602" s="3">
        <v>45362</v>
      </c>
      <c r="BQ602" s="1">
        <v>2.9</v>
      </c>
      <c r="BR602" s="3">
        <v>45362</v>
      </c>
      <c r="BS602" s="1">
        <v>2.91</v>
      </c>
      <c r="BT602" s="3">
        <v>45362</v>
      </c>
      <c r="BU602" s="1">
        <v>2.9249999999999998</v>
      </c>
      <c r="BV602" s="3">
        <v>45362</v>
      </c>
      <c r="BW602" s="1">
        <v>2.95</v>
      </c>
      <c r="BY602" s="3">
        <v>45328</v>
      </c>
      <c r="BZ602" s="1">
        <v>10</v>
      </c>
      <c r="CA602" s="3">
        <v>45317</v>
      </c>
      <c r="CB602" s="1">
        <v>9.35</v>
      </c>
      <c r="CC602" s="3">
        <v>45362</v>
      </c>
      <c r="CD602" s="1">
        <v>7.43</v>
      </c>
      <c r="CE602" s="3">
        <v>45362</v>
      </c>
      <c r="CF602" s="1">
        <v>6.79</v>
      </c>
      <c r="CG602" s="3">
        <v>45362</v>
      </c>
      <c r="CH602" s="1">
        <v>6.2</v>
      </c>
      <c r="CI602" s="3">
        <v>45362</v>
      </c>
      <c r="CJ602" s="1">
        <v>5.44</v>
      </c>
      <c r="CK602" s="3">
        <v>45362</v>
      </c>
      <c r="CL602" s="1">
        <v>5.23</v>
      </c>
      <c r="CM602" s="3">
        <v>45362</v>
      </c>
      <c r="CN602" s="1">
        <v>5.1749999999999998</v>
      </c>
      <c r="CO602" s="3">
        <v>45352</v>
      </c>
      <c r="CP602" s="1">
        <v>5.2149999999999999</v>
      </c>
      <c r="CQ602" s="3">
        <v>45352</v>
      </c>
      <c r="CR602" s="1">
        <v>5.2949999999999999</v>
      </c>
      <c r="CS602" s="3">
        <v>45352</v>
      </c>
      <c r="CT602" s="1">
        <v>5.35</v>
      </c>
    </row>
    <row r="603" spans="31:98" x14ac:dyDescent="0.2">
      <c r="AE603" s="3">
        <v>45351</v>
      </c>
      <c r="AF603" s="1">
        <v>5.75</v>
      </c>
      <c r="AG603" s="3">
        <v>45324</v>
      </c>
      <c r="AH603" s="1">
        <v>5.85</v>
      </c>
      <c r="AI603" s="3">
        <v>45359</v>
      </c>
      <c r="AJ603" s="2">
        <v>5.8730000000000002</v>
      </c>
      <c r="AK603" s="3">
        <v>45359</v>
      </c>
      <c r="AL603" s="2">
        <v>5.8550000000000004</v>
      </c>
      <c r="AM603" s="3">
        <v>45359</v>
      </c>
      <c r="AN603" s="2">
        <v>5.8250000000000002</v>
      </c>
      <c r="AO603" s="3">
        <v>45359</v>
      </c>
      <c r="AP603" s="2">
        <v>5.74</v>
      </c>
      <c r="AQ603" s="3">
        <v>45359</v>
      </c>
      <c r="AR603" s="2">
        <v>5.42</v>
      </c>
      <c r="AS603" s="3">
        <v>45359</v>
      </c>
      <c r="AT603" s="2">
        <v>5.0449999999999999</v>
      </c>
      <c r="AU603" s="3">
        <v>45359</v>
      </c>
      <c r="AV603" s="2">
        <v>4.7474999999999996</v>
      </c>
      <c r="AW603" s="3">
        <v>45359</v>
      </c>
      <c r="AX603" s="2">
        <v>4.5449999999999999</v>
      </c>
      <c r="AY603" s="3">
        <v>45359</v>
      </c>
      <c r="AZ603" s="2">
        <v>4.4249999999999998</v>
      </c>
      <c r="BB603" s="3">
        <v>45313</v>
      </c>
      <c r="BC603" s="1">
        <v>6.75</v>
      </c>
      <c r="BD603" s="3">
        <v>45327</v>
      </c>
      <c r="BE603" s="1">
        <v>6.51</v>
      </c>
      <c r="BF603" s="3">
        <v>45359</v>
      </c>
      <c r="BG603" s="1">
        <v>5.41</v>
      </c>
      <c r="BH603" s="3">
        <v>45359</v>
      </c>
      <c r="BI603" s="1">
        <v>4.8449999999999998</v>
      </c>
      <c r="BJ603" s="3">
        <v>45359</v>
      </c>
      <c r="BK603" s="1">
        <v>4.665</v>
      </c>
      <c r="BL603" s="3">
        <v>45359</v>
      </c>
      <c r="BM603" s="1">
        <v>3.7080000000000002</v>
      </c>
      <c r="BN603" s="3">
        <v>45359</v>
      </c>
      <c r="BO603" s="1">
        <v>3.13</v>
      </c>
      <c r="BP603" s="3">
        <v>45359</v>
      </c>
      <c r="BQ603" s="1">
        <v>2.9049999999999998</v>
      </c>
      <c r="BR603" s="3">
        <v>45359</v>
      </c>
      <c r="BS603" s="1">
        <v>2.91</v>
      </c>
      <c r="BT603" s="3">
        <v>45359</v>
      </c>
      <c r="BU603" s="1">
        <v>2.92</v>
      </c>
      <c r="BV603" s="3">
        <v>45359</v>
      </c>
      <c r="BW603" s="1">
        <v>2.94</v>
      </c>
      <c r="BY603" s="3">
        <v>45327</v>
      </c>
      <c r="BZ603" s="1">
        <v>10</v>
      </c>
      <c r="CA603" s="3">
        <v>45316</v>
      </c>
      <c r="CB603" s="1">
        <v>9.4</v>
      </c>
      <c r="CC603" s="3">
        <v>45359</v>
      </c>
      <c r="CD603" s="1">
        <v>7.4409999999999998</v>
      </c>
      <c r="CE603" s="3">
        <v>45359</v>
      </c>
      <c r="CF603" s="1">
        <v>6.78</v>
      </c>
      <c r="CG603" s="3">
        <v>45359</v>
      </c>
      <c r="CH603" s="1">
        <v>6.18</v>
      </c>
      <c r="CI603" s="3">
        <v>45359</v>
      </c>
      <c r="CJ603" s="1">
        <v>5.4</v>
      </c>
      <c r="CK603" s="3">
        <v>45359</v>
      </c>
      <c r="CL603" s="1">
        <v>5.21</v>
      </c>
      <c r="CM603" s="3">
        <v>45359</v>
      </c>
      <c r="CN603" s="1">
        <v>5.1550000000000002</v>
      </c>
      <c r="CO603" s="3">
        <v>45351</v>
      </c>
      <c r="CP603" s="1">
        <v>5.2949999999999999</v>
      </c>
      <c r="CQ603" s="3">
        <v>45351</v>
      </c>
      <c r="CR603" s="1">
        <v>5.3849999999999998</v>
      </c>
      <c r="CS603" s="3">
        <v>45351</v>
      </c>
      <c r="CT603" s="1">
        <v>5.4450000000000003</v>
      </c>
    </row>
    <row r="604" spans="31:98" x14ac:dyDescent="0.2">
      <c r="AE604" s="3">
        <v>45350</v>
      </c>
      <c r="AF604" s="1">
        <v>5.75</v>
      </c>
      <c r="AG604" s="3">
        <v>45323</v>
      </c>
      <c r="AH604" s="1">
        <v>5.86</v>
      </c>
      <c r="AI604" s="3">
        <v>45358</v>
      </c>
      <c r="AJ604" s="2">
        <v>5.8680000000000003</v>
      </c>
      <c r="AK604" s="3">
        <v>45358</v>
      </c>
      <c r="AL604" s="2">
        <v>5.8650000000000002</v>
      </c>
      <c r="AM604" s="3">
        <v>45358</v>
      </c>
      <c r="AN604" s="2">
        <v>5.8375000000000004</v>
      </c>
      <c r="AO604" s="3">
        <v>45358</v>
      </c>
      <c r="AP604" s="2">
        <v>5.7549999999999999</v>
      </c>
      <c r="AQ604" s="3">
        <v>45358</v>
      </c>
      <c r="AR604" s="2">
        <v>5.4375</v>
      </c>
      <c r="AS604" s="3">
        <v>45358</v>
      </c>
      <c r="AT604" s="2">
        <v>5.0599999999999996</v>
      </c>
      <c r="AU604" s="3">
        <v>45358</v>
      </c>
      <c r="AV604" s="2">
        <v>4.7575000000000003</v>
      </c>
      <c r="AW604" s="3">
        <v>45358</v>
      </c>
      <c r="AX604" s="2">
        <v>4.5449999999999999</v>
      </c>
      <c r="AY604" s="3">
        <v>45358</v>
      </c>
      <c r="AZ604" s="2">
        <v>4.4225000000000003</v>
      </c>
      <c r="BB604" s="3">
        <v>45309</v>
      </c>
      <c r="BC604" s="1">
        <v>6.75</v>
      </c>
      <c r="BD604" s="3">
        <v>45324</v>
      </c>
      <c r="BE604" s="1">
        <v>6.52</v>
      </c>
      <c r="BF604" s="3">
        <v>45358</v>
      </c>
      <c r="BG604" s="1">
        <v>5.43</v>
      </c>
      <c r="BH604" s="3">
        <v>45358</v>
      </c>
      <c r="BI604" s="1">
        <v>4.875</v>
      </c>
      <c r="BJ604" s="3">
        <v>45358</v>
      </c>
      <c r="BK604" s="1">
        <v>4.6950000000000003</v>
      </c>
      <c r="BL604" s="3">
        <v>45358</v>
      </c>
      <c r="BM604" s="1">
        <v>3.69</v>
      </c>
      <c r="BN604" s="3">
        <v>45358</v>
      </c>
      <c r="BO604" s="1">
        <v>3.16</v>
      </c>
      <c r="BP604" s="3">
        <v>45358</v>
      </c>
      <c r="BQ604" s="1">
        <v>2.91</v>
      </c>
      <c r="BR604" s="3">
        <v>45358</v>
      </c>
      <c r="BS604" s="1">
        <v>2.91</v>
      </c>
      <c r="BT604" s="3">
        <v>45358</v>
      </c>
      <c r="BU604" s="1">
        <v>2.91</v>
      </c>
      <c r="BV604" s="3">
        <v>45358</v>
      </c>
      <c r="BW604" s="1">
        <v>2.91</v>
      </c>
      <c r="BY604" s="3">
        <v>45322</v>
      </c>
      <c r="BZ604" s="1">
        <v>10</v>
      </c>
      <c r="CA604" s="3">
        <v>45315</v>
      </c>
      <c r="CB604" s="1">
        <v>9.44</v>
      </c>
      <c r="CC604" s="3">
        <v>45358</v>
      </c>
      <c r="CD604" s="1">
        <v>7.5030000000000001</v>
      </c>
      <c r="CE604" s="3">
        <v>45358</v>
      </c>
      <c r="CF604" s="1">
        <v>6.8170000000000002</v>
      </c>
      <c r="CG604" s="3">
        <v>45358</v>
      </c>
      <c r="CH604" s="1">
        <v>6.23</v>
      </c>
      <c r="CI604" s="3">
        <v>45358</v>
      </c>
      <c r="CJ604" s="1">
        <v>5.45</v>
      </c>
      <c r="CK604" s="3">
        <v>45358</v>
      </c>
      <c r="CL604" s="1">
        <v>5.28</v>
      </c>
      <c r="CM604" s="3">
        <v>45358</v>
      </c>
      <c r="CN604" s="1">
        <v>5.1950000000000003</v>
      </c>
      <c r="CO604" s="3">
        <v>45350</v>
      </c>
      <c r="CP604" s="1">
        <v>5.23</v>
      </c>
      <c r="CQ604" s="3">
        <v>45350</v>
      </c>
      <c r="CR604" s="1">
        <v>5.3250000000000002</v>
      </c>
      <c r="CS604" s="3">
        <v>45350</v>
      </c>
      <c r="CT604" s="1">
        <v>5.37</v>
      </c>
    </row>
    <row r="605" spans="31:98" x14ac:dyDescent="0.2">
      <c r="AE605" s="3">
        <v>45349</v>
      </c>
      <c r="AF605" s="1">
        <v>5.75</v>
      </c>
      <c r="AG605" s="3">
        <v>45322</v>
      </c>
      <c r="AH605" s="1">
        <v>5.86</v>
      </c>
      <c r="AI605" s="3">
        <v>45357</v>
      </c>
      <c r="AJ605" s="2">
        <v>5.8704999999999998</v>
      </c>
      <c r="AK605" s="3">
        <v>45357</v>
      </c>
      <c r="AL605" s="2">
        <v>5.8650000000000002</v>
      </c>
      <c r="AM605" s="3">
        <v>45357</v>
      </c>
      <c r="AN605" s="2">
        <v>5.7949999999999999</v>
      </c>
      <c r="AO605" s="3">
        <v>45357</v>
      </c>
      <c r="AP605" s="2">
        <v>5.66</v>
      </c>
      <c r="AQ605" s="3">
        <v>45357</v>
      </c>
      <c r="AR605" s="2">
        <v>5.35</v>
      </c>
      <c r="AS605" s="3">
        <v>45357</v>
      </c>
      <c r="AT605" s="2">
        <v>4.9850000000000003</v>
      </c>
      <c r="AU605" s="3">
        <v>45357</v>
      </c>
      <c r="AV605" s="2">
        <v>4.6900000000000004</v>
      </c>
      <c r="AW605" s="3">
        <v>45357</v>
      </c>
      <c r="AX605" s="2">
        <v>4.4800000000000004</v>
      </c>
      <c r="AY605" s="3">
        <v>45357</v>
      </c>
      <c r="AZ605" s="2">
        <v>4.3775000000000004</v>
      </c>
      <c r="BB605" s="3">
        <v>45308</v>
      </c>
      <c r="BC605" s="1">
        <v>6.75</v>
      </c>
      <c r="BD605" s="3">
        <v>45323</v>
      </c>
      <c r="BE605" s="1">
        <v>6.53</v>
      </c>
      <c r="BF605" s="3">
        <v>45357</v>
      </c>
      <c r="BG605" s="1">
        <v>5.4649999999999999</v>
      </c>
      <c r="BH605" s="3">
        <v>45357</v>
      </c>
      <c r="BI605" s="1">
        <v>4.9349999999999996</v>
      </c>
      <c r="BJ605" s="3">
        <v>45357</v>
      </c>
      <c r="BK605" s="1">
        <v>4.7229999999999999</v>
      </c>
      <c r="BL605" s="3">
        <v>45357</v>
      </c>
      <c r="BM605" s="1">
        <v>3.718</v>
      </c>
      <c r="BN605" s="3">
        <v>45357</v>
      </c>
      <c r="BO605" s="1">
        <v>3.15</v>
      </c>
      <c r="BP605" s="3">
        <v>45357</v>
      </c>
      <c r="BQ605" s="1">
        <v>2.8849999999999998</v>
      </c>
      <c r="BR605" s="3">
        <v>45357</v>
      </c>
      <c r="BS605" s="1">
        <v>2.89</v>
      </c>
      <c r="BT605" s="3">
        <v>45357</v>
      </c>
      <c r="BU605" s="1">
        <v>2.8929999999999998</v>
      </c>
      <c r="BV605" s="3">
        <v>45357</v>
      </c>
      <c r="BW605" s="1">
        <v>2.923</v>
      </c>
      <c r="BY605" s="3">
        <v>45321</v>
      </c>
      <c r="BZ605" s="1">
        <v>10.75</v>
      </c>
      <c r="CA605" s="3">
        <v>45314</v>
      </c>
      <c r="CB605" s="1">
        <v>9.48</v>
      </c>
      <c r="CC605" s="3">
        <v>45357</v>
      </c>
      <c r="CD605" s="1">
        <v>7.5</v>
      </c>
      <c r="CE605" s="3">
        <v>45357</v>
      </c>
      <c r="CF605" s="1">
        <v>6.77</v>
      </c>
      <c r="CG605" s="3">
        <v>45357</v>
      </c>
      <c r="CH605" s="1">
        <v>6.17</v>
      </c>
      <c r="CI605" s="3">
        <v>45357</v>
      </c>
      <c r="CJ605" s="1">
        <v>5.4</v>
      </c>
      <c r="CK605" s="3">
        <v>45357</v>
      </c>
      <c r="CL605" s="1">
        <v>5.26</v>
      </c>
      <c r="CM605" s="3">
        <v>45357</v>
      </c>
      <c r="CN605" s="1">
        <v>5.2</v>
      </c>
      <c r="CO605" s="3">
        <v>45349</v>
      </c>
      <c r="CP605" s="1">
        <v>5.12</v>
      </c>
      <c r="CQ605" s="3">
        <v>45349</v>
      </c>
      <c r="CR605" s="1">
        <v>5.18</v>
      </c>
      <c r="CS605" s="3">
        <v>45349</v>
      </c>
      <c r="CT605" s="1">
        <v>5.22</v>
      </c>
    </row>
    <row r="606" spans="31:98" x14ac:dyDescent="0.2">
      <c r="AE606" s="3">
        <v>45348</v>
      </c>
      <c r="AF606" s="1">
        <v>5.75</v>
      </c>
      <c r="AG606" s="3">
        <v>45321</v>
      </c>
      <c r="AH606" s="1">
        <v>5.86</v>
      </c>
      <c r="AI606" s="3">
        <v>45356</v>
      </c>
      <c r="AJ606" s="2">
        <v>5.8724999999999996</v>
      </c>
      <c r="AK606" s="3">
        <v>45356</v>
      </c>
      <c r="AL606" s="2">
        <v>5.86</v>
      </c>
      <c r="AM606" s="3">
        <v>45356</v>
      </c>
      <c r="AN606" s="2">
        <v>5.8</v>
      </c>
      <c r="AO606" s="3">
        <v>45356</v>
      </c>
      <c r="AP606" s="2">
        <v>5.6349999999999998</v>
      </c>
      <c r="AQ606" s="3">
        <v>45356</v>
      </c>
      <c r="AR606" s="2">
        <v>5.33</v>
      </c>
      <c r="AS606" s="3">
        <v>45356</v>
      </c>
      <c r="AT606" s="2">
        <v>4.9649999999999999</v>
      </c>
      <c r="AU606" s="3">
        <v>45356</v>
      </c>
      <c r="AV606" s="2">
        <v>4.6624999999999996</v>
      </c>
      <c r="AW606" s="3">
        <v>45356</v>
      </c>
      <c r="AX606" s="2">
        <v>4.4474999999999998</v>
      </c>
      <c r="AY606" s="3">
        <v>45356</v>
      </c>
      <c r="AZ606" s="2">
        <v>4.3375000000000004</v>
      </c>
      <c r="BB606" s="3">
        <v>45306</v>
      </c>
      <c r="BC606" s="1">
        <v>6.75</v>
      </c>
      <c r="BD606" s="3">
        <v>45322</v>
      </c>
      <c r="BE606" s="1">
        <v>6.55</v>
      </c>
      <c r="BF606" s="3">
        <v>45356</v>
      </c>
      <c r="BG606" s="1">
        <v>5.4649999999999999</v>
      </c>
      <c r="BH606" s="3">
        <v>45356</v>
      </c>
      <c r="BI606" s="1">
        <v>4.92</v>
      </c>
      <c r="BJ606" s="3">
        <v>45356</v>
      </c>
      <c r="BK606" s="1">
        <v>4.72</v>
      </c>
      <c r="BL606" s="3">
        <v>45356</v>
      </c>
      <c r="BM606" s="1">
        <v>3.7250000000000001</v>
      </c>
      <c r="BN606" s="3">
        <v>45356</v>
      </c>
      <c r="BO606" s="1">
        <v>3.1579999999999999</v>
      </c>
      <c r="BP606" s="3">
        <v>45356</v>
      </c>
      <c r="BQ606" s="1">
        <v>2.8879999999999999</v>
      </c>
      <c r="BR606" s="3">
        <v>45356</v>
      </c>
      <c r="BS606" s="1">
        <v>2.8929999999999998</v>
      </c>
      <c r="BT606" s="3">
        <v>45356</v>
      </c>
      <c r="BU606" s="1">
        <v>2.9</v>
      </c>
      <c r="BV606" s="3">
        <v>45356</v>
      </c>
      <c r="BW606" s="1">
        <v>2.9329999999999998</v>
      </c>
      <c r="BY606" s="3">
        <v>45320</v>
      </c>
      <c r="BZ606" s="1">
        <v>10.75</v>
      </c>
      <c r="CA606" s="3">
        <v>45313</v>
      </c>
      <c r="CB606" s="1">
        <v>9.5299999999999994</v>
      </c>
      <c r="CC606" s="3">
        <v>45356</v>
      </c>
      <c r="CD606" s="1">
        <v>7.4939999999999998</v>
      </c>
      <c r="CE606" s="3">
        <v>45356</v>
      </c>
      <c r="CF606" s="1">
        <v>6.7679999999999998</v>
      </c>
      <c r="CG606" s="3">
        <v>45356</v>
      </c>
      <c r="CH606" s="1">
        <v>6.17</v>
      </c>
      <c r="CI606" s="3">
        <v>45356</v>
      </c>
      <c r="CJ606" s="1">
        <v>5.4</v>
      </c>
      <c r="CK606" s="3">
        <v>45356</v>
      </c>
      <c r="CL606" s="1">
        <v>5.26</v>
      </c>
      <c r="CM606" s="3">
        <v>45356</v>
      </c>
      <c r="CN606" s="1">
        <v>5.21</v>
      </c>
      <c r="CO606" s="3">
        <v>45348</v>
      </c>
      <c r="CP606" s="1">
        <v>4.8849999999999998</v>
      </c>
      <c r="CQ606" s="3">
        <v>45348</v>
      </c>
      <c r="CR606" s="1">
        <v>4.96</v>
      </c>
      <c r="CS606" s="3">
        <v>45348</v>
      </c>
      <c r="CT606" s="1">
        <v>5.0250000000000004</v>
      </c>
    </row>
    <row r="607" spans="31:98" x14ac:dyDescent="0.2">
      <c r="AE607" s="3">
        <v>45345</v>
      </c>
      <c r="AF607" s="1">
        <v>5.75</v>
      </c>
      <c r="AG607" s="3">
        <v>45320</v>
      </c>
      <c r="AH607" s="1">
        <v>5.86</v>
      </c>
      <c r="AI607" s="3">
        <v>45355</v>
      </c>
      <c r="AJ607" s="2">
        <v>5.8724999999999996</v>
      </c>
      <c r="AK607" s="3">
        <v>45355</v>
      </c>
      <c r="AL607" s="2">
        <v>5.85</v>
      </c>
      <c r="AM607" s="3">
        <v>45355</v>
      </c>
      <c r="AN607" s="2">
        <v>5.79</v>
      </c>
      <c r="AO607" s="3">
        <v>45355</v>
      </c>
      <c r="AP607" s="2">
        <v>5.6124999999999998</v>
      </c>
      <c r="AQ607" s="3">
        <v>45355</v>
      </c>
      <c r="AR607" s="2">
        <v>5.3125</v>
      </c>
      <c r="AS607" s="3">
        <v>45355</v>
      </c>
      <c r="AT607" s="2">
        <v>4.9675000000000002</v>
      </c>
      <c r="AU607" s="3">
        <v>45355</v>
      </c>
      <c r="AV607" s="2">
        <v>4.6574999999999998</v>
      </c>
      <c r="AW607" s="3">
        <v>45355</v>
      </c>
      <c r="AX607" s="2">
        <v>4.4474999999999998</v>
      </c>
      <c r="AY607" s="3">
        <v>45355</v>
      </c>
      <c r="AZ607" s="2">
        <v>4.3274999999999997</v>
      </c>
      <c r="BB607" s="3">
        <v>45303</v>
      </c>
      <c r="BC607" s="1">
        <v>6.75</v>
      </c>
      <c r="BD607" s="3">
        <v>45321</v>
      </c>
      <c r="BE607" s="1">
        <v>6.56</v>
      </c>
      <c r="BF607" s="3">
        <v>45355</v>
      </c>
      <c r="BG607" s="1">
        <v>5.4950000000000001</v>
      </c>
      <c r="BH607" s="3">
        <v>45355</v>
      </c>
      <c r="BI607" s="1">
        <v>5.2329999999999997</v>
      </c>
      <c r="BJ607" s="3">
        <v>45355</v>
      </c>
      <c r="BK607" s="1">
        <v>4.75</v>
      </c>
      <c r="BL607" s="3">
        <v>45355</v>
      </c>
      <c r="BM607" s="1">
        <v>3.7879999999999998</v>
      </c>
      <c r="BN607" s="3">
        <v>45355</v>
      </c>
      <c r="BO607" s="1">
        <v>3.218</v>
      </c>
      <c r="BP607" s="3">
        <v>45355</v>
      </c>
      <c r="BQ607" s="1">
        <v>2.9279999999999999</v>
      </c>
      <c r="BR607" s="3">
        <v>45355</v>
      </c>
      <c r="BS607" s="1">
        <v>2.9279999999999999</v>
      </c>
      <c r="BT607" s="3">
        <v>45355</v>
      </c>
      <c r="BU607" s="1">
        <v>2.9380000000000002</v>
      </c>
      <c r="BV607" s="3">
        <v>45355</v>
      </c>
      <c r="BW607" s="1">
        <v>2.9750000000000001</v>
      </c>
      <c r="BY607" s="3">
        <v>45317</v>
      </c>
      <c r="BZ607" s="1">
        <v>10.75</v>
      </c>
      <c r="CA607" s="3">
        <v>45310</v>
      </c>
      <c r="CB607" s="1">
        <v>9.57</v>
      </c>
      <c r="CC607" s="3">
        <v>45355</v>
      </c>
      <c r="CD607" s="1">
        <v>7.4909999999999997</v>
      </c>
      <c r="CE607" s="3">
        <v>45355</v>
      </c>
      <c r="CF607" s="1">
        <v>6.72</v>
      </c>
      <c r="CG607" s="3">
        <v>45355</v>
      </c>
      <c r="CH607" s="1">
        <v>6.11</v>
      </c>
      <c r="CI607" s="3">
        <v>45355</v>
      </c>
      <c r="CJ607" s="1">
        <v>5.39</v>
      </c>
      <c r="CK607" s="3">
        <v>45355</v>
      </c>
      <c r="CL607" s="1">
        <v>5.3</v>
      </c>
      <c r="CM607" s="3">
        <v>45355</v>
      </c>
      <c r="CN607" s="1">
        <v>5.1375000000000002</v>
      </c>
      <c r="CO607" s="3">
        <v>45345</v>
      </c>
      <c r="CP607" s="1">
        <v>4.87</v>
      </c>
      <c r="CQ607" s="3">
        <v>45345</v>
      </c>
      <c r="CR607" s="1">
        <v>4.9400000000000004</v>
      </c>
      <c r="CS607" s="3">
        <v>45345</v>
      </c>
      <c r="CT607" s="1">
        <v>4.99</v>
      </c>
    </row>
    <row r="608" spans="31:98" x14ac:dyDescent="0.2">
      <c r="AE608" s="3">
        <v>45344</v>
      </c>
      <c r="AF608" s="1">
        <v>5.75</v>
      </c>
      <c r="AG608" s="3">
        <v>45317</v>
      </c>
      <c r="AH608" s="1">
        <v>5.86</v>
      </c>
      <c r="AI608" s="3">
        <v>45352</v>
      </c>
      <c r="AJ608" s="2">
        <v>5.8689999999999998</v>
      </c>
      <c r="AK608" s="3">
        <v>45352</v>
      </c>
      <c r="AL608" s="2">
        <v>5.8449999999999998</v>
      </c>
      <c r="AM608" s="3">
        <v>45352</v>
      </c>
      <c r="AN608" s="2">
        <v>5.7812999999999999</v>
      </c>
      <c r="AO608" s="3">
        <v>45352</v>
      </c>
      <c r="AP608" s="2">
        <v>5.6174999999999997</v>
      </c>
      <c r="AQ608" s="3">
        <v>45352</v>
      </c>
      <c r="AR608" s="2">
        <v>5.3174999999999999</v>
      </c>
      <c r="AS608" s="3">
        <v>45352</v>
      </c>
      <c r="AT608" s="2">
        <v>4.9800000000000004</v>
      </c>
      <c r="AU608" s="3">
        <v>45352</v>
      </c>
      <c r="AV608" s="2">
        <v>4.6900000000000004</v>
      </c>
      <c r="AW608" s="3">
        <v>45352</v>
      </c>
      <c r="AX608" s="2">
        <v>4.4749999999999996</v>
      </c>
      <c r="AY608" s="3">
        <v>45352</v>
      </c>
      <c r="AZ608" s="2">
        <v>4.3499999999999996</v>
      </c>
      <c r="BB608" s="3">
        <v>45302</v>
      </c>
      <c r="BC608" s="1">
        <v>6.75</v>
      </c>
      <c r="BD608" s="3">
        <v>45320</v>
      </c>
      <c r="BE608" s="1">
        <v>6.57</v>
      </c>
      <c r="BF608" s="3">
        <v>45352</v>
      </c>
      <c r="BG608" s="1">
        <v>5.5</v>
      </c>
      <c r="BH608" s="3">
        <v>45352</v>
      </c>
      <c r="BI608" s="1">
        <v>5.2149999999999999</v>
      </c>
      <c r="BJ608" s="3">
        <v>45352</v>
      </c>
      <c r="BK608" s="1">
        <v>4.7300000000000004</v>
      </c>
      <c r="BL608" s="3">
        <v>45352</v>
      </c>
      <c r="BM608" s="1">
        <v>3.7749999999999999</v>
      </c>
      <c r="BN608" s="3">
        <v>45352</v>
      </c>
      <c r="BO608" s="1">
        <v>3.21</v>
      </c>
      <c r="BP608" s="3">
        <v>45352</v>
      </c>
      <c r="BQ608" s="1">
        <v>2.968</v>
      </c>
      <c r="BR608" s="3">
        <v>45352</v>
      </c>
      <c r="BS608" s="1">
        <v>2.9729999999999999</v>
      </c>
      <c r="BT608" s="3">
        <v>45352</v>
      </c>
      <c r="BU608" s="1">
        <v>2.9830000000000001</v>
      </c>
      <c r="BV608" s="3">
        <v>45352</v>
      </c>
      <c r="BW608" s="1">
        <v>3.01</v>
      </c>
      <c r="BY608" s="3">
        <v>45316</v>
      </c>
      <c r="BZ608" s="1">
        <v>10.75</v>
      </c>
      <c r="CA608" s="3">
        <v>45309</v>
      </c>
      <c r="CB608" s="1">
        <v>9.61</v>
      </c>
      <c r="CC608" s="3">
        <v>45352</v>
      </c>
      <c r="CD608" s="1">
        <v>7.48</v>
      </c>
      <c r="CE608" s="3">
        <v>45352</v>
      </c>
      <c r="CF608" s="1">
        <v>6.71</v>
      </c>
      <c r="CG608" s="3">
        <v>45352</v>
      </c>
      <c r="CH608" s="1">
        <v>6.08</v>
      </c>
      <c r="CI608" s="3">
        <v>45352</v>
      </c>
      <c r="CJ608" s="1">
        <v>5.36</v>
      </c>
      <c r="CK608" s="3">
        <v>45352</v>
      </c>
      <c r="CL608" s="1">
        <v>5.27</v>
      </c>
      <c r="CM608" s="3">
        <v>45352</v>
      </c>
      <c r="CN608" s="1">
        <v>5.13</v>
      </c>
      <c r="CO608" s="3">
        <v>45344</v>
      </c>
      <c r="CP608" s="1">
        <v>4.8849999999999998</v>
      </c>
      <c r="CQ608" s="3">
        <v>45344</v>
      </c>
      <c r="CR608" s="1">
        <v>4.9649999999999999</v>
      </c>
      <c r="CS608" s="3">
        <v>45344</v>
      </c>
      <c r="CT608" s="1">
        <v>5.0250000000000004</v>
      </c>
    </row>
    <row r="609" spans="31:98" x14ac:dyDescent="0.2">
      <c r="AE609" s="3">
        <v>45343</v>
      </c>
      <c r="AF609" s="1">
        <v>5.75</v>
      </c>
      <c r="AG609" s="3">
        <v>45316</v>
      </c>
      <c r="AH609" s="1">
        <v>5.86</v>
      </c>
      <c r="AI609" s="3">
        <v>45351</v>
      </c>
      <c r="AJ609" s="2">
        <v>5.8780000000000001</v>
      </c>
      <c r="AK609" s="3">
        <v>45351</v>
      </c>
      <c r="AL609" s="2">
        <v>5.8550000000000004</v>
      </c>
      <c r="AM609" s="3">
        <v>45351</v>
      </c>
      <c r="AN609" s="2">
        <v>5.81</v>
      </c>
      <c r="AO609" s="3">
        <v>45351</v>
      </c>
      <c r="AP609" s="2">
        <v>5.6349999999999998</v>
      </c>
      <c r="AQ609" s="3">
        <v>45351</v>
      </c>
      <c r="AR609" s="2">
        <v>5.34</v>
      </c>
      <c r="AS609" s="3">
        <v>45351</v>
      </c>
      <c r="AT609" s="2">
        <v>4.9950000000000001</v>
      </c>
      <c r="AU609" s="3">
        <v>45351</v>
      </c>
      <c r="AV609" s="2">
        <v>4.71</v>
      </c>
      <c r="AW609" s="3">
        <v>45351</v>
      </c>
      <c r="AX609" s="2">
        <v>4.51</v>
      </c>
      <c r="AY609" s="3">
        <v>45351</v>
      </c>
      <c r="AZ609" s="2">
        <v>4.3849999999999998</v>
      </c>
      <c r="BB609" s="3">
        <v>45301</v>
      </c>
      <c r="BC609" s="1">
        <v>6.75</v>
      </c>
      <c r="BD609" s="3">
        <v>45317</v>
      </c>
      <c r="BE609" s="1">
        <v>6.58</v>
      </c>
      <c r="BF609" s="3">
        <v>45351</v>
      </c>
      <c r="BG609" s="1">
        <v>5.5</v>
      </c>
      <c r="BH609" s="3">
        <v>45351</v>
      </c>
      <c r="BI609" s="1">
        <v>5.23</v>
      </c>
      <c r="BJ609" s="3">
        <v>45351</v>
      </c>
      <c r="BK609" s="1">
        <v>4.76</v>
      </c>
      <c r="BL609" s="3">
        <v>45351</v>
      </c>
      <c r="BM609" s="1">
        <v>3.8</v>
      </c>
      <c r="BN609" s="3">
        <v>45351</v>
      </c>
      <c r="BO609" s="1">
        <v>3.24</v>
      </c>
      <c r="BP609" s="3">
        <v>45351</v>
      </c>
      <c r="BQ609" s="1">
        <v>3</v>
      </c>
      <c r="BR609" s="3">
        <v>45351</v>
      </c>
      <c r="BS609" s="1">
        <v>2.98</v>
      </c>
      <c r="BT609" s="3">
        <v>45351</v>
      </c>
      <c r="BU609" s="1">
        <v>2.99</v>
      </c>
      <c r="BV609" s="3">
        <v>45351</v>
      </c>
      <c r="BW609" s="1">
        <v>3.02</v>
      </c>
      <c r="BY609" s="3">
        <v>45314</v>
      </c>
      <c r="BZ609" s="1">
        <v>10.75</v>
      </c>
      <c r="CA609" s="3">
        <v>45308</v>
      </c>
      <c r="CB609" s="1">
        <v>9.65</v>
      </c>
      <c r="CC609" s="3">
        <v>45351</v>
      </c>
      <c r="CD609" s="1">
        <v>7.4980000000000002</v>
      </c>
      <c r="CE609" s="3">
        <v>45351</v>
      </c>
      <c r="CF609" s="1">
        <v>6.72</v>
      </c>
      <c r="CG609" s="3">
        <v>45351</v>
      </c>
      <c r="CH609" s="1">
        <v>6.12</v>
      </c>
      <c r="CI609" s="3">
        <v>45351</v>
      </c>
      <c r="CJ609" s="1">
        <v>5.39</v>
      </c>
      <c r="CK609" s="3">
        <v>45351</v>
      </c>
      <c r="CL609" s="1">
        <v>5.3</v>
      </c>
      <c r="CM609" s="3">
        <v>45351</v>
      </c>
      <c r="CN609" s="1">
        <v>5.2149999999999999</v>
      </c>
      <c r="CO609" s="3">
        <v>45343</v>
      </c>
      <c r="CP609" s="1">
        <v>4.93</v>
      </c>
      <c r="CQ609" s="3">
        <v>45343</v>
      </c>
      <c r="CR609" s="1">
        <v>4.99</v>
      </c>
      <c r="CS609" s="3">
        <v>45343</v>
      </c>
      <c r="CT609" s="1">
        <v>5.05</v>
      </c>
    </row>
    <row r="610" spans="31:98" x14ac:dyDescent="0.2">
      <c r="AE610" s="3">
        <v>45342</v>
      </c>
      <c r="AF610" s="1">
        <v>5.75</v>
      </c>
      <c r="AG610" s="3">
        <v>45315</v>
      </c>
      <c r="AH610" s="1">
        <v>5.86</v>
      </c>
      <c r="AI610" s="3">
        <v>45350</v>
      </c>
      <c r="AJ610" s="2">
        <v>5.8650000000000002</v>
      </c>
      <c r="AK610" s="3">
        <v>45350</v>
      </c>
      <c r="AL610" s="2">
        <v>5.8525</v>
      </c>
      <c r="AM610" s="3">
        <v>45350</v>
      </c>
      <c r="AN610" s="2">
        <v>5.7975000000000003</v>
      </c>
      <c r="AO610" s="3">
        <v>45350</v>
      </c>
      <c r="AP610" s="2">
        <v>5.6325000000000003</v>
      </c>
      <c r="AQ610" s="3">
        <v>45350</v>
      </c>
      <c r="AR610" s="2">
        <v>5.3375000000000004</v>
      </c>
      <c r="AS610" s="3">
        <v>45350</v>
      </c>
      <c r="AT610" s="2">
        <v>5.0125000000000002</v>
      </c>
      <c r="AU610" s="3">
        <v>45350</v>
      </c>
      <c r="AV610" s="2">
        <v>4.7275</v>
      </c>
      <c r="AW610" s="3">
        <v>45350</v>
      </c>
      <c r="AX610" s="2">
        <v>4.5250000000000004</v>
      </c>
      <c r="AY610" s="3">
        <v>45350</v>
      </c>
      <c r="AZ610" s="2">
        <v>4.3975</v>
      </c>
      <c r="BB610" s="3">
        <v>45300</v>
      </c>
      <c r="BC610" s="1">
        <v>6.75</v>
      </c>
      <c r="BD610" s="3">
        <v>45316</v>
      </c>
      <c r="BE610" s="1">
        <v>6.58</v>
      </c>
      <c r="BF610" s="3">
        <v>45350</v>
      </c>
      <c r="BG610" s="1">
        <v>5.5</v>
      </c>
      <c r="BH610" s="3">
        <v>45350</v>
      </c>
      <c r="BI610" s="1">
        <v>5.2779999999999996</v>
      </c>
      <c r="BJ610" s="3">
        <v>45350</v>
      </c>
      <c r="BK610" s="1">
        <v>4.7750000000000004</v>
      </c>
      <c r="BL610" s="3">
        <v>45350</v>
      </c>
      <c r="BM610" s="1">
        <v>3.8029999999999999</v>
      </c>
      <c r="BN610" s="3">
        <v>45350</v>
      </c>
      <c r="BO610" s="1">
        <v>3.2679999999999998</v>
      </c>
      <c r="BP610" s="3">
        <v>45350</v>
      </c>
      <c r="BQ610" s="1">
        <v>3.028</v>
      </c>
      <c r="BR610" s="3">
        <v>45350</v>
      </c>
      <c r="BS610" s="1">
        <v>3.0030000000000001</v>
      </c>
      <c r="BT610" s="3">
        <v>45350</v>
      </c>
      <c r="BU610" s="1">
        <v>3.0030000000000001</v>
      </c>
      <c r="BV610" s="3">
        <v>45350</v>
      </c>
      <c r="BW610" s="1">
        <v>3.0179999999999998</v>
      </c>
      <c r="BY610" s="3">
        <v>45313</v>
      </c>
      <c r="BZ610" s="1">
        <v>10.75</v>
      </c>
      <c r="CA610" s="3">
        <v>45307</v>
      </c>
      <c r="CB610" s="1">
        <v>9.6999999999999993</v>
      </c>
      <c r="CC610" s="3">
        <v>45350</v>
      </c>
      <c r="CD610" s="1">
        <v>7.52</v>
      </c>
      <c r="CE610" s="3">
        <v>45350</v>
      </c>
      <c r="CF610" s="1">
        <v>6.75</v>
      </c>
      <c r="CG610" s="3">
        <v>45350</v>
      </c>
      <c r="CH610" s="1">
        <v>6.14</v>
      </c>
      <c r="CI610" s="3">
        <v>45350</v>
      </c>
      <c r="CJ610" s="1">
        <v>5.29</v>
      </c>
      <c r="CK610" s="3">
        <v>45350</v>
      </c>
      <c r="CL610" s="1">
        <v>5.24</v>
      </c>
      <c r="CM610" s="3">
        <v>45350</v>
      </c>
      <c r="CN610" s="1">
        <v>5.19</v>
      </c>
      <c r="CO610" s="3">
        <v>45342</v>
      </c>
      <c r="CP610" s="1">
        <v>4.8600000000000003</v>
      </c>
      <c r="CQ610" s="3">
        <v>45342</v>
      </c>
      <c r="CR610" s="1">
        <v>4.97</v>
      </c>
      <c r="CS610" s="3">
        <v>45342</v>
      </c>
      <c r="CT610" s="1">
        <v>5.1349999999999998</v>
      </c>
    </row>
    <row r="611" spans="31:98" x14ac:dyDescent="0.2">
      <c r="AE611" s="3">
        <v>45341</v>
      </c>
      <c r="AF611" s="1">
        <v>5.75</v>
      </c>
      <c r="AG611" s="3">
        <v>45314</v>
      </c>
      <c r="AH611" s="1">
        <v>5.86</v>
      </c>
      <c r="AI611" s="3">
        <v>45349</v>
      </c>
      <c r="AJ611" s="2">
        <v>5.87</v>
      </c>
      <c r="AK611" s="3">
        <v>45349</v>
      </c>
      <c r="AL611" s="2">
        <v>5.8449999999999998</v>
      </c>
      <c r="AM611" s="3">
        <v>45349</v>
      </c>
      <c r="AN611" s="2">
        <v>5.79</v>
      </c>
      <c r="AO611" s="3">
        <v>45349</v>
      </c>
      <c r="AP611" s="2">
        <v>5.6</v>
      </c>
      <c r="AQ611" s="3">
        <v>45349</v>
      </c>
      <c r="AR611" s="2">
        <v>5.3025000000000002</v>
      </c>
      <c r="AS611" s="3">
        <v>45349</v>
      </c>
      <c r="AT611" s="2">
        <v>4.9400000000000004</v>
      </c>
      <c r="AU611" s="3">
        <v>45349</v>
      </c>
      <c r="AV611" s="2">
        <v>4.66</v>
      </c>
      <c r="AW611" s="3">
        <v>45349</v>
      </c>
      <c r="AX611" s="2">
        <v>4.47</v>
      </c>
      <c r="AY611" s="3">
        <v>45349</v>
      </c>
      <c r="AZ611" s="2">
        <v>4.3499999999999996</v>
      </c>
      <c r="BB611" s="3">
        <v>45299</v>
      </c>
      <c r="BC611" s="1">
        <v>6.75</v>
      </c>
      <c r="BD611" s="3">
        <v>45315</v>
      </c>
      <c r="BE611" s="1">
        <v>6.58</v>
      </c>
      <c r="BF611" s="3">
        <v>45349</v>
      </c>
      <c r="BG611" s="1">
        <v>5.52</v>
      </c>
      <c r="BH611" s="3">
        <v>45349</v>
      </c>
      <c r="BI611" s="1">
        <v>5.3</v>
      </c>
      <c r="BJ611" s="3">
        <v>45349</v>
      </c>
      <c r="BK611" s="1">
        <v>4.7850000000000001</v>
      </c>
      <c r="BL611" s="3">
        <v>45349</v>
      </c>
      <c r="BM611" s="1">
        <v>3.7749999999999999</v>
      </c>
      <c r="BN611" s="3">
        <v>45349</v>
      </c>
      <c r="BO611" s="1">
        <v>3.2450000000000001</v>
      </c>
      <c r="BP611" s="3">
        <v>45349</v>
      </c>
      <c r="BQ611" s="1">
        <v>2.9950000000000001</v>
      </c>
      <c r="BR611" s="3">
        <v>45349</v>
      </c>
      <c r="BS611" s="1">
        <v>2.9750000000000001</v>
      </c>
      <c r="BT611" s="3">
        <v>45349</v>
      </c>
      <c r="BU611" s="1">
        <v>2.9950000000000001</v>
      </c>
      <c r="BV611" s="3">
        <v>45349</v>
      </c>
      <c r="BW611" s="1">
        <v>3.028</v>
      </c>
      <c r="BY611" s="3">
        <v>45310</v>
      </c>
      <c r="BZ611" s="1">
        <v>10.75</v>
      </c>
      <c r="CA611" s="3">
        <v>45306</v>
      </c>
      <c r="CB611" s="1">
        <v>9.74</v>
      </c>
      <c r="CC611" s="3">
        <v>45349</v>
      </c>
      <c r="CD611" s="1">
        <v>7.74</v>
      </c>
      <c r="CE611" s="3">
        <v>45349</v>
      </c>
      <c r="CF611" s="1">
        <v>6.69</v>
      </c>
      <c r="CG611" s="3">
        <v>45349</v>
      </c>
      <c r="CH611" s="1">
        <v>6.09</v>
      </c>
      <c r="CI611" s="3">
        <v>45349</v>
      </c>
      <c r="CJ611" s="1">
        <v>5.2</v>
      </c>
      <c r="CK611" s="3">
        <v>45349</v>
      </c>
      <c r="CL611" s="1">
        <v>5.08</v>
      </c>
      <c r="CM611" s="3">
        <v>45349</v>
      </c>
      <c r="CN611" s="1">
        <v>5.05</v>
      </c>
      <c r="CO611" s="3">
        <v>45341</v>
      </c>
      <c r="CP611" s="1">
        <v>4.9450000000000003</v>
      </c>
      <c r="CQ611" s="3">
        <v>45341</v>
      </c>
      <c r="CR611" s="1">
        <v>5.0549999999999997</v>
      </c>
      <c r="CS611" s="3">
        <v>45341</v>
      </c>
      <c r="CT611" s="1">
        <v>5.2249999999999996</v>
      </c>
    </row>
    <row r="612" spans="31:98" x14ac:dyDescent="0.2">
      <c r="AE612" s="3">
        <v>45338</v>
      </c>
      <c r="AF612" s="1">
        <v>5.75</v>
      </c>
      <c r="AG612" s="3">
        <v>45313</v>
      </c>
      <c r="AH612" s="1">
        <v>5.86</v>
      </c>
      <c r="AI612" s="3">
        <v>45348</v>
      </c>
      <c r="AJ612" s="2">
        <v>5.8685</v>
      </c>
      <c r="AK612" s="3">
        <v>45348</v>
      </c>
      <c r="AL612" s="2">
        <v>5.835</v>
      </c>
      <c r="AM612" s="3">
        <v>45348</v>
      </c>
      <c r="AN612" s="2">
        <v>5.7750000000000004</v>
      </c>
      <c r="AO612" s="3">
        <v>45348</v>
      </c>
      <c r="AP612" s="2">
        <v>5.5449999999999999</v>
      </c>
      <c r="AQ612" s="3">
        <v>45348</v>
      </c>
      <c r="AR612" s="2">
        <v>5.2149999999999999</v>
      </c>
      <c r="AS612" s="3">
        <v>45348</v>
      </c>
      <c r="AT612" s="2">
        <v>4.8150000000000004</v>
      </c>
      <c r="AU612" s="3">
        <v>45348</v>
      </c>
      <c r="AV612" s="2">
        <v>4.5149999999999997</v>
      </c>
      <c r="AW612" s="3">
        <v>45348</v>
      </c>
      <c r="AX612" s="2">
        <v>4.3150000000000004</v>
      </c>
      <c r="AY612" s="3">
        <v>45348</v>
      </c>
      <c r="AZ612" s="2">
        <v>4.21</v>
      </c>
      <c r="BB612" s="3">
        <v>45296</v>
      </c>
      <c r="BC612" s="1">
        <v>6.75</v>
      </c>
      <c r="BD612" s="3">
        <v>45314</v>
      </c>
      <c r="BE612" s="1">
        <v>6.59</v>
      </c>
      <c r="BF612" s="3">
        <v>45348</v>
      </c>
      <c r="BG612" s="1">
        <v>5.5</v>
      </c>
      <c r="BH612" s="3">
        <v>45348</v>
      </c>
      <c r="BI612" s="1">
        <v>5.26</v>
      </c>
      <c r="BJ612" s="3">
        <v>45348</v>
      </c>
      <c r="BK612" s="1">
        <v>4.7350000000000003</v>
      </c>
      <c r="BL612" s="3">
        <v>45348</v>
      </c>
      <c r="BM612" s="1">
        <v>3.72</v>
      </c>
      <c r="BN612" s="3">
        <v>45348</v>
      </c>
      <c r="BO612" s="1">
        <v>3.1749999999999998</v>
      </c>
      <c r="BP612" s="3">
        <v>45348</v>
      </c>
      <c r="BQ612" s="1">
        <v>2.95</v>
      </c>
      <c r="BR612" s="3">
        <v>45348</v>
      </c>
      <c r="BS612" s="1">
        <v>2.9380000000000002</v>
      </c>
      <c r="BT612" s="3">
        <v>45348</v>
      </c>
      <c r="BU612" s="1">
        <v>2.9430000000000001</v>
      </c>
      <c r="BV612" s="3">
        <v>45348</v>
      </c>
      <c r="BW612" s="1">
        <v>2.9580000000000002</v>
      </c>
      <c r="BY612" s="3">
        <v>45309</v>
      </c>
      <c r="BZ612" s="1">
        <v>10.75</v>
      </c>
      <c r="CA612" s="3">
        <v>45303</v>
      </c>
      <c r="CB612" s="1">
        <v>9.7799999999999994</v>
      </c>
      <c r="CC612" s="3">
        <v>45348</v>
      </c>
      <c r="CD612" s="1">
        <v>7.835</v>
      </c>
      <c r="CE612" s="3">
        <v>45348</v>
      </c>
      <c r="CF612" s="1">
        <v>6.6989999999999998</v>
      </c>
      <c r="CG612" s="3">
        <v>45348</v>
      </c>
      <c r="CH612" s="1">
        <v>6.04</v>
      </c>
      <c r="CI612" s="3">
        <v>45348</v>
      </c>
      <c r="CJ612" s="1">
        <v>5.12</v>
      </c>
      <c r="CK612" s="3">
        <v>45348</v>
      </c>
      <c r="CL612" s="1">
        <v>4.93</v>
      </c>
      <c r="CM612" s="3">
        <v>45348</v>
      </c>
      <c r="CN612" s="1">
        <v>4.8650000000000002</v>
      </c>
      <c r="CO612" s="3">
        <v>45338</v>
      </c>
      <c r="CP612" s="1">
        <v>4.9649999999999999</v>
      </c>
      <c r="CQ612" s="3">
        <v>45338</v>
      </c>
      <c r="CR612" s="1">
        <v>5.0750000000000002</v>
      </c>
      <c r="CS612" s="3">
        <v>45338</v>
      </c>
      <c r="CT612" s="1">
        <v>5.25</v>
      </c>
    </row>
    <row r="613" spans="31:98" x14ac:dyDescent="0.2">
      <c r="AE613" s="3">
        <v>45337</v>
      </c>
      <c r="AF613" s="1">
        <v>5.75</v>
      </c>
      <c r="AG613" s="3">
        <v>45310</v>
      </c>
      <c r="AH613" s="1">
        <v>5.86</v>
      </c>
      <c r="AI613" s="3">
        <v>45345</v>
      </c>
      <c r="AJ613" s="2">
        <v>5.8635000000000002</v>
      </c>
      <c r="AK613" s="3">
        <v>45345</v>
      </c>
      <c r="AL613" s="2">
        <v>5.8150000000000004</v>
      </c>
      <c r="AM613" s="3">
        <v>45345</v>
      </c>
      <c r="AN613" s="2">
        <v>5.76</v>
      </c>
      <c r="AO613" s="3">
        <v>45345</v>
      </c>
      <c r="AP613" s="2">
        <v>5.53</v>
      </c>
      <c r="AQ613" s="3">
        <v>45345</v>
      </c>
      <c r="AR613" s="2">
        <v>5.19</v>
      </c>
      <c r="AS613" s="3">
        <v>45345</v>
      </c>
      <c r="AT613" s="2">
        <v>4.7850000000000001</v>
      </c>
      <c r="AU613" s="3">
        <v>45345</v>
      </c>
      <c r="AV613" s="2">
        <v>4.4800000000000004</v>
      </c>
      <c r="AW613" s="3">
        <v>45345</v>
      </c>
      <c r="AX613" s="2">
        <v>4.2649999999999997</v>
      </c>
      <c r="AY613" s="3">
        <v>45345</v>
      </c>
      <c r="AZ613" s="2">
        <v>4.1449999999999996</v>
      </c>
      <c r="BB613" s="3">
        <v>45295</v>
      </c>
      <c r="BC613" s="1">
        <v>6.75</v>
      </c>
      <c r="BD613" s="3">
        <v>45313</v>
      </c>
      <c r="BE613" s="1">
        <v>6.6</v>
      </c>
      <c r="BF613" s="3">
        <v>45345</v>
      </c>
      <c r="BG613" s="1">
        <v>5.5149999999999997</v>
      </c>
      <c r="BH613" s="3">
        <v>45345</v>
      </c>
      <c r="BI613" s="1">
        <v>5.2480000000000002</v>
      </c>
      <c r="BJ613" s="3">
        <v>45345</v>
      </c>
      <c r="BK613" s="1">
        <v>4.7130000000000001</v>
      </c>
      <c r="BL613" s="3">
        <v>45345</v>
      </c>
      <c r="BM613" s="1">
        <v>3.6749999999999998</v>
      </c>
      <c r="BN613" s="3">
        <v>45345</v>
      </c>
      <c r="BO613" s="1">
        <v>3.165</v>
      </c>
      <c r="BP613" s="3">
        <v>45345</v>
      </c>
      <c r="BQ613" s="1">
        <v>2.9249999999999998</v>
      </c>
      <c r="BR613" s="3">
        <v>45345</v>
      </c>
      <c r="BS613" s="1">
        <v>2.9049999999999998</v>
      </c>
      <c r="BT613" s="3">
        <v>45345</v>
      </c>
      <c r="BU613" s="1">
        <v>2.915</v>
      </c>
      <c r="BV613" s="3">
        <v>45345</v>
      </c>
      <c r="BW613" s="1">
        <v>2.93</v>
      </c>
      <c r="BY613" s="3">
        <v>45308</v>
      </c>
      <c r="BZ613" s="1">
        <v>10.75</v>
      </c>
      <c r="CA613" s="3">
        <v>45302</v>
      </c>
      <c r="CB613" s="1">
        <v>9.84</v>
      </c>
      <c r="CC613" s="3">
        <v>45345</v>
      </c>
      <c r="CD613" s="1">
        <v>7.875</v>
      </c>
      <c r="CE613" s="3">
        <v>45345</v>
      </c>
      <c r="CF613" s="1">
        <v>6.7569999999999997</v>
      </c>
      <c r="CG613" s="3">
        <v>45345</v>
      </c>
      <c r="CH613" s="1">
        <v>6.08</v>
      </c>
      <c r="CI613" s="3">
        <v>45345</v>
      </c>
      <c r="CJ613" s="1">
        <v>5.07</v>
      </c>
      <c r="CK613" s="3">
        <v>45345</v>
      </c>
      <c r="CL613" s="1">
        <v>4.8600000000000003</v>
      </c>
      <c r="CM613" s="3">
        <v>45345</v>
      </c>
      <c r="CN613" s="1">
        <v>4.84</v>
      </c>
      <c r="CO613" s="3">
        <v>45337</v>
      </c>
      <c r="CP613" s="1">
        <v>4.8949999999999996</v>
      </c>
      <c r="CQ613" s="3">
        <v>45337</v>
      </c>
      <c r="CR613" s="1">
        <v>5</v>
      </c>
      <c r="CS613" s="3">
        <v>45337</v>
      </c>
      <c r="CT613" s="1">
        <v>5.17</v>
      </c>
    </row>
    <row r="614" spans="31:98" x14ac:dyDescent="0.2">
      <c r="AE614" s="3">
        <v>45336</v>
      </c>
      <c r="AF614" s="1">
        <v>5.75</v>
      </c>
      <c r="AG614" s="3">
        <v>45309</v>
      </c>
      <c r="AH614" s="1">
        <v>5.86</v>
      </c>
      <c r="AI614" s="3">
        <v>45344</v>
      </c>
      <c r="AJ614" s="2">
        <v>5.8615000000000004</v>
      </c>
      <c r="AK614" s="3">
        <v>45344</v>
      </c>
      <c r="AL614" s="2">
        <v>5.81</v>
      </c>
      <c r="AM614" s="3">
        <v>45344</v>
      </c>
      <c r="AN614" s="2">
        <v>5.76</v>
      </c>
      <c r="AO614" s="3">
        <v>45344</v>
      </c>
      <c r="AP614" s="2">
        <v>5.5149999999999997</v>
      </c>
      <c r="AQ614" s="3">
        <v>45344</v>
      </c>
      <c r="AR614" s="2">
        <v>5.1849999999999996</v>
      </c>
      <c r="AS614" s="3">
        <v>45344</v>
      </c>
      <c r="AT614" s="2">
        <v>4.79</v>
      </c>
      <c r="AU614" s="3">
        <v>45344</v>
      </c>
      <c r="AV614" s="2">
        <v>4.5</v>
      </c>
      <c r="AW614" s="3">
        <v>45344</v>
      </c>
      <c r="AX614" s="2">
        <v>4.3049999999999997</v>
      </c>
      <c r="AY614" s="3">
        <v>45344</v>
      </c>
      <c r="AZ614" s="2">
        <v>4.1775000000000002</v>
      </c>
      <c r="BB614" s="3">
        <v>45294</v>
      </c>
      <c r="BC614" s="1">
        <v>6.75</v>
      </c>
      <c r="BD614" s="3">
        <v>45310</v>
      </c>
      <c r="BE614" s="1">
        <v>6.6</v>
      </c>
      <c r="BF614" s="3">
        <v>45344</v>
      </c>
      <c r="BG614" s="1">
        <v>5.52</v>
      </c>
      <c r="BH614" s="3">
        <v>45344</v>
      </c>
      <c r="BI614" s="1">
        <v>5.2679999999999998</v>
      </c>
      <c r="BJ614" s="3">
        <v>45344</v>
      </c>
      <c r="BK614" s="1">
        <v>4.7050000000000001</v>
      </c>
      <c r="BL614" s="3">
        <v>45344</v>
      </c>
      <c r="BM614" s="1">
        <v>3.66</v>
      </c>
      <c r="BN614" s="3">
        <v>45344</v>
      </c>
      <c r="BO614" s="1">
        <v>3.15</v>
      </c>
      <c r="BP614" s="3">
        <v>45344</v>
      </c>
      <c r="BQ614" s="1">
        <v>2.91</v>
      </c>
      <c r="BR614" s="3">
        <v>45344</v>
      </c>
      <c r="BS614" s="1">
        <v>2.883</v>
      </c>
      <c r="BT614" s="3">
        <v>45344</v>
      </c>
      <c r="BU614" s="1">
        <v>2.9129999999999998</v>
      </c>
      <c r="BV614" s="3">
        <v>45344</v>
      </c>
      <c r="BW614" s="1">
        <v>2.9430000000000001</v>
      </c>
      <c r="BY614" s="3">
        <v>45307</v>
      </c>
      <c r="BZ614" s="1">
        <v>10.75</v>
      </c>
      <c r="CA614" s="3">
        <v>45301</v>
      </c>
      <c r="CB614" s="1">
        <v>9.85</v>
      </c>
      <c r="CC614" s="3">
        <v>45344</v>
      </c>
      <c r="CD614" s="1">
        <v>7.9829999999999997</v>
      </c>
      <c r="CE614" s="3">
        <v>45344</v>
      </c>
      <c r="CF614" s="1">
        <v>6.8719999999999999</v>
      </c>
      <c r="CG614" s="3">
        <v>45344</v>
      </c>
      <c r="CH614" s="1">
        <v>6.16</v>
      </c>
      <c r="CI614" s="3">
        <v>45344</v>
      </c>
      <c r="CJ614" s="1">
        <v>5.0999999999999996</v>
      </c>
      <c r="CK614" s="3">
        <v>45344</v>
      </c>
      <c r="CL614" s="1">
        <v>4.8899999999999997</v>
      </c>
      <c r="CM614" s="3">
        <v>45344</v>
      </c>
      <c r="CN614" s="1">
        <v>4.7949999999999999</v>
      </c>
      <c r="CO614" s="3">
        <v>45336</v>
      </c>
      <c r="CP614" s="1">
        <v>5.0750000000000002</v>
      </c>
      <c r="CQ614" s="3">
        <v>45336</v>
      </c>
      <c r="CR614" s="1">
        <v>5.19</v>
      </c>
      <c r="CS614" s="3">
        <v>45336</v>
      </c>
      <c r="CT614" s="1">
        <v>5.36</v>
      </c>
    </row>
    <row r="615" spans="31:98" x14ac:dyDescent="0.2">
      <c r="AE615" s="3">
        <v>45335</v>
      </c>
      <c r="AF615" s="1">
        <v>5.75</v>
      </c>
      <c r="AG615" s="3">
        <v>45308</v>
      </c>
      <c r="AH615" s="1">
        <v>5.86</v>
      </c>
      <c r="AI615" s="3">
        <v>45343</v>
      </c>
      <c r="AJ615" s="2">
        <v>5.8685</v>
      </c>
      <c r="AK615" s="3">
        <v>45343</v>
      </c>
      <c r="AL615" s="2">
        <v>5.8150000000000004</v>
      </c>
      <c r="AM615" s="3">
        <v>45343</v>
      </c>
      <c r="AN615" s="2">
        <v>5.76</v>
      </c>
      <c r="AO615" s="3">
        <v>45343</v>
      </c>
      <c r="AP615" s="2">
        <v>5.5049999999999999</v>
      </c>
      <c r="AQ615" s="3">
        <v>45343</v>
      </c>
      <c r="AR615" s="2">
        <v>5.1675000000000004</v>
      </c>
      <c r="AS615" s="3">
        <v>45343</v>
      </c>
      <c r="AT615" s="2">
        <v>4.7975000000000003</v>
      </c>
      <c r="AU615" s="3">
        <v>45343</v>
      </c>
      <c r="AV615" s="2">
        <v>4.5225</v>
      </c>
      <c r="AW615" s="3">
        <v>45343</v>
      </c>
      <c r="AX615" s="2">
        <v>4.3499999999999996</v>
      </c>
      <c r="AY615" s="3">
        <v>45343</v>
      </c>
      <c r="AZ615" s="2">
        <v>4.2350000000000003</v>
      </c>
      <c r="BB615" s="3">
        <v>45293</v>
      </c>
      <c r="BC615" s="1">
        <v>6.75</v>
      </c>
      <c r="BD615" s="3">
        <v>45309</v>
      </c>
      <c r="BE615" s="1">
        <v>6.61</v>
      </c>
      <c r="BF615" s="3">
        <v>45343</v>
      </c>
      <c r="BG615" s="1">
        <v>5.5</v>
      </c>
      <c r="BH615" s="3">
        <v>45343</v>
      </c>
      <c r="BI615" s="1">
        <v>5.2949999999999999</v>
      </c>
      <c r="BJ615" s="3">
        <v>45343</v>
      </c>
      <c r="BK615" s="1">
        <v>4.71</v>
      </c>
      <c r="BL615" s="3">
        <v>45343</v>
      </c>
      <c r="BM615" s="1">
        <v>3.68</v>
      </c>
      <c r="BN615" s="3">
        <v>45343</v>
      </c>
      <c r="BO615" s="1">
        <v>3.14</v>
      </c>
      <c r="BP615" s="3">
        <v>45343</v>
      </c>
      <c r="BQ615" s="1">
        <v>2.9</v>
      </c>
      <c r="BR615" s="3">
        <v>45343</v>
      </c>
      <c r="BS615" s="1">
        <v>2.88</v>
      </c>
      <c r="BT615" s="3">
        <v>45343</v>
      </c>
      <c r="BU615" s="1">
        <v>2.8849999999999998</v>
      </c>
      <c r="BV615" s="3">
        <v>45343</v>
      </c>
      <c r="BW615" s="1">
        <v>2.91</v>
      </c>
      <c r="BY615" s="3">
        <v>45306</v>
      </c>
      <c r="BZ615" s="1">
        <v>10.75</v>
      </c>
      <c r="CA615" s="3">
        <v>45300</v>
      </c>
      <c r="CB615" s="1">
        <v>9.86</v>
      </c>
      <c r="CC615" s="3">
        <v>45343</v>
      </c>
      <c r="CD615" s="1">
        <v>8.0259999999999998</v>
      </c>
      <c r="CE615" s="3">
        <v>45343</v>
      </c>
      <c r="CF615" s="1">
        <v>7.17</v>
      </c>
      <c r="CG615" s="3">
        <v>45343</v>
      </c>
      <c r="CH615" s="1">
        <v>6.43</v>
      </c>
      <c r="CI615" s="3">
        <v>45343</v>
      </c>
      <c r="CJ615" s="1">
        <v>5.19</v>
      </c>
      <c r="CK615" s="3">
        <v>45343</v>
      </c>
      <c r="CL615" s="1">
        <v>4.9400000000000004</v>
      </c>
      <c r="CM615" s="3">
        <v>45343</v>
      </c>
      <c r="CN615" s="1">
        <v>4.8600000000000003</v>
      </c>
      <c r="CO615" s="3">
        <v>45335</v>
      </c>
      <c r="CP615" s="1">
        <v>5.0750000000000002</v>
      </c>
      <c r="CQ615" s="3">
        <v>45335</v>
      </c>
      <c r="CR615" s="1">
        <v>5.19</v>
      </c>
      <c r="CS615" s="3">
        <v>45335</v>
      </c>
      <c r="CT615" s="1">
        <v>5.35</v>
      </c>
    </row>
    <row r="616" spans="31:98" x14ac:dyDescent="0.2">
      <c r="AE616" s="3">
        <v>45334</v>
      </c>
      <c r="AF616" s="1">
        <v>5.75</v>
      </c>
      <c r="AG616" s="3">
        <v>45307</v>
      </c>
      <c r="AH616" s="1">
        <v>5.87</v>
      </c>
      <c r="AI616" s="3">
        <v>45342</v>
      </c>
      <c r="AJ616" s="2">
        <v>5.8550000000000004</v>
      </c>
      <c r="AK616" s="3">
        <v>45342</v>
      </c>
      <c r="AL616" s="2">
        <v>5.8150000000000004</v>
      </c>
      <c r="AM616" s="3">
        <v>45342</v>
      </c>
      <c r="AN616" s="2">
        <v>5.73</v>
      </c>
      <c r="AO616" s="3">
        <v>45342</v>
      </c>
      <c r="AP616" s="2">
        <v>5.48</v>
      </c>
      <c r="AQ616" s="3">
        <v>45342</v>
      </c>
      <c r="AR616" s="2">
        <v>5.1574999999999998</v>
      </c>
      <c r="AS616" s="3">
        <v>45342</v>
      </c>
      <c r="AT616" s="2">
        <v>4.7824999999999998</v>
      </c>
      <c r="AU616" s="3">
        <v>45342</v>
      </c>
      <c r="AV616" s="2">
        <v>4.5175000000000001</v>
      </c>
      <c r="AW616" s="3">
        <v>45342</v>
      </c>
      <c r="AX616" s="2">
        <v>4.3449999999999998</v>
      </c>
      <c r="AY616" s="3">
        <v>45342</v>
      </c>
      <c r="AZ616" s="2">
        <v>4.2374999999999998</v>
      </c>
      <c r="BB616" s="3">
        <v>45289</v>
      </c>
      <c r="BC616" s="1">
        <v>6.75</v>
      </c>
      <c r="BD616" s="3">
        <v>45308</v>
      </c>
      <c r="BE616" s="1">
        <v>6.61</v>
      </c>
      <c r="BF616" s="3">
        <v>45342</v>
      </c>
      <c r="BG616" s="1">
        <v>5.83</v>
      </c>
      <c r="BH616" s="3">
        <v>45342</v>
      </c>
      <c r="BI616" s="1">
        <v>5.2649999999999997</v>
      </c>
      <c r="BJ616" s="3">
        <v>45342</v>
      </c>
      <c r="BK616" s="1">
        <v>4.6900000000000004</v>
      </c>
      <c r="BL616" s="3">
        <v>45342</v>
      </c>
      <c r="BM616" s="1">
        <v>3.6549999999999998</v>
      </c>
      <c r="BN616" s="3">
        <v>45342</v>
      </c>
      <c r="BO616" s="1">
        <v>3.12</v>
      </c>
      <c r="BP616" s="3">
        <v>45342</v>
      </c>
      <c r="BQ616" s="1">
        <v>2.89</v>
      </c>
      <c r="BR616" s="3">
        <v>45342</v>
      </c>
      <c r="BS616" s="1">
        <v>2.895</v>
      </c>
      <c r="BT616" s="3">
        <v>45342</v>
      </c>
      <c r="BU616" s="1">
        <v>2.903</v>
      </c>
      <c r="BV616" s="3">
        <v>45342</v>
      </c>
      <c r="BW616" s="1">
        <v>2.95</v>
      </c>
      <c r="BY616" s="3">
        <v>45303</v>
      </c>
      <c r="BZ616" s="1">
        <v>10.75</v>
      </c>
      <c r="CA616" s="3">
        <v>45299</v>
      </c>
      <c r="CB616" s="1">
        <v>9.89</v>
      </c>
      <c r="CC616" s="3">
        <v>45342</v>
      </c>
      <c r="CD616" s="1">
        <v>8.16</v>
      </c>
      <c r="CE616" s="3">
        <v>45342</v>
      </c>
      <c r="CF616" s="1">
        <v>7.2770000000000001</v>
      </c>
      <c r="CG616" s="3">
        <v>45342</v>
      </c>
      <c r="CH616" s="1">
        <v>6.57</v>
      </c>
      <c r="CI616" s="3">
        <v>45342</v>
      </c>
      <c r="CJ616" s="1">
        <v>5.28</v>
      </c>
      <c r="CK616" s="3">
        <v>45342</v>
      </c>
      <c r="CL616" s="1">
        <v>4.92</v>
      </c>
      <c r="CM616" s="3">
        <v>45342</v>
      </c>
      <c r="CN616" s="1">
        <v>4.7850000000000001</v>
      </c>
      <c r="CO616" s="3">
        <v>45334</v>
      </c>
      <c r="CP616" s="1">
        <v>4.9450000000000003</v>
      </c>
      <c r="CQ616" s="3">
        <v>45334</v>
      </c>
      <c r="CR616" s="1">
        <v>5.1449999999999996</v>
      </c>
      <c r="CS616" s="3">
        <v>45334</v>
      </c>
      <c r="CT616" s="1">
        <v>5.3150000000000004</v>
      </c>
    </row>
    <row r="617" spans="31:98" x14ac:dyDescent="0.2">
      <c r="AE617" s="3">
        <v>45331</v>
      </c>
      <c r="AF617" s="1">
        <v>5.75</v>
      </c>
      <c r="AG617" s="3">
        <v>45306</v>
      </c>
      <c r="AH617" s="1">
        <v>5.86</v>
      </c>
      <c r="AI617" s="3">
        <v>45341</v>
      </c>
      <c r="AJ617" s="2">
        <v>5.8563000000000001</v>
      </c>
      <c r="AK617" s="3">
        <v>45341</v>
      </c>
      <c r="AL617" s="2">
        <v>5.8125</v>
      </c>
      <c r="AM617" s="3">
        <v>45341</v>
      </c>
      <c r="AN617" s="2">
        <v>5.75</v>
      </c>
      <c r="AO617" s="3">
        <v>45341</v>
      </c>
      <c r="AP617" s="2">
        <v>5.5575000000000001</v>
      </c>
      <c r="AQ617" s="3">
        <v>45341</v>
      </c>
      <c r="AR617" s="2">
        <v>5.2549999999999999</v>
      </c>
      <c r="AS617" s="3">
        <v>45341</v>
      </c>
      <c r="AT617" s="2">
        <v>4.9024999999999999</v>
      </c>
      <c r="AU617" s="3">
        <v>45341</v>
      </c>
      <c r="AV617" s="2">
        <v>4.6425000000000001</v>
      </c>
      <c r="AW617" s="3">
        <v>45341</v>
      </c>
      <c r="AX617" s="2">
        <v>4.4749999999999996</v>
      </c>
      <c r="AY617" s="3">
        <v>45341</v>
      </c>
      <c r="AZ617" s="2">
        <v>4.37</v>
      </c>
      <c r="BB617" s="3">
        <v>45288</v>
      </c>
      <c r="BC617" s="1">
        <v>6.75</v>
      </c>
      <c r="BD617" s="3">
        <v>45307</v>
      </c>
      <c r="BE617" s="1">
        <v>6.61</v>
      </c>
      <c r="BF617" s="3">
        <v>45341</v>
      </c>
      <c r="BG617" s="1">
        <v>5.84</v>
      </c>
      <c r="BH617" s="3">
        <v>45341</v>
      </c>
      <c r="BI617" s="1">
        <v>5.2930000000000001</v>
      </c>
      <c r="BJ617" s="3">
        <v>45341</v>
      </c>
      <c r="BK617" s="1">
        <v>4.7300000000000004</v>
      </c>
      <c r="BL617" s="3">
        <v>45341</v>
      </c>
      <c r="BM617" s="1">
        <v>3.71</v>
      </c>
      <c r="BN617" s="3">
        <v>45341</v>
      </c>
      <c r="BO617" s="1">
        <v>3.165</v>
      </c>
      <c r="BP617" s="3">
        <v>45341</v>
      </c>
      <c r="BQ617" s="1">
        <v>2.9449999999999998</v>
      </c>
      <c r="BR617" s="3">
        <v>45341</v>
      </c>
      <c r="BS617" s="1">
        <v>2.9249999999999998</v>
      </c>
      <c r="BT617" s="3">
        <v>45341</v>
      </c>
      <c r="BU617" s="1">
        <v>2.9249999999999998</v>
      </c>
      <c r="BV617" s="3">
        <v>45341</v>
      </c>
      <c r="BW617" s="1">
        <v>2.98</v>
      </c>
      <c r="BY617" s="3">
        <v>45302</v>
      </c>
      <c r="BZ617" s="1">
        <v>10.75</v>
      </c>
      <c r="CA617" s="3">
        <v>45296</v>
      </c>
      <c r="CB617" s="1">
        <v>9.93</v>
      </c>
      <c r="CC617" s="3">
        <v>45341</v>
      </c>
      <c r="CD617" s="1">
        <v>8.1999999999999993</v>
      </c>
      <c r="CE617" s="3">
        <v>45341</v>
      </c>
      <c r="CF617" s="1">
        <v>7.3620000000000001</v>
      </c>
      <c r="CG617" s="3">
        <v>45341</v>
      </c>
      <c r="CH617" s="1">
        <v>6.68</v>
      </c>
      <c r="CI617" s="3">
        <v>45341</v>
      </c>
      <c r="CJ617" s="1">
        <v>5.38</v>
      </c>
      <c r="CK617" s="3">
        <v>45341</v>
      </c>
      <c r="CL617" s="1">
        <v>5.04</v>
      </c>
      <c r="CM617" s="3">
        <v>45341</v>
      </c>
      <c r="CN617" s="1">
        <v>4.9550000000000001</v>
      </c>
      <c r="CO617" s="3">
        <v>45331</v>
      </c>
      <c r="CP617" s="1">
        <v>4.95</v>
      </c>
      <c r="CQ617" s="3">
        <v>45331</v>
      </c>
      <c r="CR617" s="1">
        <v>5.14</v>
      </c>
      <c r="CS617" s="3">
        <v>45331</v>
      </c>
      <c r="CT617" s="1">
        <v>5.31</v>
      </c>
    </row>
    <row r="618" spans="31:98" x14ac:dyDescent="0.2">
      <c r="AE618" s="3">
        <v>45330</v>
      </c>
      <c r="AF618" s="1">
        <v>5.75</v>
      </c>
      <c r="AG618" s="3">
        <v>45303</v>
      </c>
      <c r="AH618" s="1">
        <v>5.86</v>
      </c>
      <c r="AI618" s="3">
        <v>45338</v>
      </c>
      <c r="AJ618" s="2">
        <v>5.8550000000000004</v>
      </c>
      <c r="AK618" s="3">
        <v>45338</v>
      </c>
      <c r="AL618" s="2">
        <v>5.8049999999999997</v>
      </c>
      <c r="AM618" s="3">
        <v>45338</v>
      </c>
      <c r="AN618" s="2">
        <v>5.7374999999999998</v>
      </c>
      <c r="AO618" s="3">
        <v>45338</v>
      </c>
      <c r="AP618" s="2">
        <v>5.53</v>
      </c>
      <c r="AQ618" s="3">
        <v>45338</v>
      </c>
      <c r="AR618" s="2">
        <v>5.22</v>
      </c>
      <c r="AS618" s="3">
        <v>45338</v>
      </c>
      <c r="AT618" s="2">
        <v>4.8650000000000002</v>
      </c>
      <c r="AU618" s="3">
        <v>45338</v>
      </c>
      <c r="AV618" s="2">
        <v>4.6100000000000003</v>
      </c>
      <c r="AW618" s="3">
        <v>45338</v>
      </c>
      <c r="AX618" s="2">
        <v>4.4400000000000004</v>
      </c>
      <c r="AY618" s="3">
        <v>45338</v>
      </c>
      <c r="AZ618" s="2">
        <v>4.3324999999999996</v>
      </c>
      <c r="BB618" s="3">
        <v>45287</v>
      </c>
      <c r="BC618" s="1">
        <v>6.75</v>
      </c>
      <c r="BD618" s="3">
        <v>45306</v>
      </c>
      <c r="BE618" s="1">
        <v>6.61</v>
      </c>
      <c r="BF618" s="3">
        <v>45338</v>
      </c>
      <c r="BG618" s="1">
        <v>5.83</v>
      </c>
      <c r="BH618" s="3">
        <v>45338</v>
      </c>
      <c r="BI618" s="1">
        <v>5.258</v>
      </c>
      <c r="BJ618" s="3">
        <v>45338</v>
      </c>
      <c r="BK618" s="1">
        <v>4.68</v>
      </c>
      <c r="BL618" s="3">
        <v>45338</v>
      </c>
      <c r="BM618" s="1">
        <v>3.68</v>
      </c>
      <c r="BN618" s="3">
        <v>45338</v>
      </c>
      <c r="BO618" s="1">
        <v>3.1579999999999999</v>
      </c>
      <c r="BP618" s="3">
        <v>45338</v>
      </c>
      <c r="BQ618" s="1">
        <v>2.9430000000000001</v>
      </c>
      <c r="BR618" s="3">
        <v>45338</v>
      </c>
      <c r="BS618" s="1">
        <v>2.903</v>
      </c>
      <c r="BT618" s="3">
        <v>45338</v>
      </c>
      <c r="BU618" s="1">
        <v>2.8980000000000001</v>
      </c>
      <c r="BV618" s="3">
        <v>45338</v>
      </c>
      <c r="BW618" s="1">
        <v>2.9529999999999998</v>
      </c>
      <c r="BY618" s="3">
        <v>45301</v>
      </c>
      <c r="BZ618" s="1">
        <v>10.75</v>
      </c>
      <c r="CA618" s="3">
        <v>45295</v>
      </c>
      <c r="CB618" s="1">
        <v>9.94</v>
      </c>
      <c r="CC618" s="3">
        <v>45338</v>
      </c>
      <c r="CD618" s="1">
        <v>8.1989999999999998</v>
      </c>
      <c r="CE618" s="3">
        <v>45338</v>
      </c>
      <c r="CF618" s="1">
        <v>7.335</v>
      </c>
      <c r="CG618" s="3">
        <v>45338</v>
      </c>
      <c r="CH618" s="1">
        <v>6.68</v>
      </c>
      <c r="CI618" s="3">
        <v>45338</v>
      </c>
      <c r="CJ618" s="1">
        <v>5.38</v>
      </c>
      <c r="CK618" s="3">
        <v>45338</v>
      </c>
      <c r="CL618" s="1">
        <v>5.04</v>
      </c>
      <c r="CM618" s="3">
        <v>45338</v>
      </c>
      <c r="CN618" s="1">
        <v>4.9749999999999996</v>
      </c>
      <c r="CO618" s="3">
        <v>45330</v>
      </c>
      <c r="CP618" s="1">
        <v>5.04</v>
      </c>
      <c r="CQ618" s="3">
        <v>45330</v>
      </c>
      <c r="CR618" s="1">
        <v>5.23</v>
      </c>
      <c r="CS618" s="3">
        <v>45330</v>
      </c>
      <c r="CT618" s="1">
        <v>5.4</v>
      </c>
    </row>
    <row r="619" spans="31:98" x14ac:dyDescent="0.2">
      <c r="AE619" s="3">
        <v>45329</v>
      </c>
      <c r="AF619" s="1">
        <v>5.75</v>
      </c>
      <c r="AG619" s="3">
        <v>45302</v>
      </c>
      <c r="AH619" s="1">
        <v>5.87</v>
      </c>
      <c r="AI619" s="3">
        <v>45337</v>
      </c>
      <c r="AJ619" s="2">
        <v>5.8330000000000002</v>
      </c>
      <c r="AK619" s="3">
        <v>45337</v>
      </c>
      <c r="AL619" s="2">
        <v>5.7949999999999999</v>
      </c>
      <c r="AM619" s="3">
        <v>45337</v>
      </c>
      <c r="AN619" s="2">
        <v>5.7249999999999996</v>
      </c>
      <c r="AO619" s="3">
        <v>45337</v>
      </c>
      <c r="AP619" s="2">
        <v>5.51</v>
      </c>
      <c r="AQ619" s="3">
        <v>45337</v>
      </c>
      <c r="AR619" s="2">
        <v>5.1950000000000003</v>
      </c>
      <c r="AS619" s="3">
        <v>45337</v>
      </c>
      <c r="AT619" s="2">
        <v>4.84</v>
      </c>
      <c r="AU619" s="3">
        <v>45337</v>
      </c>
      <c r="AV619" s="2">
        <v>4.58</v>
      </c>
      <c r="AW619" s="3">
        <v>45337</v>
      </c>
      <c r="AX619" s="2">
        <v>4.41</v>
      </c>
      <c r="AY619" s="3">
        <v>45337</v>
      </c>
      <c r="AZ619" s="2">
        <v>4.3</v>
      </c>
      <c r="BB619" s="3">
        <v>45282</v>
      </c>
      <c r="BC619" s="1">
        <v>6.75</v>
      </c>
      <c r="BD619" s="3">
        <v>45303</v>
      </c>
      <c r="BE619" s="1">
        <v>6.62</v>
      </c>
      <c r="BF619" s="3">
        <v>45337</v>
      </c>
      <c r="BG619" s="1">
        <v>5.83</v>
      </c>
      <c r="BH619" s="3">
        <v>45337</v>
      </c>
      <c r="BI619" s="1">
        <v>5.22</v>
      </c>
      <c r="BJ619" s="3">
        <v>45337</v>
      </c>
      <c r="BK619" s="1">
        <v>4.6749999999999998</v>
      </c>
      <c r="BL619" s="3">
        <v>45337</v>
      </c>
      <c r="BM619" s="1">
        <v>3.69</v>
      </c>
      <c r="BN619" s="3">
        <v>45337</v>
      </c>
      <c r="BO619" s="1">
        <v>3.14</v>
      </c>
      <c r="BP619" s="3">
        <v>45337</v>
      </c>
      <c r="BQ619" s="1">
        <v>2.9180000000000001</v>
      </c>
      <c r="BR619" s="3">
        <v>45337</v>
      </c>
      <c r="BS619" s="1">
        <v>2.8879999999999999</v>
      </c>
      <c r="BT619" s="3">
        <v>45337</v>
      </c>
      <c r="BU619" s="1">
        <v>2.9180000000000001</v>
      </c>
      <c r="BV619" s="3">
        <v>45337</v>
      </c>
      <c r="BW619" s="1">
        <v>2.9980000000000002</v>
      </c>
      <c r="BY619" s="3">
        <v>45300</v>
      </c>
      <c r="BZ619" s="1">
        <v>10.75</v>
      </c>
      <c r="CA619" s="3">
        <v>45294</v>
      </c>
      <c r="CB619" s="1">
        <v>9.9499999999999993</v>
      </c>
      <c r="CC619" s="3">
        <v>45337</v>
      </c>
      <c r="CD619" s="1">
        <v>8.2070000000000007</v>
      </c>
      <c r="CE619" s="3">
        <v>45337</v>
      </c>
      <c r="CF619" s="1">
        <v>7.3230000000000004</v>
      </c>
      <c r="CG619" s="3">
        <v>45337</v>
      </c>
      <c r="CH619" s="1">
        <v>6.63</v>
      </c>
      <c r="CI619" s="3">
        <v>45337</v>
      </c>
      <c r="CJ619" s="1">
        <v>5.34</v>
      </c>
      <c r="CK619" s="3">
        <v>45337</v>
      </c>
      <c r="CL619" s="1">
        <v>4.9800000000000004</v>
      </c>
      <c r="CM619" s="3">
        <v>45337</v>
      </c>
      <c r="CN619" s="1">
        <v>4.8849999999999998</v>
      </c>
      <c r="CO619" s="3">
        <v>45329</v>
      </c>
      <c r="CP619" s="1">
        <v>5.19</v>
      </c>
      <c r="CQ619" s="3">
        <v>45329</v>
      </c>
      <c r="CR619" s="1">
        <v>5.375</v>
      </c>
      <c r="CS619" s="3">
        <v>45329</v>
      </c>
      <c r="CT619" s="1">
        <v>5.55</v>
      </c>
    </row>
    <row r="620" spans="31:98" x14ac:dyDescent="0.2">
      <c r="AE620" s="3">
        <v>45328</v>
      </c>
      <c r="AF620" s="1">
        <v>5.75</v>
      </c>
      <c r="AG620" s="3">
        <v>45301</v>
      </c>
      <c r="AH620" s="1">
        <v>5.88</v>
      </c>
      <c r="AI620" s="3">
        <v>45336</v>
      </c>
      <c r="AJ620" s="2">
        <v>5.8440000000000003</v>
      </c>
      <c r="AK620" s="3">
        <v>45336</v>
      </c>
      <c r="AL620" s="2">
        <v>5.8075000000000001</v>
      </c>
      <c r="AM620" s="3">
        <v>45336</v>
      </c>
      <c r="AN620" s="2">
        <v>5.74</v>
      </c>
      <c r="AO620" s="3">
        <v>45336</v>
      </c>
      <c r="AP620" s="2">
        <v>5.57</v>
      </c>
      <c r="AQ620" s="3">
        <v>45336</v>
      </c>
      <c r="AR620" s="2">
        <v>5.25</v>
      </c>
      <c r="AS620" s="3">
        <v>45336</v>
      </c>
      <c r="AT620" s="2">
        <v>4.9000000000000004</v>
      </c>
      <c r="AU620" s="3">
        <v>45336</v>
      </c>
      <c r="AV620" s="2">
        <v>4.6399999999999997</v>
      </c>
      <c r="AW620" s="3">
        <v>45336</v>
      </c>
      <c r="AX620" s="2">
        <v>4.4649999999999999</v>
      </c>
      <c r="AY620" s="3">
        <v>45336</v>
      </c>
      <c r="AZ620" s="2">
        <v>4.3499999999999996</v>
      </c>
      <c r="BB620" s="3">
        <v>45281</v>
      </c>
      <c r="BC620" s="1">
        <v>7</v>
      </c>
      <c r="BD620" s="3">
        <v>45302</v>
      </c>
      <c r="BE620" s="1">
        <v>6.64</v>
      </c>
      <c r="BF620" s="3">
        <v>45336</v>
      </c>
      <c r="BG620" s="1">
        <v>5.9050000000000002</v>
      </c>
      <c r="BH620" s="3">
        <v>45336</v>
      </c>
      <c r="BI620" s="1">
        <v>5.4180000000000001</v>
      </c>
      <c r="BJ620" s="3">
        <v>45336</v>
      </c>
      <c r="BK620" s="1">
        <v>4.8979999999999997</v>
      </c>
      <c r="BL620" s="3">
        <v>45336</v>
      </c>
      <c r="BM620" s="1">
        <v>3.9350000000000001</v>
      </c>
      <c r="BN620" s="3">
        <v>45336</v>
      </c>
      <c r="BO620" s="1">
        <v>3.35</v>
      </c>
      <c r="BP620" s="3">
        <v>45336</v>
      </c>
      <c r="BQ620" s="1">
        <v>3.0779999999999998</v>
      </c>
      <c r="BR620" s="3">
        <v>45336</v>
      </c>
      <c r="BS620" s="1">
        <v>3.0249999999999999</v>
      </c>
      <c r="BT620" s="3">
        <v>45336</v>
      </c>
      <c r="BU620" s="1">
        <v>3.04</v>
      </c>
      <c r="BV620" s="3">
        <v>45336</v>
      </c>
      <c r="BW620" s="1">
        <v>3.073</v>
      </c>
      <c r="BY620" s="3">
        <v>45299</v>
      </c>
      <c r="BZ620" s="1">
        <v>10.75</v>
      </c>
      <c r="CA620" s="3">
        <v>45293</v>
      </c>
      <c r="CB620" s="1">
        <v>9.9600000000000009</v>
      </c>
      <c r="CC620" s="3">
        <v>45336</v>
      </c>
      <c r="CD620" s="1">
        <v>8.2349999999999994</v>
      </c>
      <c r="CE620" s="3">
        <v>45336</v>
      </c>
      <c r="CF620" s="1">
        <v>7.391</v>
      </c>
      <c r="CG620" s="3">
        <v>45336</v>
      </c>
      <c r="CH620" s="1">
        <v>6.73</v>
      </c>
      <c r="CI620" s="3">
        <v>45336</v>
      </c>
      <c r="CJ620" s="1">
        <v>5.47</v>
      </c>
      <c r="CK620" s="3">
        <v>45336</v>
      </c>
      <c r="CL620" s="1">
        <v>5.14</v>
      </c>
      <c r="CM620" s="3">
        <v>45336</v>
      </c>
      <c r="CN620" s="1">
        <v>5.0250000000000004</v>
      </c>
      <c r="CO620" s="3">
        <v>45328</v>
      </c>
      <c r="CP620" s="1">
        <v>5.1050000000000004</v>
      </c>
      <c r="CQ620" s="3">
        <v>45328</v>
      </c>
      <c r="CR620" s="1">
        <v>5.28</v>
      </c>
      <c r="CS620" s="3">
        <v>45328</v>
      </c>
      <c r="CT620" s="1">
        <v>5.4450000000000003</v>
      </c>
    </row>
    <row r="621" spans="31:98" x14ac:dyDescent="0.2">
      <c r="AE621" s="3">
        <v>45327</v>
      </c>
      <c r="AF621" s="1">
        <v>5.75</v>
      </c>
      <c r="AG621" s="3">
        <v>45300</v>
      </c>
      <c r="AH621" s="1">
        <v>5.86</v>
      </c>
      <c r="AI621" s="3">
        <v>45335</v>
      </c>
      <c r="AJ621" s="2">
        <v>5.8448000000000002</v>
      </c>
      <c r="AK621" s="3">
        <v>45335</v>
      </c>
      <c r="AL621" s="2">
        <v>5.8049999999999997</v>
      </c>
      <c r="AM621" s="3">
        <v>45335</v>
      </c>
      <c r="AN621" s="2">
        <v>5.76</v>
      </c>
      <c r="AO621" s="3">
        <v>45335</v>
      </c>
      <c r="AP621" s="2">
        <v>5.5875000000000004</v>
      </c>
      <c r="AQ621" s="3">
        <v>45335</v>
      </c>
      <c r="AR621" s="2">
        <v>5.2737999999999996</v>
      </c>
      <c r="AS621" s="3">
        <v>45335</v>
      </c>
      <c r="AT621" s="2">
        <v>4.9524999999999997</v>
      </c>
      <c r="AU621" s="3">
        <v>45335</v>
      </c>
      <c r="AV621" s="2">
        <v>4.6974999999999998</v>
      </c>
      <c r="AW621" s="3">
        <v>45335</v>
      </c>
      <c r="AX621" s="2">
        <v>4.5350000000000001</v>
      </c>
      <c r="AY621" s="3">
        <v>45335</v>
      </c>
      <c r="AZ621" s="2">
        <v>4.4249999999999998</v>
      </c>
      <c r="BB621" s="3">
        <v>45280</v>
      </c>
      <c r="BC621" s="1">
        <v>7</v>
      </c>
      <c r="BD621" s="3">
        <v>45301</v>
      </c>
      <c r="BE621" s="1">
        <v>6.69</v>
      </c>
      <c r="BF621" s="3">
        <v>45335</v>
      </c>
      <c r="BG621" s="1">
        <v>5.9450000000000003</v>
      </c>
      <c r="BH621" s="3">
        <v>45335</v>
      </c>
      <c r="BI621" s="1">
        <v>5.415</v>
      </c>
      <c r="BJ621" s="3">
        <v>45335</v>
      </c>
      <c r="BK621" s="1">
        <v>4.8550000000000004</v>
      </c>
      <c r="BL621" s="3">
        <v>45335</v>
      </c>
      <c r="BM621" s="1">
        <v>3.9</v>
      </c>
      <c r="BN621" s="3">
        <v>45335</v>
      </c>
      <c r="BO621" s="1">
        <v>3.2850000000000001</v>
      </c>
      <c r="BP621" s="3">
        <v>45335</v>
      </c>
      <c r="BQ621" s="1">
        <v>3.03</v>
      </c>
      <c r="BR621" s="3">
        <v>45335</v>
      </c>
      <c r="BS621" s="1">
        <v>2.9780000000000002</v>
      </c>
      <c r="BT621" s="3">
        <v>45335</v>
      </c>
      <c r="BU621" s="1">
        <v>2.988</v>
      </c>
      <c r="BV621" s="3">
        <v>45335</v>
      </c>
      <c r="BW621" s="1">
        <v>2.9980000000000002</v>
      </c>
      <c r="BY621" s="3">
        <v>45296</v>
      </c>
      <c r="BZ621" s="1">
        <v>10.75</v>
      </c>
      <c r="CA621" s="3">
        <v>45289</v>
      </c>
      <c r="CB621" s="1">
        <v>9.9600000000000009</v>
      </c>
      <c r="CC621" s="3">
        <v>45335</v>
      </c>
      <c r="CD621" s="1">
        <v>8.2420000000000009</v>
      </c>
      <c r="CE621" s="3">
        <v>45335</v>
      </c>
      <c r="CF621" s="1">
        <v>7.3920000000000003</v>
      </c>
      <c r="CG621" s="3">
        <v>45335</v>
      </c>
      <c r="CH621" s="1">
        <v>6.7</v>
      </c>
      <c r="CI621" s="3">
        <v>45335</v>
      </c>
      <c r="CJ621" s="1">
        <v>5.43</v>
      </c>
      <c r="CK621" s="3">
        <v>45335</v>
      </c>
      <c r="CL621" s="1">
        <v>5.12</v>
      </c>
      <c r="CM621" s="3">
        <v>45335</v>
      </c>
      <c r="CN621" s="1">
        <v>4.9950000000000001</v>
      </c>
      <c r="CO621" s="3">
        <v>45327</v>
      </c>
      <c r="CP621" s="1">
        <v>5.03</v>
      </c>
      <c r="CQ621" s="3">
        <v>45327</v>
      </c>
      <c r="CR621" s="1">
        <v>5.2</v>
      </c>
      <c r="CS621" s="3">
        <v>45327</v>
      </c>
      <c r="CT621" s="1">
        <v>5.36</v>
      </c>
    </row>
    <row r="622" spans="31:98" x14ac:dyDescent="0.2">
      <c r="AE622" s="3">
        <v>45324</v>
      </c>
      <c r="AF622" s="1">
        <v>5.75</v>
      </c>
      <c r="AG622" s="3">
        <v>45299</v>
      </c>
      <c r="AH622" s="1">
        <v>5.87</v>
      </c>
      <c r="AI622" s="3">
        <v>45334</v>
      </c>
      <c r="AJ622" s="2">
        <v>5.8632999999999997</v>
      </c>
      <c r="AK622" s="3">
        <v>45334</v>
      </c>
      <c r="AL622" s="2">
        <v>5.8250000000000002</v>
      </c>
      <c r="AM622" s="3">
        <v>45334</v>
      </c>
      <c r="AN622" s="2">
        <v>5.7750000000000004</v>
      </c>
      <c r="AO622" s="3">
        <v>45334</v>
      </c>
      <c r="AP622" s="2">
        <v>5.61</v>
      </c>
      <c r="AQ622" s="3">
        <v>45334</v>
      </c>
      <c r="AR622" s="2">
        <v>5.31</v>
      </c>
      <c r="AS622" s="3">
        <v>45334</v>
      </c>
      <c r="AT622" s="2">
        <v>4.96</v>
      </c>
      <c r="AU622" s="3">
        <v>45334</v>
      </c>
      <c r="AV622" s="2">
        <v>4.7</v>
      </c>
      <c r="AW622" s="3">
        <v>45334</v>
      </c>
      <c r="AX622" s="2">
        <v>4.51</v>
      </c>
      <c r="AY622" s="3">
        <v>45334</v>
      </c>
      <c r="AZ622" s="2">
        <v>4.3949999999999996</v>
      </c>
      <c r="BB622" s="3">
        <v>45279</v>
      </c>
      <c r="BC622" s="1">
        <v>7</v>
      </c>
      <c r="BD622" s="3">
        <v>45300</v>
      </c>
      <c r="BE622" s="1">
        <v>6.7</v>
      </c>
      <c r="BF622" s="3">
        <v>45334</v>
      </c>
      <c r="BG622" s="1">
        <v>5.94</v>
      </c>
      <c r="BH622" s="3">
        <v>45334</v>
      </c>
      <c r="BI622" s="1">
        <v>5.41</v>
      </c>
      <c r="BJ622" s="3">
        <v>45334</v>
      </c>
      <c r="BK622" s="1">
        <v>4.8650000000000002</v>
      </c>
      <c r="BL622" s="3">
        <v>45334</v>
      </c>
      <c r="BM622" s="1">
        <v>3.8650000000000002</v>
      </c>
      <c r="BN622" s="3">
        <v>45334</v>
      </c>
      <c r="BO622" s="1">
        <v>3.25</v>
      </c>
      <c r="BP622" s="3">
        <v>45334</v>
      </c>
      <c r="BQ622" s="1">
        <v>3</v>
      </c>
      <c r="BR622" s="3">
        <v>45334</v>
      </c>
      <c r="BS622" s="1">
        <v>2.95</v>
      </c>
      <c r="BT622" s="3">
        <v>45334</v>
      </c>
      <c r="BU622" s="1">
        <v>2.9449999999999998</v>
      </c>
      <c r="BV622" s="3">
        <v>45334</v>
      </c>
      <c r="BW622" s="1">
        <v>2.948</v>
      </c>
      <c r="BY622" s="3">
        <v>45295</v>
      </c>
      <c r="BZ622" s="1">
        <v>10.75</v>
      </c>
      <c r="CA622" s="3">
        <v>45288</v>
      </c>
      <c r="CB622" s="1">
        <v>9.9700000000000006</v>
      </c>
      <c r="CC622" s="3">
        <v>45334</v>
      </c>
      <c r="CD622" s="1">
        <v>8.31</v>
      </c>
      <c r="CE622" s="3">
        <v>45334</v>
      </c>
      <c r="CF622" s="1">
        <v>7.4640000000000004</v>
      </c>
      <c r="CG622" s="3">
        <v>45334</v>
      </c>
      <c r="CH622" s="1">
        <v>6.69</v>
      </c>
      <c r="CI622" s="3">
        <v>45334</v>
      </c>
      <c r="CJ622" s="1">
        <v>5.34</v>
      </c>
      <c r="CK622" s="3">
        <v>45334</v>
      </c>
      <c r="CL622" s="1">
        <v>5.01</v>
      </c>
      <c r="CM622" s="3">
        <v>45334</v>
      </c>
      <c r="CN622" s="1">
        <v>4.76</v>
      </c>
      <c r="CO622" s="3">
        <v>45324</v>
      </c>
      <c r="CP622" s="1">
        <v>4.8600000000000003</v>
      </c>
      <c r="CQ622" s="3">
        <v>45324</v>
      </c>
      <c r="CR622" s="1">
        <v>5.0149999999999997</v>
      </c>
      <c r="CS622" s="3">
        <v>45324</v>
      </c>
      <c r="CT622" s="1">
        <v>5.19</v>
      </c>
    </row>
    <row r="623" spans="31:98" x14ac:dyDescent="0.2">
      <c r="AE623" s="3">
        <v>45323</v>
      </c>
      <c r="AF623" s="1">
        <v>5.75</v>
      </c>
      <c r="AG623" s="3">
        <v>45296</v>
      </c>
      <c r="AH623" s="1">
        <v>5.87</v>
      </c>
      <c r="AI623" s="3">
        <v>45331</v>
      </c>
      <c r="AJ623" s="2">
        <v>5.8769999999999998</v>
      </c>
      <c r="AK623" s="3">
        <v>45331</v>
      </c>
      <c r="AL623" s="2">
        <v>5.8550000000000004</v>
      </c>
      <c r="AM623" s="3">
        <v>45331</v>
      </c>
      <c r="AN623" s="2">
        <v>5.8250000000000002</v>
      </c>
      <c r="AO623" s="3">
        <v>45331</v>
      </c>
      <c r="AP623" s="2">
        <v>5.6574999999999998</v>
      </c>
      <c r="AQ623" s="3">
        <v>45331</v>
      </c>
      <c r="AR623" s="2">
        <v>5.3550000000000004</v>
      </c>
      <c r="AS623" s="3">
        <v>45331</v>
      </c>
      <c r="AT623" s="2">
        <v>4.9550000000000001</v>
      </c>
      <c r="AU623" s="3">
        <v>45331</v>
      </c>
      <c r="AV623" s="2">
        <v>4.6550000000000002</v>
      </c>
      <c r="AW623" s="3">
        <v>45331</v>
      </c>
      <c r="AX623" s="2">
        <v>4.4550000000000001</v>
      </c>
      <c r="AY623" s="3">
        <v>45331</v>
      </c>
      <c r="AZ623" s="2">
        <v>4.3250000000000002</v>
      </c>
      <c r="BB623" s="3">
        <v>45278</v>
      </c>
      <c r="BC623" s="1">
        <v>7</v>
      </c>
      <c r="BD623" s="3">
        <v>45299</v>
      </c>
      <c r="BE623" s="1">
        <v>6.71</v>
      </c>
      <c r="BF623" s="3">
        <v>45331</v>
      </c>
      <c r="BG623" s="1">
        <v>5.9850000000000003</v>
      </c>
      <c r="BH623" s="3">
        <v>45331</v>
      </c>
      <c r="BI623" s="1">
        <v>5.4429999999999996</v>
      </c>
      <c r="BJ623" s="3">
        <v>45331</v>
      </c>
      <c r="BK623" s="1">
        <v>4.8949999999999996</v>
      </c>
      <c r="BL623" s="3">
        <v>45331</v>
      </c>
      <c r="BM623" s="1">
        <v>3.9249999999999998</v>
      </c>
      <c r="BN623" s="3">
        <v>45331</v>
      </c>
      <c r="BO623" s="1">
        <v>3.3</v>
      </c>
      <c r="BP623" s="3">
        <v>45331</v>
      </c>
      <c r="BQ623" s="1">
        <v>3.0550000000000002</v>
      </c>
      <c r="BR623" s="3">
        <v>45331</v>
      </c>
      <c r="BS623" s="1">
        <v>3.0129999999999999</v>
      </c>
      <c r="BT623" s="3">
        <v>45331</v>
      </c>
      <c r="BU623" s="1">
        <v>2.9950000000000001</v>
      </c>
      <c r="BV623" s="3">
        <v>45331</v>
      </c>
      <c r="BW623" s="1">
        <v>2.9950000000000001</v>
      </c>
      <c r="BY623" s="3">
        <v>45294</v>
      </c>
      <c r="BZ623" s="1">
        <v>10.75</v>
      </c>
      <c r="CA623" s="3">
        <v>45287</v>
      </c>
      <c r="CB623" s="1">
        <v>9.99</v>
      </c>
      <c r="CC623" s="3">
        <v>45331</v>
      </c>
      <c r="CD623" s="1">
        <v>8.3230000000000004</v>
      </c>
      <c r="CE623" s="3">
        <v>45331</v>
      </c>
      <c r="CF623" s="1">
        <v>7.484</v>
      </c>
      <c r="CG623" s="3">
        <v>45331</v>
      </c>
      <c r="CH623" s="1">
        <v>6.66</v>
      </c>
      <c r="CI623" s="3">
        <v>45331</v>
      </c>
      <c r="CJ623" s="1">
        <v>5.27</v>
      </c>
      <c r="CK623" s="3">
        <v>45331</v>
      </c>
      <c r="CL623" s="1">
        <v>4.9400000000000004</v>
      </c>
      <c r="CM623" s="3">
        <v>45331</v>
      </c>
      <c r="CN623" s="1">
        <v>4.7649999999999997</v>
      </c>
      <c r="CO623" s="3">
        <v>45323</v>
      </c>
      <c r="CP623" s="1">
        <v>4.7249999999999996</v>
      </c>
      <c r="CQ623" s="3">
        <v>45323</v>
      </c>
      <c r="CR623" s="1">
        <v>4.875</v>
      </c>
      <c r="CS623" s="3">
        <v>45323</v>
      </c>
      <c r="CT623" s="1">
        <v>5.05</v>
      </c>
    </row>
    <row r="624" spans="31:98" x14ac:dyDescent="0.2">
      <c r="AE624" s="3">
        <v>45322</v>
      </c>
      <c r="AF624" s="1">
        <v>5.75</v>
      </c>
      <c r="AG624" s="3">
        <v>45295</v>
      </c>
      <c r="AH624" s="1">
        <v>5.86</v>
      </c>
      <c r="AI624" s="3">
        <v>45330</v>
      </c>
      <c r="AJ624" s="2">
        <v>5.8704999999999998</v>
      </c>
      <c r="AK624" s="3">
        <v>45330</v>
      </c>
      <c r="AL624" s="2">
        <v>5.8250000000000002</v>
      </c>
      <c r="AM624" s="3">
        <v>45330</v>
      </c>
      <c r="AN624" s="2">
        <v>5.8025000000000002</v>
      </c>
      <c r="AO624" s="3">
        <v>45330</v>
      </c>
      <c r="AP624" s="2">
        <v>5.62</v>
      </c>
      <c r="AQ624" s="3">
        <v>45330</v>
      </c>
      <c r="AR624" s="2">
        <v>5.3487999999999998</v>
      </c>
      <c r="AS624" s="3">
        <v>45330</v>
      </c>
      <c r="AT624" s="2">
        <v>4.9524999999999997</v>
      </c>
      <c r="AU624" s="3">
        <v>45330</v>
      </c>
      <c r="AV624" s="2">
        <v>4.6524999999999999</v>
      </c>
      <c r="AW624" s="3">
        <v>45330</v>
      </c>
      <c r="AX624" s="2">
        <v>4.4325000000000001</v>
      </c>
      <c r="AY624" s="3">
        <v>45330</v>
      </c>
      <c r="AZ624" s="2">
        <v>4.2824999999999998</v>
      </c>
      <c r="BB624" s="3">
        <v>45275</v>
      </c>
      <c r="BC624" s="1">
        <v>7</v>
      </c>
      <c r="BD624" s="3">
        <v>45296</v>
      </c>
      <c r="BE624" s="1">
        <v>6.71</v>
      </c>
      <c r="BF624" s="3">
        <v>45330</v>
      </c>
      <c r="BG624" s="1">
        <v>6</v>
      </c>
      <c r="BH624" s="3">
        <v>45330</v>
      </c>
      <c r="BI624" s="1">
        <v>5.4729999999999999</v>
      </c>
      <c r="BJ624" s="3">
        <v>45330</v>
      </c>
      <c r="BK624" s="1">
        <v>4.9050000000000002</v>
      </c>
      <c r="BL624" s="3">
        <v>45330</v>
      </c>
      <c r="BM624" s="1">
        <v>3.86</v>
      </c>
      <c r="BN624" s="3">
        <v>45330</v>
      </c>
      <c r="BO624" s="1">
        <v>3.22</v>
      </c>
      <c r="BP624" s="3">
        <v>45330</v>
      </c>
      <c r="BQ624" s="1">
        <v>3</v>
      </c>
      <c r="BR624" s="3">
        <v>45330</v>
      </c>
      <c r="BS624" s="1">
        <v>2.99</v>
      </c>
      <c r="BT624" s="3">
        <v>45330</v>
      </c>
      <c r="BU624" s="1">
        <v>2.99</v>
      </c>
      <c r="BV624" s="3">
        <v>45330</v>
      </c>
      <c r="BW624" s="1">
        <v>2.9950000000000001</v>
      </c>
      <c r="BY624" s="3">
        <v>45293</v>
      </c>
      <c r="BZ624" s="1">
        <v>10.75</v>
      </c>
      <c r="CA624" s="3">
        <v>45282</v>
      </c>
      <c r="CB624" s="1">
        <v>9.98</v>
      </c>
      <c r="CC624" s="3">
        <v>45330</v>
      </c>
      <c r="CD624" s="1">
        <v>8.3970000000000002</v>
      </c>
      <c r="CE624" s="3">
        <v>45330</v>
      </c>
      <c r="CF624" s="1">
        <v>7.5739999999999998</v>
      </c>
      <c r="CG624" s="3">
        <v>45330</v>
      </c>
      <c r="CH624" s="1">
        <v>6.76</v>
      </c>
      <c r="CI624" s="3">
        <v>45330</v>
      </c>
      <c r="CJ624" s="1">
        <v>5.35</v>
      </c>
      <c r="CK624" s="3">
        <v>45330</v>
      </c>
      <c r="CL624" s="1">
        <v>5.01</v>
      </c>
      <c r="CM624" s="3">
        <v>45330</v>
      </c>
      <c r="CN624" s="1">
        <v>4.8499999999999996</v>
      </c>
      <c r="CO624" s="3">
        <v>45322</v>
      </c>
      <c r="CP624" s="1">
        <v>4.93</v>
      </c>
      <c r="CQ624" s="3">
        <v>45322</v>
      </c>
      <c r="CR624" s="1">
        <v>5.085</v>
      </c>
      <c r="CS624" s="3">
        <v>45322</v>
      </c>
      <c r="CT624" s="1">
        <v>5.2450000000000001</v>
      </c>
    </row>
    <row r="625" spans="31:98" x14ac:dyDescent="0.2">
      <c r="AE625" s="3">
        <v>45321</v>
      </c>
      <c r="AF625" s="1">
        <v>5.75</v>
      </c>
      <c r="AG625" s="3">
        <v>45294</v>
      </c>
      <c r="AH625" s="1">
        <v>5.89</v>
      </c>
      <c r="AI625" s="3">
        <v>45329</v>
      </c>
      <c r="AJ625" s="2">
        <v>5.8375000000000004</v>
      </c>
      <c r="AK625" s="3">
        <v>45329</v>
      </c>
      <c r="AL625" s="2">
        <v>5.79</v>
      </c>
      <c r="AM625" s="3">
        <v>45329</v>
      </c>
      <c r="AN625" s="2">
        <v>5.7450000000000001</v>
      </c>
      <c r="AO625" s="3">
        <v>45329</v>
      </c>
      <c r="AP625" s="2">
        <v>5.4649999999999999</v>
      </c>
      <c r="AQ625" s="3">
        <v>45329</v>
      </c>
      <c r="AR625" s="2">
        <v>5.1375000000000002</v>
      </c>
      <c r="AS625" s="3">
        <v>45329</v>
      </c>
      <c r="AT625" s="2">
        <v>4.8125</v>
      </c>
      <c r="AU625" s="3">
        <v>45329</v>
      </c>
      <c r="AV625" s="2">
        <v>4.5674999999999999</v>
      </c>
      <c r="AW625" s="3">
        <v>45329</v>
      </c>
      <c r="AX625" s="2">
        <v>4.3975</v>
      </c>
      <c r="AY625" s="3">
        <v>45329</v>
      </c>
      <c r="AZ625" s="2">
        <v>4.2975000000000003</v>
      </c>
      <c r="BB625" s="3">
        <v>45274</v>
      </c>
      <c r="BC625" s="1">
        <v>7</v>
      </c>
      <c r="BD625" s="3">
        <v>45295</v>
      </c>
      <c r="BE625" s="1">
        <v>6.72</v>
      </c>
      <c r="BF625" s="3">
        <v>45329</v>
      </c>
      <c r="BG625" s="1">
        <v>6.22</v>
      </c>
      <c r="BH625" s="3">
        <v>45329</v>
      </c>
      <c r="BI625" s="1">
        <v>5.74</v>
      </c>
      <c r="BJ625" s="3">
        <v>45329</v>
      </c>
      <c r="BK625" s="1">
        <v>5.25</v>
      </c>
      <c r="BL625" s="3">
        <v>45329</v>
      </c>
      <c r="BM625" s="1">
        <v>4.18</v>
      </c>
      <c r="BN625" s="3">
        <v>45329</v>
      </c>
      <c r="BO625" s="1">
        <v>3.5830000000000002</v>
      </c>
      <c r="BP625" s="3">
        <v>45329</v>
      </c>
      <c r="BQ625" s="1">
        <v>3.2450000000000001</v>
      </c>
      <c r="BR625" s="3">
        <v>45329</v>
      </c>
      <c r="BS625" s="1">
        <v>3.1549999999999998</v>
      </c>
      <c r="BT625" s="3">
        <v>45329</v>
      </c>
      <c r="BU625" s="1">
        <v>3.145</v>
      </c>
      <c r="BV625" s="3">
        <v>45329</v>
      </c>
      <c r="BW625" s="1">
        <v>3.1349999999999998</v>
      </c>
      <c r="BY625" s="3">
        <v>45292</v>
      </c>
      <c r="BZ625" s="1">
        <v>10.75</v>
      </c>
      <c r="CA625" s="3">
        <v>45281</v>
      </c>
      <c r="CB625" s="1">
        <v>9.98</v>
      </c>
      <c r="CC625" s="3">
        <v>45329</v>
      </c>
      <c r="CD625" s="1">
        <v>8.4600000000000009</v>
      </c>
      <c r="CE625" s="3">
        <v>45329</v>
      </c>
      <c r="CF625" s="1">
        <v>7.7</v>
      </c>
      <c r="CG625" s="3">
        <v>45329</v>
      </c>
      <c r="CH625" s="1">
        <v>6.9</v>
      </c>
      <c r="CI625" s="3">
        <v>45329</v>
      </c>
      <c r="CJ625" s="1">
        <v>5.47</v>
      </c>
      <c r="CK625" s="3">
        <v>45329</v>
      </c>
      <c r="CL625" s="1">
        <v>5.14</v>
      </c>
      <c r="CM625" s="3">
        <v>45329</v>
      </c>
      <c r="CN625" s="1">
        <v>5</v>
      </c>
      <c r="CO625" s="3">
        <v>45321</v>
      </c>
      <c r="CP625" s="1">
        <v>4.9950000000000001</v>
      </c>
      <c r="CQ625" s="3">
        <v>45321</v>
      </c>
      <c r="CR625" s="1">
        <v>5.1550000000000002</v>
      </c>
      <c r="CS625" s="3">
        <v>45321</v>
      </c>
      <c r="CT625" s="1">
        <v>5.32</v>
      </c>
    </row>
    <row r="626" spans="31:98" x14ac:dyDescent="0.2">
      <c r="AE626" s="3">
        <v>45320</v>
      </c>
      <c r="AF626" s="1">
        <v>5.75</v>
      </c>
      <c r="AG626" s="3">
        <v>45293</v>
      </c>
      <c r="AH626" s="1">
        <v>5.89</v>
      </c>
      <c r="AI626" s="3">
        <v>45328</v>
      </c>
      <c r="AJ626" s="2">
        <v>5.8449999999999998</v>
      </c>
      <c r="AK626" s="3">
        <v>45328</v>
      </c>
      <c r="AL626" s="2">
        <v>5.8049999999999997</v>
      </c>
      <c r="AM626" s="3">
        <v>45328</v>
      </c>
      <c r="AN626" s="2">
        <v>5.74</v>
      </c>
      <c r="AO626" s="3">
        <v>45328</v>
      </c>
      <c r="AP626" s="2">
        <v>5.45</v>
      </c>
      <c r="AQ626" s="3">
        <v>45328</v>
      </c>
      <c r="AR626" s="2">
        <v>5.16</v>
      </c>
      <c r="AS626" s="3">
        <v>45328</v>
      </c>
      <c r="AT626" s="2">
        <v>4.83</v>
      </c>
      <c r="AU626" s="3">
        <v>45328</v>
      </c>
      <c r="AV626" s="2">
        <v>4.585</v>
      </c>
      <c r="AW626" s="3">
        <v>45328</v>
      </c>
      <c r="AX626" s="2">
        <v>4.42</v>
      </c>
      <c r="AY626" s="3">
        <v>45328</v>
      </c>
      <c r="AZ626" s="2">
        <v>4.32</v>
      </c>
      <c r="BB626" s="3">
        <v>45273</v>
      </c>
      <c r="BC626" s="1">
        <v>7</v>
      </c>
      <c r="BD626" s="3">
        <v>45294</v>
      </c>
      <c r="BE626" s="1">
        <v>6.75</v>
      </c>
      <c r="BF626" s="3">
        <v>45328</v>
      </c>
      <c r="BG626" s="1">
        <v>6.1849999999999996</v>
      </c>
      <c r="BH626" s="3">
        <v>45328</v>
      </c>
      <c r="BI626" s="1">
        <v>5.71</v>
      </c>
      <c r="BJ626" s="3">
        <v>45328</v>
      </c>
      <c r="BK626" s="1">
        <v>5.22</v>
      </c>
      <c r="BL626" s="3">
        <v>45328</v>
      </c>
      <c r="BM626" s="1">
        <v>4.1399999999999997</v>
      </c>
      <c r="BN626" s="3">
        <v>45328</v>
      </c>
      <c r="BO626" s="1">
        <v>3.5649999999999999</v>
      </c>
      <c r="BP626" s="3">
        <v>45328</v>
      </c>
      <c r="BQ626" s="1">
        <v>3.2050000000000001</v>
      </c>
      <c r="BR626" s="3">
        <v>45328</v>
      </c>
      <c r="BS626" s="1">
        <v>3.1080000000000001</v>
      </c>
      <c r="BT626" s="3">
        <v>45328</v>
      </c>
      <c r="BU626" s="1">
        <v>3.085</v>
      </c>
      <c r="BV626" s="3">
        <v>45328</v>
      </c>
      <c r="BW626" s="1">
        <v>3.08</v>
      </c>
      <c r="BY626" s="3">
        <v>45289</v>
      </c>
      <c r="BZ626" s="1">
        <v>10.75</v>
      </c>
      <c r="CA626" s="3">
        <v>45280</v>
      </c>
      <c r="CB626" s="1">
        <v>10</v>
      </c>
      <c r="CC626" s="3">
        <v>45328</v>
      </c>
      <c r="CD626" s="1">
        <v>8.4580000000000002</v>
      </c>
      <c r="CE626" s="3">
        <v>45328</v>
      </c>
      <c r="CF626" s="1">
        <v>7.6909999999999998</v>
      </c>
      <c r="CG626" s="3">
        <v>45328</v>
      </c>
      <c r="CH626" s="1">
        <v>6.9</v>
      </c>
      <c r="CI626" s="3">
        <v>45328</v>
      </c>
      <c r="CJ626" s="1">
        <v>5.46</v>
      </c>
      <c r="CK626" s="3">
        <v>45328</v>
      </c>
      <c r="CL626" s="1">
        <v>5.0999999999999996</v>
      </c>
      <c r="CM626" s="3">
        <v>45328</v>
      </c>
      <c r="CN626" s="1">
        <v>4.9249999999999998</v>
      </c>
      <c r="CO626" s="3">
        <v>45320</v>
      </c>
      <c r="CP626" s="1">
        <v>4.9550000000000001</v>
      </c>
      <c r="CQ626" s="3">
        <v>45320</v>
      </c>
      <c r="CR626" s="1">
        <v>5.125</v>
      </c>
      <c r="CS626" s="3">
        <v>45320</v>
      </c>
      <c r="CT626" s="1">
        <v>5.2949999999999999</v>
      </c>
    </row>
    <row r="627" spans="31:98" x14ac:dyDescent="0.2">
      <c r="AE627" s="3">
        <v>45317</v>
      </c>
      <c r="AF627" s="1">
        <v>5.75</v>
      </c>
      <c r="AG627" s="3">
        <v>45289</v>
      </c>
      <c r="AH627" s="1">
        <v>5.88</v>
      </c>
      <c r="AI627" s="3">
        <v>45327</v>
      </c>
      <c r="AJ627" s="2">
        <v>5.843</v>
      </c>
      <c r="AK627" s="3">
        <v>45327</v>
      </c>
      <c r="AL627" s="2">
        <v>5.8129999999999997</v>
      </c>
      <c r="AM627" s="3">
        <v>45327</v>
      </c>
      <c r="AN627" s="2">
        <v>5.73</v>
      </c>
      <c r="AO627" s="3">
        <v>45327</v>
      </c>
      <c r="AP627" s="2">
        <v>5.43</v>
      </c>
      <c r="AQ627" s="3">
        <v>45327</v>
      </c>
      <c r="AR627" s="2">
        <v>5.1449999999999996</v>
      </c>
      <c r="AS627" s="3">
        <v>45327</v>
      </c>
      <c r="AT627" s="2">
        <v>4.82</v>
      </c>
      <c r="AU627" s="3">
        <v>45327</v>
      </c>
      <c r="AV627" s="2">
        <v>4.585</v>
      </c>
      <c r="AW627" s="3">
        <v>45327</v>
      </c>
      <c r="AX627" s="2">
        <v>4.4275000000000002</v>
      </c>
      <c r="AY627" s="3">
        <v>45327</v>
      </c>
      <c r="AZ627" s="2">
        <v>4.32</v>
      </c>
      <c r="BB627" s="3">
        <v>45272</v>
      </c>
      <c r="BC627" s="1">
        <v>7</v>
      </c>
      <c r="BD627" s="3">
        <v>45293</v>
      </c>
      <c r="BE627" s="1">
        <v>6.76</v>
      </c>
      <c r="BF627" s="3">
        <v>45327</v>
      </c>
      <c r="BG627" s="1">
        <v>6.17</v>
      </c>
      <c r="BH627" s="3">
        <v>45327</v>
      </c>
      <c r="BI627" s="1">
        <v>5.6849999999999996</v>
      </c>
      <c r="BJ627" s="3">
        <v>45327</v>
      </c>
      <c r="BK627" s="1">
        <v>5.23</v>
      </c>
      <c r="BL627" s="3">
        <v>45327</v>
      </c>
      <c r="BM627" s="1">
        <v>4.1500000000000004</v>
      </c>
      <c r="BN627" s="3">
        <v>45327</v>
      </c>
      <c r="BO627" s="1">
        <v>3.58</v>
      </c>
      <c r="BP627" s="3">
        <v>45327</v>
      </c>
      <c r="BQ627" s="1">
        <v>3.24</v>
      </c>
      <c r="BR627" s="3">
        <v>45327</v>
      </c>
      <c r="BS627" s="1">
        <v>3.15</v>
      </c>
      <c r="BT627" s="3">
        <v>45327</v>
      </c>
      <c r="BU627" s="1">
        <v>3.14</v>
      </c>
      <c r="BV627" s="3">
        <v>45327</v>
      </c>
      <c r="BW627" s="1">
        <v>3.13</v>
      </c>
      <c r="BY627" s="3">
        <v>45288</v>
      </c>
      <c r="BZ627" s="1">
        <v>10.75</v>
      </c>
      <c r="CA627" s="3">
        <v>45279</v>
      </c>
      <c r="CB627" s="1">
        <v>10.119999999999999</v>
      </c>
      <c r="CC627" s="3">
        <v>45327</v>
      </c>
      <c r="CD627" s="1">
        <v>8.4749999999999996</v>
      </c>
      <c r="CE627" s="3">
        <v>45327</v>
      </c>
      <c r="CF627" s="1">
        <v>7.71</v>
      </c>
      <c r="CG627" s="3">
        <v>45327</v>
      </c>
      <c r="CH627" s="1">
        <v>6.9349999999999996</v>
      </c>
      <c r="CI627" s="3">
        <v>45327</v>
      </c>
      <c r="CJ627" s="1">
        <v>5.45</v>
      </c>
      <c r="CK627" s="3">
        <v>45327</v>
      </c>
      <c r="CL627" s="1">
        <v>5.165</v>
      </c>
      <c r="CM627" s="3">
        <v>45327</v>
      </c>
      <c r="CN627" s="1">
        <v>4.8550000000000004</v>
      </c>
      <c r="CO627" s="3">
        <v>45317</v>
      </c>
      <c r="CP627" s="1">
        <v>4.97</v>
      </c>
      <c r="CQ627" s="3">
        <v>45317</v>
      </c>
      <c r="CR627" s="1">
        <v>5.14</v>
      </c>
      <c r="CS627" s="3">
        <v>45317</v>
      </c>
      <c r="CT627" s="1">
        <v>5.31</v>
      </c>
    </row>
    <row r="628" spans="31:98" x14ac:dyDescent="0.2">
      <c r="AE628" s="3">
        <v>45316</v>
      </c>
      <c r="AF628" s="1">
        <v>5.75</v>
      </c>
      <c r="AG628" s="3">
        <v>45288</v>
      </c>
      <c r="AH628" s="1">
        <v>5.87</v>
      </c>
      <c r="AI628" s="3">
        <v>45324</v>
      </c>
      <c r="AJ628" s="2">
        <v>5.835</v>
      </c>
      <c r="AK628" s="3">
        <v>45324</v>
      </c>
      <c r="AL628" s="2">
        <v>5.77</v>
      </c>
      <c r="AM628" s="3">
        <v>45324</v>
      </c>
      <c r="AN628" s="2">
        <v>5.6749999999999998</v>
      </c>
      <c r="AO628" s="3">
        <v>45324</v>
      </c>
      <c r="AP628" s="2">
        <v>5.36</v>
      </c>
      <c r="AQ628" s="3">
        <v>45324</v>
      </c>
      <c r="AR628" s="2">
        <v>4.9950000000000001</v>
      </c>
      <c r="AS628" s="3">
        <v>45324</v>
      </c>
      <c r="AT628" s="2">
        <v>4.665</v>
      </c>
      <c r="AU628" s="3">
        <v>45324</v>
      </c>
      <c r="AV628" s="2">
        <v>4.4175000000000004</v>
      </c>
      <c r="AW628" s="3">
        <v>45324</v>
      </c>
      <c r="AX628" s="2">
        <v>4.25</v>
      </c>
      <c r="AY628" s="3">
        <v>45324</v>
      </c>
      <c r="AZ628" s="2">
        <v>4.1524999999999999</v>
      </c>
      <c r="BB628" s="3">
        <v>45271</v>
      </c>
      <c r="BC628" s="1">
        <v>7</v>
      </c>
      <c r="BD628" s="3">
        <v>45289</v>
      </c>
      <c r="BE628" s="1">
        <v>6.77</v>
      </c>
      <c r="BF628" s="3">
        <v>45324</v>
      </c>
      <c r="BG628" s="1">
        <v>6.1550000000000002</v>
      </c>
      <c r="BH628" s="3">
        <v>45324</v>
      </c>
      <c r="BI628" s="1">
        <v>5.6349999999999998</v>
      </c>
      <c r="BJ628" s="3">
        <v>45324</v>
      </c>
      <c r="BK628" s="1">
        <v>5.4349999999999996</v>
      </c>
      <c r="BL628" s="3">
        <v>45324</v>
      </c>
      <c r="BM628" s="1">
        <v>4.09</v>
      </c>
      <c r="BN628" s="3">
        <v>45324</v>
      </c>
      <c r="BO628" s="1">
        <v>3.51</v>
      </c>
      <c r="BP628" s="3">
        <v>45324</v>
      </c>
      <c r="BQ628" s="1">
        <v>3.173</v>
      </c>
      <c r="BR628" s="3">
        <v>45324</v>
      </c>
      <c r="BS628" s="1">
        <v>3.0830000000000002</v>
      </c>
      <c r="BT628" s="3">
        <v>45324</v>
      </c>
      <c r="BU628" s="1">
        <v>3.0779999999999998</v>
      </c>
      <c r="BV628" s="3">
        <v>45324</v>
      </c>
      <c r="BW628" s="1">
        <v>3.0680000000000001</v>
      </c>
      <c r="BY628" s="3">
        <v>45287</v>
      </c>
      <c r="BZ628" s="1">
        <v>10.75</v>
      </c>
      <c r="CA628" s="3">
        <v>45278</v>
      </c>
      <c r="CB628" s="1">
        <v>10.16</v>
      </c>
      <c r="CC628" s="3">
        <v>45324</v>
      </c>
      <c r="CD628" s="1">
        <v>8.4659999999999993</v>
      </c>
      <c r="CE628" s="3">
        <v>45324</v>
      </c>
      <c r="CF628" s="1">
        <v>7.68</v>
      </c>
      <c r="CG628" s="3">
        <v>45324</v>
      </c>
      <c r="CH628" s="1">
        <v>6.85</v>
      </c>
      <c r="CI628" s="3">
        <v>45324</v>
      </c>
      <c r="CJ628" s="1">
        <v>5.31</v>
      </c>
      <c r="CK628" s="3">
        <v>45324</v>
      </c>
      <c r="CL628" s="1">
        <v>4.93</v>
      </c>
      <c r="CM628" s="3">
        <v>45324</v>
      </c>
      <c r="CN628" s="1">
        <v>4.7450000000000001</v>
      </c>
      <c r="CO628" s="3">
        <v>45316</v>
      </c>
      <c r="CP628" s="1">
        <v>4.875</v>
      </c>
      <c r="CQ628" s="3">
        <v>45316</v>
      </c>
      <c r="CR628" s="1">
        <v>5.0449999999999999</v>
      </c>
      <c r="CS628" s="3">
        <v>45316</v>
      </c>
      <c r="CT628" s="1">
        <v>5.21</v>
      </c>
    </row>
    <row r="629" spans="31:98" x14ac:dyDescent="0.2">
      <c r="AE629" s="3">
        <v>45315</v>
      </c>
      <c r="AF629" s="1">
        <v>5.75</v>
      </c>
      <c r="AG629" s="3">
        <v>45287</v>
      </c>
      <c r="AH629" s="1">
        <v>5.88</v>
      </c>
      <c r="AI629" s="3">
        <v>45323</v>
      </c>
      <c r="AJ629" s="2">
        <v>5.8209999999999997</v>
      </c>
      <c r="AK629" s="3">
        <v>45323</v>
      </c>
      <c r="AL629" s="2">
        <v>5.76</v>
      </c>
      <c r="AM629" s="3">
        <v>45323</v>
      </c>
      <c r="AN629" s="2">
        <v>5.6475</v>
      </c>
      <c r="AO629" s="3">
        <v>45323</v>
      </c>
      <c r="AP629" s="2">
        <v>5.29</v>
      </c>
      <c r="AQ629" s="3">
        <v>45323</v>
      </c>
      <c r="AR629" s="2">
        <v>4.9225000000000003</v>
      </c>
      <c r="AS629" s="3">
        <v>45323</v>
      </c>
      <c r="AT629" s="2">
        <v>4.57</v>
      </c>
      <c r="AU629" s="3">
        <v>45323</v>
      </c>
      <c r="AV629" s="2">
        <v>4.3150000000000004</v>
      </c>
      <c r="AW629" s="3">
        <v>45323</v>
      </c>
      <c r="AX629" s="2">
        <v>4.125</v>
      </c>
      <c r="AY629" s="3">
        <v>45323</v>
      </c>
      <c r="AZ629" s="2">
        <v>4.0149999999999997</v>
      </c>
      <c r="BB629" s="3">
        <v>45268</v>
      </c>
      <c r="BC629" s="1">
        <v>7</v>
      </c>
      <c r="BD629" s="3">
        <v>45288</v>
      </c>
      <c r="BE629" s="1">
        <v>6.78</v>
      </c>
      <c r="BF629" s="3">
        <v>45323</v>
      </c>
      <c r="BG629" s="1">
        <v>6.1349999999999998</v>
      </c>
      <c r="BH629" s="3">
        <v>45323</v>
      </c>
      <c r="BI629" s="1">
        <v>5.61</v>
      </c>
      <c r="BJ629" s="3">
        <v>45323</v>
      </c>
      <c r="BK629" s="1">
        <v>5.4050000000000002</v>
      </c>
      <c r="BL629" s="3">
        <v>45323</v>
      </c>
      <c r="BM629" s="1">
        <v>4.1950000000000003</v>
      </c>
      <c r="BN629" s="3">
        <v>45323</v>
      </c>
      <c r="BO629" s="1">
        <v>3.4279999999999999</v>
      </c>
      <c r="BP629" s="3">
        <v>45323</v>
      </c>
      <c r="BQ629" s="1">
        <v>3.0649999999999999</v>
      </c>
      <c r="BR629" s="3">
        <v>45323</v>
      </c>
      <c r="BS629" s="1">
        <v>2.9550000000000001</v>
      </c>
      <c r="BT629" s="3">
        <v>45323</v>
      </c>
      <c r="BU629" s="1">
        <v>2.95</v>
      </c>
      <c r="BV629" s="3">
        <v>45323</v>
      </c>
      <c r="BW629" s="1">
        <v>2.9449999999999998</v>
      </c>
      <c r="BY629" s="3">
        <v>45286</v>
      </c>
      <c r="BZ629" s="1">
        <v>10.75</v>
      </c>
      <c r="CA629" s="3">
        <v>45275</v>
      </c>
      <c r="CB629" s="1">
        <v>10.25</v>
      </c>
      <c r="CC629" s="3">
        <v>45323</v>
      </c>
      <c r="CD629" s="1">
        <v>8.4689999999999994</v>
      </c>
      <c r="CE629" s="3">
        <v>45323</v>
      </c>
      <c r="CF629" s="1">
        <v>7.6390000000000002</v>
      </c>
      <c r="CG629" s="3">
        <v>45323</v>
      </c>
      <c r="CH629" s="1">
        <v>6.77</v>
      </c>
      <c r="CI629" s="3">
        <v>45323</v>
      </c>
      <c r="CJ629" s="1">
        <v>5.17</v>
      </c>
      <c r="CK629" s="3">
        <v>45323</v>
      </c>
      <c r="CL629" s="1">
        <v>4.79</v>
      </c>
      <c r="CM629" s="3">
        <v>45323</v>
      </c>
      <c r="CN629" s="1">
        <v>4.5999999999999996</v>
      </c>
      <c r="CO629" s="3">
        <v>45315</v>
      </c>
      <c r="CP629" s="1">
        <v>4.8</v>
      </c>
      <c r="CQ629" s="3">
        <v>45315</v>
      </c>
      <c r="CR629" s="1">
        <v>4.9649999999999999</v>
      </c>
      <c r="CS629" s="3">
        <v>45315</v>
      </c>
      <c r="CT629" s="1">
        <v>5.125</v>
      </c>
    </row>
    <row r="630" spans="31:98" x14ac:dyDescent="0.2">
      <c r="AE630" s="3">
        <v>45314</v>
      </c>
      <c r="AF630" s="1">
        <v>5.75</v>
      </c>
      <c r="AG630" s="3">
        <v>45282</v>
      </c>
      <c r="AH630" s="1">
        <v>5.88</v>
      </c>
      <c r="AI630" s="3">
        <v>45322</v>
      </c>
      <c r="AJ630" s="2">
        <v>5.8155000000000001</v>
      </c>
      <c r="AK630" s="3">
        <v>45322</v>
      </c>
      <c r="AL630" s="2">
        <v>5.7450000000000001</v>
      </c>
      <c r="AM630" s="3">
        <v>45322</v>
      </c>
      <c r="AN630" s="2">
        <v>5.6325000000000003</v>
      </c>
      <c r="AO630" s="3">
        <v>45322</v>
      </c>
      <c r="AP630" s="2">
        <v>5.2725</v>
      </c>
      <c r="AQ630" s="3">
        <v>45322</v>
      </c>
      <c r="AR630" s="2">
        <v>4.9124999999999996</v>
      </c>
      <c r="AS630" s="3">
        <v>45322</v>
      </c>
      <c r="AT630" s="2">
        <v>4.5975000000000001</v>
      </c>
      <c r="AU630" s="3">
        <v>45322</v>
      </c>
      <c r="AV630" s="2">
        <v>4.3600000000000003</v>
      </c>
      <c r="AW630" s="3">
        <v>45322</v>
      </c>
      <c r="AX630" s="2">
        <v>4.1825000000000001</v>
      </c>
      <c r="AY630" s="3">
        <v>45322</v>
      </c>
      <c r="AZ630" s="2">
        <v>4.0824999999999996</v>
      </c>
      <c r="BB630" s="3">
        <v>45267</v>
      </c>
      <c r="BC630" s="1">
        <v>7</v>
      </c>
      <c r="BD630" s="3">
        <v>45287</v>
      </c>
      <c r="BE630" s="1">
        <v>6.78</v>
      </c>
      <c r="BF630" s="3">
        <v>45322</v>
      </c>
      <c r="BG630" s="1">
        <v>6.12</v>
      </c>
      <c r="BH630" s="3">
        <v>45322</v>
      </c>
      <c r="BI630" s="1">
        <v>5.6</v>
      </c>
      <c r="BJ630" s="3">
        <v>45322</v>
      </c>
      <c r="BK630" s="1">
        <v>5.415</v>
      </c>
      <c r="BL630" s="3">
        <v>45322</v>
      </c>
      <c r="BM630" s="1">
        <v>4.2350000000000003</v>
      </c>
      <c r="BN630" s="3">
        <v>45322</v>
      </c>
      <c r="BO630" s="1">
        <v>3.43</v>
      </c>
      <c r="BP630" s="3">
        <v>45322</v>
      </c>
      <c r="BQ630" s="1">
        <v>3.08</v>
      </c>
      <c r="BR630" s="3">
        <v>45322</v>
      </c>
      <c r="BS630" s="1">
        <v>2.9750000000000001</v>
      </c>
      <c r="BT630" s="3">
        <v>45322</v>
      </c>
      <c r="BU630" s="1">
        <v>2.98</v>
      </c>
      <c r="BV630" s="3">
        <v>45322</v>
      </c>
      <c r="BW630" s="1">
        <v>2.98</v>
      </c>
      <c r="BY630" s="3">
        <v>45285</v>
      </c>
      <c r="BZ630" s="1">
        <v>10.75</v>
      </c>
      <c r="CA630" s="3">
        <v>45274</v>
      </c>
      <c r="CB630" s="1">
        <v>10.32</v>
      </c>
      <c r="CC630" s="3">
        <v>45322</v>
      </c>
      <c r="CD630" s="1">
        <v>8.5500000000000007</v>
      </c>
      <c r="CE630" s="3">
        <v>45322</v>
      </c>
      <c r="CF630" s="1">
        <v>7.74</v>
      </c>
      <c r="CG630" s="3">
        <v>45322</v>
      </c>
      <c r="CH630" s="1">
        <v>6.87</v>
      </c>
      <c r="CI630" s="3">
        <v>45322</v>
      </c>
      <c r="CJ630" s="1">
        <v>5.25</v>
      </c>
      <c r="CK630" s="3">
        <v>45322</v>
      </c>
      <c r="CL630" s="1">
        <v>4.82</v>
      </c>
      <c r="CM630" s="3">
        <v>45322</v>
      </c>
      <c r="CN630" s="1">
        <v>4.8</v>
      </c>
      <c r="CO630" s="3">
        <v>45314</v>
      </c>
      <c r="CP630" s="1">
        <v>4.7549999999999999</v>
      </c>
      <c r="CQ630" s="3">
        <v>45314</v>
      </c>
      <c r="CR630" s="1">
        <v>4.9249999999999998</v>
      </c>
      <c r="CS630" s="3">
        <v>45314</v>
      </c>
      <c r="CT630" s="1">
        <v>5.09</v>
      </c>
    </row>
    <row r="631" spans="31:98" x14ac:dyDescent="0.2">
      <c r="AE631" s="3">
        <v>45313</v>
      </c>
      <c r="AF631" s="1">
        <v>5.75</v>
      </c>
      <c r="AG631" s="3">
        <v>45281</v>
      </c>
      <c r="AH631" s="1">
        <v>5.85</v>
      </c>
      <c r="AI631" s="3">
        <v>45321</v>
      </c>
      <c r="AJ631" s="2">
        <v>5.8235000000000001</v>
      </c>
      <c r="AK631" s="3">
        <v>45321</v>
      </c>
      <c r="AL631" s="2">
        <v>5.76</v>
      </c>
      <c r="AM631" s="3">
        <v>45321</v>
      </c>
      <c r="AN631" s="2">
        <v>5.68</v>
      </c>
      <c r="AO631" s="3">
        <v>45321</v>
      </c>
      <c r="AP631" s="2">
        <v>5.39</v>
      </c>
      <c r="AQ631" s="3">
        <v>45321</v>
      </c>
      <c r="AR631" s="2">
        <v>5.0350000000000001</v>
      </c>
      <c r="AS631" s="3">
        <v>45321</v>
      </c>
      <c r="AT631" s="2">
        <v>4.7300000000000004</v>
      </c>
      <c r="AU631" s="3">
        <v>45321</v>
      </c>
      <c r="AV631" s="2">
        <v>4.4950000000000001</v>
      </c>
      <c r="AW631" s="3">
        <v>45321</v>
      </c>
      <c r="AX631" s="2">
        <v>4.32</v>
      </c>
      <c r="AY631" s="3">
        <v>45321</v>
      </c>
      <c r="AZ631" s="2">
        <v>4.2249999999999996</v>
      </c>
      <c r="BB631" s="3">
        <v>45266</v>
      </c>
      <c r="BC631" s="1">
        <v>7</v>
      </c>
      <c r="BD631" s="3">
        <v>45282</v>
      </c>
      <c r="BE631" s="1">
        <v>6.78</v>
      </c>
      <c r="BF631" s="3">
        <v>45321</v>
      </c>
      <c r="BG631" s="1">
        <v>6.25</v>
      </c>
      <c r="BH631" s="3">
        <v>45321</v>
      </c>
      <c r="BI631" s="1">
        <v>5.77</v>
      </c>
      <c r="BJ631" s="3">
        <v>45321</v>
      </c>
      <c r="BK631" s="1">
        <v>5.585</v>
      </c>
      <c r="BL631" s="3">
        <v>45321</v>
      </c>
      <c r="BM631" s="1">
        <v>4.45</v>
      </c>
      <c r="BN631" s="3">
        <v>45321</v>
      </c>
      <c r="BO631" s="1">
        <v>3.6</v>
      </c>
      <c r="BP631" s="3">
        <v>45321</v>
      </c>
      <c r="BQ631" s="1">
        <v>3.2149999999999999</v>
      </c>
      <c r="BR631" s="3">
        <v>45321</v>
      </c>
      <c r="BS631" s="1">
        <v>3.11</v>
      </c>
      <c r="BT631" s="3">
        <v>45321</v>
      </c>
      <c r="BU631" s="1">
        <v>3.11</v>
      </c>
      <c r="BV631" s="3">
        <v>45321</v>
      </c>
      <c r="BW631" s="1">
        <v>3.11</v>
      </c>
      <c r="BY631" s="3">
        <v>45282</v>
      </c>
      <c r="BZ631" s="1">
        <v>10.75</v>
      </c>
      <c r="CA631" s="3">
        <v>45273</v>
      </c>
      <c r="CB631" s="1">
        <v>10.39</v>
      </c>
      <c r="CC631" s="3">
        <v>45321</v>
      </c>
      <c r="CD631" s="1">
        <v>8.5830000000000002</v>
      </c>
      <c r="CE631" s="3">
        <v>45321</v>
      </c>
      <c r="CF631" s="1">
        <v>7.8570000000000002</v>
      </c>
      <c r="CG631" s="3">
        <v>45321</v>
      </c>
      <c r="CH631" s="1">
        <v>6.97</v>
      </c>
      <c r="CI631" s="3">
        <v>45321</v>
      </c>
      <c r="CJ631" s="1">
        <v>5.4</v>
      </c>
      <c r="CK631" s="3">
        <v>45321</v>
      </c>
      <c r="CL631" s="1">
        <v>4.97</v>
      </c>
      <c r="CM631" s="3">
        <v>45321</v>
      </c>
      <c r="CN631" s="1">
        <v>4.8550000000000004</v>
      </c>
      <c r="CO631" s="3">
        <v>45313</v>
      </c>
      <c r="CP631" s="1">
        <v>4.5999999999999996</v>
      </c>
      <c r="CQ631" s="3">
        <v>45313</v>
      </c>
      <c r="CR631" s="1">
        <v>4.8049999999999997</v>
      </c>
      <c r="CS631" s="3">
        <v>45313</v>
      </c>
      <c r="CT631" s="1">
        <v>4.96</v>
      </c>
    </row>
    <row r="632" spans="31:98" x14ac:dyDescent="0.2">
      <c r="AE632" s="3">
        <v>45310</v>
      </c>
      <c r="AF632" s="1">
        <v>5.75</v>
      </c>
      <c r="AG632" s="3">
        <v>45280</v>
      </c>
      <c r="AH632" s="1">
        <v>5.86</v>
      </c>
      <c r="AI632" s="3">
        <v>45320</v>
      </c>
      <c r="AJ632" s="2">
        <v>5.8173000000000004</v>
      </c>
      <c r="AK632" s="3">
        <v>45320</v>
      </c>
      <c r="AL632" s="2">
        <v>5.77</v>
      </c>
      <c r="AM632" s="3">
        <v>45320</v>
      </c>
      <c r="AN632" s="2">
        <v>5.6825000000000001</v>
      </c>
      <c r="AO632" s="3">
        <v>45320</v>
      </c>
      <c r="AP632" s="2">
        <v>5.3925000000000001</v>
      </c>
      <c r="AQ632" s="3">
        <v>45320</v>
      </c>
      <c r="AR632" s="2">
        <v>5.0350000000000001</v>
      </c>
      <c r="AS632" s="3">
        <v>45320</v>
      </c>
      <c r="AT632" s="2">
        <v>4.72</v>
      </c>
      <c r="AU632" s="3">
        <v>45320</v>
      </c>
      <c r="AV632" s="2">
        <v>4.5049999999999999</v>
      </c>
      <c r="AW632" s="3">
        <v>45320</v>
      </c>
      <c r="AX632" s="2">
        <v>4.3499999999999996</v>
      </c>
      <c r="AY632" s="3">
        <v>45320</v>
      </c>
      <c r="AZ632" s="2">
        <v>4.2474999999999996</v>
      </c>
      <c r="BB632" s="3">
        <v>45265</v>
      </c>
      <c r="BC632" s="1">
        <v>7</v>
      </c>
      <c r="BD632" s="3">
        <v>45281</v>
      </c>
      <c r="BE632" s="1">
        <v>6.99</v>
      </c>
      <c r="BF632" s="3">
        <v>45320</v>
      </c>
      <c r="BG632" s="1">
        <v>6.2649999999999997</v>
      </c>
      <c r="BH632" s="3">
        <v>45320</v>
      </c>
      <c r="BI632" s="1">
        <v>5.8029999999999999</v>
      </c>
      <c r="BJ632" s="3">
        <v>45320</v>
      </c>
      <c r="BK632" s="1">
        <v>5.63</v>
      </c>
      <c r="BL632" s="3">
        <v>45320</v>
      </c>
      <c r="BM632" s="1">
        <v>4.4950000000000001</v>
      </c>
      <c r="BN632" s="3">
        <v>45320</v>
      </c>
      <c r="BO632" s="1">
        <v>3.6349999999999998</v>
      </c>
      <c r="BP632" s="3">
        <v>45320</v>
      </c>
      <c r="BQ632" s="1">
        <v>3.26</v>
      </c>
      <c r="BR632" s="3">
        <v>45320</v>
      </c>
      <c r="BS632" s="1">
        <v>3.14</v>
      </c>
      <c r="BT632" s="3">
        <v>45320</v>
      </c>
      <c r="BU632" s="1">
        <v>3.1379999999999999</v>
      </c>
      <c r="BV632" s="3">
        <v>45320</v>
      </c>
      <c r="BW632" s="1">
        <v>3.133</v>
      </c>
      <c r="BY632" s="3">
        <v>45281</v>
      </c>
      <c r="BZ632" s="1">
        <v>10.75</v>
      </c>
      <c r="CA632" s="3">
        <v>45272</v>
      </c>
      <c r="CB632" s="1">
        <v>10.42</v>
      </c>
      <c r="CC632" s="3">
        <v>45320</v>
      </c>
      <c r="CD632" s="1">
        <v>8.5790000000000006</v>
      </c>
      <c r="CE632" s="3">
        <v>45320</v>
      </c>
      <c r="CF632" s="1">
        <v>7.7370000000000001</v>
      </c>
      <c r="CG632" s="3">
        <v>45320</v>
      </c>
      <c r="CH632" s="1">
        <v>6.73</v>
      </c>
      <c r="CI632" s="3">
        <v>45320</v>
      </c>
      <c r="CJ632" s="1">
        <v>5.38</v>
      </c>
      <c r="CK632" s="3">
        <v>45320</v>
      </c>
      <c r="CL632" s="1">
        <v>4.99</v>
      </c>
      <c r="CM632" s="3">
        <v>45320</v>
      </c>
      <c r="CN632" s="1">
        <v>4.8150000000000004</v>
      </c>
      <c r="CO632" s="3">
        <v>45310</v>
      </c>
      <c r="CP632" s="1">
        <v>4.5999999999999996</v>
      </c>
      <c r="CQ632" s="3">
        <v>45310</v>
      </c>
      <c r="CR632" s="1">
        <v>4.8</v>
      </c>
      <c r="CS632" s="3">
        <v>45310</v>
      </c>
      <c r="CT632" s="1">
        <v>4.95</v>
      </c>
    </row>
    <row r="633" spans="31:98" x14ac:dyDescent="0.2">
      <c r="AE633" s="3">
        <v>45309</v>
      </c>
      <c r="AF633" s="1">
        <v>5.75</v>
      </c>
      <c r="AG633" s="3">
        <v>45279</v>
      </c>
      <c r="AH633" s="1">
        <v>5.86</v>
      </c>
      <c r="AI633" s="3">
        <v>45317</v>
      </c>
      <c r="AJ633" s="2">
        <v>5.8315000000000001</v>
      </c>
      <c r="AK633" s="3">
        <v>45317</v>
      </c>
      <c r="AL633" s="2">
        <v>5.79</v>
      </c>
      <c r="AM633" s="3">
        <v>45317</v>
      </c>
      <c r="AN633" s="2">
        <v>5.6950000000000003</v>
      </c>
      <c r="AO633" s="3">
        <v>45317</v>
      </c>
      <c r="AP633" s="2">
        <v>5.3975</v>
      </c>
      <c r="AQ633" s="3">
        <v>45317</v>
      </c>
      <c r="AR633" s="2">
        <v>5.0324999999999998</v>
      </c>
      <c r="AS633" s="3">
        <v>45317</v>
      </c>
      <c r="AT633" s="2">
        <v>4.7024999999999997</v>
      </c>
      <c r="AU633" s="3">
        <v>45317</v>
      </c>
      <c r="AV633" s="2">
        <v>4.4625000000000004</v>
      </c>
      <c r="AW633" s="3">
        <v>45317</v>
      </c>
      <c r="AX633" s="2">
        <v>4.2975000000000003</v>
      </c>
      <c r="AY633" s="3">
        <v>45317</v>
      </c>
      <c r="AZ633" s="2">
        <v>4.2050000000000001</v>
      </c>
      <c r="BB633" s="3">
        <v>45264</v>
      </c>
      <c r="BC633" s="1">
        <v>7</v>
      </c>
      <c r="BD633" s="3">
        <v>45280</v>
      </c>
      <c r="BE633" s="1">
        <v>6.99</v>
      </c>
      <c r="BF633" s="3">
        <v>45317</v>
      </c>
      <c r="BG633" s="1">
        <v>6.29</v>
      </c>
      <c r="BH633" s="3">
        <v>45317</v>
      </c>
      <c r="BI633" s="1">
        <v>5.81</v>
      </c>
      <c r="BJ633" s="3">
        <v>45317</v>
      </c>
      <c r="BK633" s="1">
        <v>5.63</v>
      </c>
      <c r="BL633" s="3">
        <v>45317</v>
      </c>
      <c r="BM633" s="1">
        <v>4.51</v>
      </c>
      <c r="BN633" s="3">
        <v>45317</v>
      </c>
      <c r="BO633" s="1">
        <v>3.645</v>
      </c>
      <c r="BP633" s="3">
        <v>45317</v>
      </c>
      <c r="BQ633" s="1">
        <v>3.28</v>
      </c>
      <c r="BR633" s="3">
        <v>45317</v>
      </c>
      <c r="BS633" s="1">
        <v>3.1629999999999998</v>
      </c>
      <c r="BT633" s="3">
        <v>45317</v>
      </c>
      <c r="BU633" s="1">
        <v>3.153</v>
      </c>
      <c r="BV633" s="3">
        <v>45317</v>
      </c>
      <c r="BW633" s="1">
        <v>3.1429999999999998</v>
      </c>
      <c r="BY633" s="3">
        <v>45280</v>
      </c>
      <c r="BZ633" s="1">
        <v>10.75</v>
      </c>
      <c r="CA633" s="3">
        <v>45271</v>
      </c>
      <c r="CB633" s="1">
        <v>10.47</v>
      </c>
      <c r="CC633" s="3">
        <v>45317</v>
      </c>
      <c r="CD633" s="1">
        <v>8.593</v>
      </c>
      <c r="CE633" s="3">
        <v>45317</v>
      </c>
      <c r="CF633" s="1">
        <v>7.7380000000000004</v>
      </c>
      <c r="CG633" s="3">
        <v>45317</v>
      </c>
      <c r="CH633" s="1">
        <v>6.68</v>
      </c>
      <c r="CI633" s="3">
        <v>45317</v>
      </c>
      <c r="CJ633" s="1">
        <v>5.33</v>
      </c>
      <c r="CK633" s="3">
        <v>45317</v>
      </c>
      <c r="CL633" s="1">
        <v>4.9000000000000004</v>
      </c>
      <c r="CM633" s="3">
        <v>45317</v>
      </c>
      <c r="CN633" s="1">
        <v>4.83</v>
      </c>
      <c r="CO633" s="3">
        <v>45309</v>
      </c>
      <c r="CP633" s="1">
        <v>4.66</v>
      </c>
      <c r="CQ633" s="3">
        <v>45309</v>
      </c>
      <c r="CR633" s="1">
        <v>4.83</v>
      </c>
      <c r="CS633" s="3">
        <v>45309</v>
      </c>
      <c r="CT633" s="1">
        <v>5</v>
      </c>
    </row>
    <row r="634" spans="31:98" x14ac:dyDescent="0.2">
      <c r="AE634" s="3">
        <v>45308</v>
      </c>
      <c r="AF634" s="1">
        <v>5.75</v>
      </c>
      <c r="AG634" s="3">
        <v>45278</v>
      </c>
      <c r="AH634" s="1">
        <v>5.86</v>
      </c>
      <c r="AI634" s="3">
        <v>45316</v>
      </c>
      <c r="AJ634" s="2">
        <v>5.83</v>
      </c>
      <c r="AK634" s="3">
        <v>45316</v>
      </c>
      <c r="AL634" s="2">
        <v>5.79</v>
      </c>
      <c r="AM634" s="3">
        <v>45316</v>
      </c>
      <c r="AN634" s="2">
        <v>5.6849999999999996</v>
      </c>
      <c r="AO634" s="3">
        <v>45316</v>
      </c>
      <c r="AP634" s="2">
        <v>5.3624999999999998</v>
      </c>
      <c r="AQ634" s="3">
        <v>45316</v>
      </c>
      <c r="AR634" s="2">
        <v>4.9974999999999996</v>
      </c>
      <c r="AS634" s="3">
        <v>45316</v>
      </c>
      <c r="AT634" s="2">
        <v>4.6475</v>
      </c>
      <c r="AU634" s="3">
        <v>45316</v>
      </c>
      <c r="AV634" s="2">
        <v>4.4024999999999999</v>
      </c>
      <c r="AW634" s="3">
        <v>45316</v>
      </c>
      <c r="AX634" s="2">
        <v>4.2374999999999998</v>
      </c>
      <c r="AY634" s="3">
        <v>45316</v>
      </c>
      <c r="AZ634" s="2">
        <v>4.1375000000000002</v>
      </c>
      <c r="BB634" s="3">
        <v>45261</v>
      </c>
      <c r="BC634" s="1">
        <v>7</v>
      </c>
      <c r="BD634" s="3">
        <v>45279</v>
      </c>
      <c r="BE634" s="1">
        <v>6.99</v>
      </c>
      <c r="BF634" s="3">
        <v>45316</v>
      </c>
      <c r="BG634" s="1">
        <v>6.3049999999999997</v>
      </c>
      <c r="BH634" s="3">
        <v>45316</v>
      </c>
      <c r="BI634" s="1">
        <v>5.82</v>
      </c>
      <c r="BJ634" s="3">
        <v>45316</v>
      </c>
      <c r="BK634" s="1">
        <v>5.6449999999999996</v>
      </c>
      <c r="BL634" s="3">
        <v>45316</v>
      </c>
      <c r="BM634" s="1">
        <v>4.5350000000000001</v>
      </c>
      <c r="BN634" s="3">
        <v>45316</v>
      </c>
      <c r="BO634" s="1">
        <v>3.6749999999999998</v>
      </c>
      <c r="BP634" s="3">
        <v>45316</v>
      </c>
      <c r="BQ634" s="1">
        <v>3.28</v>
      </c>
      <c r="BR634" s="3">
        <v>45316</v>
      </c>
      <c r="BS634" s="1">
        <v>3.1629999999999998</v>
      </c>
      <c r="BT634" s="3">
        <v>45316</v>
      </c>
      <c r="BU634" s="1">
        <v>3.1379999999999999</v>
      </c>
      <c r="BV634" s="3">
        <v>45316</v>
      </c>
      <c r="BW634" s="1">
        <v>3.133</v>
      </c>
      <c r="BY634" s="3">
        <v>45279</v>
      </c>
      <c r="BZ634" s="1">
        <v>11.5</v>
      </c>
      <c r="CA634" s="3">
        <v>45268</v>
      </c>
      <c r="CB634" s="1">
        <v>10.51</v>
      </c>
      <c r="CC634" s="3">
        <v>45316</v>
      </c>
      <c r="CD634" s="1">
        <v>8.6170000000000009</v>
      </c>
      <c r="CE634" s="3">
        <v>45316</v>
      </c>
      <c r="CF634" s="1">
        <v>7.734</v>
      </c>
      <c r="CG634" s="3">
        <v>45316</v>
      </c>
      <c r="CH634" s="1">
        <v>6.67</v>
      </c>
      <c r="CI634" s="3">
        <v>45316</v>
      </c>
      <c r="CJ634" s="1">
        <v>5.31</v>
      </c>
      <c r="CK634" s="3">
        <v>45316</v>
      </c>
      <c r="CL634" s="1">
        <v>4.83</v>
      </c>
      <c r="CM634" s="3">
        <v>45316</v>
      </c>
      <c r="CN634" s="1">
        <v>4.68</v>
      </c>
      <c r="CO634" s="3">
        <v>45308</v>
      </c>
      <c r="CP634" s="1">
        <v>4.67</v>
      </c>
      <c r="CQ634" s="3">
        <v>45308</v>
      </c>
      <c r="CR634" s="1">
        <v>4.8499999999999996</v>
      </c>
      <c r="CS634" s="3">
        <v>45308</v>
      </c>
      <c r="CT634" s="1">
        <v>5.04</v>
      </c>
    </row>
    <row r="635" spans="31:98" x14ac:dyDescent="0.2">
      <c r="AE635" s="3">
        <v>45307</v>
      </c>
      <c r="AF635" s="1">
        <v>5.75</v>
      </c>
      <c r="AG635" s="3">
        <v>45275</v>
      </c>
      <c r="AH635" s="1">
        <v>5.82</v>
      </c>
      <c r="AI635" s="3">
        <v>45315</v>
      </c>
      <c r="AJ635" s="2">
        <v>5.8360000000000003</v>
      </c>
      <c r="AK635" s="3">
        <v>45315</v>
      </c>
      <c r="AL635" s="2">
        <v>5.8049999999999997</v>
      </c>
      <c r="AM635" s="3">
        <v>45315</v>
      </c>
      <c r="AN635" s="2">
        <v>5.7074999999999996</v>
      </c>
      <c r="AO635" s="3">
        <v>45315</v>
      </c>
      <c r="AP635" s="2">
        <v>5.39</v>
      </c>
      <c r="AQ635" s="3">
        <v>45315</v>
      </c>
      <c r="AR635" s="2">
        <v>5.0525000000000002</v>
      </c>
      <c r="AS635" s="3">
        <v>45315</v>
      </c>
      <c r="AT635" s="2">
        <v>4.71</v>
      </c>
      <c r="AU635" s="3">
        <v>45315</v>
      </c>
      <c r="AV635" s="2">
        <v>4.4574999999999996</v>
      </c>
      <c r="AW635" s="3">
        <v>45315</v>
      </c>
      <c r="AX635" s="2">
        <v>4.3</v>
      </c>
      <c r="AY635" s="3">
        <v>45315</v>
      </c>
      <c r="AZ635" s="2">
        <v>4.2024999999999997</v>
      </c>
      <c r="BB635" s="3">
        <v>45260</v>
      </c>
      <c r="BC635" s="1">
        <v>7</v>
      </c>
      <c r="BD635" s="3">
        <v>45278</v>
      </c>
      <c r="BE635" s="1">
        <v>6.99</v>
      </c>
      <c r="BF635" s="3">
        <v>45315</v>
      </c>
      <c r="BG635" s="1">
        <v>6.3</v>
      </c>
      <c r="BH635" s="3">
        <v>45315</v>
      </c>
      <c r="BI635" s="1">
        <v>5.8380000000000001</v>
      </c>
      <c r="BJ635" s="3">
        <v>45315</v>
      </c>
      <c r="BK635" s="1">
        <v>5.6849999999999996</v>
      </c>
      <c r="BL635" s="3">
        <v>45315</v>
      </c>
      <c r="BM635" s="1">
        <v>4.5979999999999999</v>
      </c>
      <c r="BN635" s="3">
        <v>45315</v>
      </c>
      <c r="BO635" s="1">
        <v>3.7629999999999999</v>
      </c>
      <c r="BP635" s="3">
        <v>45315</v>
      </c>
      <c r="BQ635" s="1">
        <v>3.335</v>
      </c>
      <c r="BR635" s="3">
        <v>45315</v>
      </c>
      <c r="BS635" s="1">
        <v>3.2</v>
      </c>
      <c r="BT635" s="3">
        <v>45315</v>
      </c>
      <c r="BU635" s="1">
        <v>3.1749999999999998</v>
      </c>
      <c r="BV635" s="3">
        <v>45315</v>
      </c>
      <c r="BW635" s="1">
        <v>3.165</v>
      </c>
      <c r="BY635" s="3">
        <v>45278</v>
      </c>
      <c r="BZ635" s="1">
        <v>11.5</v>
      </c>
      <c r="CA635" s="3">
        <v>45267</v>
      </c>
      <c r="CB635" s="1">
        <v>10.56</v>
      </c>
      <c r="CC635" s="3">
        <v>45315</v>
      </c>
      <c r="CD635" s="1">
        <v>8.6180000000000003</v>
      </c>
      <c r="CE635" s="3">
        <v>45315</v>
      </c>
      <c r="CF635" s="1">
        <v>7.7430000000000003</v>
      </c>
      <c r="CG635" s="3">
        <v>45315</v>
      </c>
      <c r="CH635" s="1">
        <v>6.65</v>
      </c>
      <c r="CI635" s="3">
        <v>45315</v>
      </c>
      <c r="CJ635" s="1">
        <v>5.26</v>
      </c>
      <c r="CK635" s="3">
        <v>45315</v>
      </c>
      <c r="CL635" s="1">
        <v>4.82</v>
      </c>
      <c r="CM635" s="3">
        <v>45315</v>
      </c>
      <c r="CN635" s="1">
        <v>4.6100000000000003</v>
      </c>
      <c r="CO635" s="3">
        <v>45307</v>
      </c>
      <c r="CP635" s="1">
        <v>4.4550000000000001</v>
      </c>
      <c r="CQ635" s="3">
        <v>45307</v>
      </c>
      <c r="CR635" s="1">
        <v>4.5274999999999999</v>
      </c>
      <c r="CS635" s="3">
        <v>45307</v>
      </c>
      <c r="CT635" s="1">
        <v>4.5975000000000001</v>
      </c>
    </row>
    <row r="636" spans="31:98" x14ac:dyDescent="0.2">
      <c r="AE636" s="3">
        <v>45306</v>
      </c>
      <c r="AF636" s="1">
        <v>5.75</v>
      </c>
      <c r="AG636" s="3">
        <v>45274</v>
      </c>
      <c r="AH636" s="1">
        <v>5.86</v>
      </c>
      <c r="AI636" s="3">
        <v>45314</v>
      </c>
      <c r="AJ636" s="2">
        <v>5.8360000000000003</v>
      </c>
      <c r="AK636" s="3">
        <v>45314</v>
      </c>
      <c r="AL636" s="2">
        <v>5.7949999999999999</v>
      </c>
      <c r="AM636" s="3">
        <v>45314</v>
      </c>
      <c r="AN636" s="2">
        <v>5.6849999999999996</v>
      </c>
      <c r="AO636" s="3">
        <v>45314</v>
      </c>
      <c r="AP636" s="2">
        <v>5.3375000000000004</v>
      </c>
      <c r="AQ636" s="3">
        <v>45314</v>
      </c>
      <c r="AR636" s="2">
        <v>4.95</v>
      </c>
      <c r="AS636" s="3">
        <v>45314</v>
      </c>
      <c r="AT636" s="2">
        <v>4.59</v>
      </c>
      <c r="AU636" s="3">
        <v>45314</v>
      </c>
      <c r="AV636" s="2">
        <v>4.33</v>
      </c>
      <c r="AW636" s="3">
        <v>45314</v>
      </c>
      <c r="AX636" s="2">
        <v>4.16</v>
      </c>
      <c r="AY636" s="3">
        <v>45314</v>
      </c>
      <c r="AZ636" s="2">
        <v>4.0599999999999996</v>
      </c>
      <c r="BB636" s="3">
        <v>45259</v>
      </c>
      <c r="BC636" s="1">
        <v>7</v>
      </c>
      <c r="BD636" s="3">
        <v>45275</v>
      </c>
      <c r="BE636" s="1">
        <v>7</v>
      </c>
      <c r="BF636" s="3">
        <v>45314</v>
      </c>
      <c r="BG636" s="1">
        <v>6.29</v>
      </c>
      <c r="BH636" s="3">
        <v>45314</v>
      </c>
      <c r="BI636" s="1">
        <v>5.843</v>
      </c>
      <c r="BJ636" s="3">
        <v>45314</v>
      </c>
      <c r="BK636" s="1">
        <v>5.68</v>
      </c>
      <c r="BL636" s="3">
        <v>45314</v>
      </c>
      <c r="BM636" s="1">
        <v>4.5949999999999998</v>
      </c>
      <c r="BN636" s="3">
        <v>45314</v>
      </c>
      <c r="BO636" s="1">
        <v>3.7349999999999999</v>
      </c>
      <c r="BP636" s="3">
        <v>45314</v>
      </c>
      <c r="BQ636" s="1">
        <v>3.3050000000000002</v>
      </c>
      <c r="BR636" s="3">
        <v>45314</v>
      </c>
      <c r="BS636" s="1">
        <v>3.17</v>
      </c>
      <c r="BT636" s="3">
        <v>45314</v>
      </c>
      <c r="BU636" s="1">
        <v>3.16</v>
      </c>
      <c r="BV636" s="3">
        <v>45314</v>
      </c>
      <c r="BW636" s="1">
        <v>3.1549999999999998</v>
      </c>
      <c r="BY636" s="3">
        <v>45275</v>
      </c>
      <c r="BZ636" s="1">
        <v>11.5</v>
      </c>
      <c r="CA636" s="3">
        <v>45266</v>
      </c>
      <c r="CB636" s="1">
        <v>10.61</v>
      </c>
      <c r="CC636" s="3">
        <v>45314</v>
      </c>
      <c r="CD636" s="1">
        <v>8.5909999999999993</v>
      </c>
      <c r="CE636" s="3">
        <v>45314</v>
      </c>
      <c r="CF636" s="1">
        <v>7.6710000000000003</v>
      </c>
      <c r="CG636" s="3">
        <v>45314</v>
      </c>
      <c r="CH636" s="1">
        <v>6.73</v>
      </c>
      <c r="CI636" s="3">
        <v>45314</v>
      </c>
      <c r="CJ636" s="1">
        <v>5.25</v>
      </c>
      <c r="CK636" s="3">
        <v>45314</v>
      </c>
      <c r="CL636" s="1">
        <v>4.76</v>
      </c>
      <c r="CM636" s="3">
        <v>45314</v>
      </c>
      <c r="CN636" s="1">
        <v>4.5599999999999996</v>
      </c>
      <c r="CO636" s="3">
        <v>45306</v>
      </c>
      <c r="CP636" s="1">
        <v>4.4050000000000002</v>
      </c>
      <c r="CQ636" s="3">
        <v>45306</v>
      </c>
      <c r="CR636" s="1">
        <v>4.4725000000000001</v>
      </c>
      <c r="CS636" s="3">
        <v>45306</v>
      </c>
      <c r="CT636" s="1">
        <v>4.5374999999999996</v>
      </c>
    </row>
    <row r="637" spans="31:98" x14ac:dyDescent="0.2">
      <c r="AE637" s="3">
        <v>45303</v>
      </c>
      <c r="AF637" s="1">
        <v>5.75</v>
      </c>
      <c r="AG637" s="3">
        <v>45273</v>
      </c>
      <c r="AH637" s="1">
        <v>5.84</v>
      </c>
      <c r="AI637" s="3">
        <v>45313</v>
      </c>
      <c r="AJ637" s="2">
        <v>5.82</v>
      </c>
      <c r="AK637" s="3">
        <v>45313</v>
      </c>
      <c r="AL637" s="2">
        <v>5.7549999999999999</v>
      </c>
      <c r="AM637" s="3">
        <v>45313</v>
      </c>
      <c r="AN637" s="2">
        <v>5.665</v>
      </c>
      <c r="AO637" s="3">
        <v>45313</v>
      </c>
      <c r="AP637" s="2">
        <v>5.28</v>
      </c>
      <c r="AQ637" s="3">
        <v>45313</v>
      </c>
      <c r="AR637" s="2">
        <v>4.88</v>
      </c>
      <c r="AS637" s="3">
        <v>45313</v>
      </c>
      <c r="AT637" s="2">
        <v>4.5</v>
      </c>
      <c r="AU637" s="3">
        <v>45313</v>
      </c>
      <c r="AV637" s="2">
        <v>4.2249999999999996</v>
      </c>
      <c r="AW637" s="3">
        <v>45313</v>
      </c>
      <c r="AX637" s="2">
        <v>4.0549999999999997</v>
      </c>
      <c r="AY637" s="3">
        <v>45313</v>
      </c>
      <c r="AZ637" s="2">
        <v>3.9474999999999998</v>
      </c>
      <c r="BB637" s="3">
        <v>45258</v>
      </c>
      <c r="BC637" s="1">
        <v>7</v>
      </c>
      <c r="BD637" s="3">
        <v>45274</v>
      </c>
      <c r="BE637" s="1">
        <v>7</v>
      </c>
      <c r="BF637" s="3">
        <v>45313</v>
      </c>
      <c r="BG637" s="1">
        <v>6.29</v>
      </c>
      <c r="BH637" s="3">
        <v>45313</v>
      </c>
      <c r="BI637" s="1">
        <v>5.83</v>
      </c>
      <c r="BJ637" s="3">
        <v>45313</v>
      </c>
      <c r="BK637" s="1">
        <v>5.6749999999999998</v>
      </c>
      <c r="BL637" s="3">
        <v>45313</v>
      </c>
      <c r="BM637" s="1">
        <v>4.57</v>
      </c>
      <c r="BN637" s="3">
        <v>45313</v>
      </c>
      <c r="BO637" s="1">
        <v>3.67</v>
      </c>
      <c r="BP637" s="3">
        <v>45313</v>
      </c>
      <c r="BQ637" s="1">
        <v>3.24</v>
      </c>
      <c r="BR637" s="3">
        <v>45313</v>
      </c>
      <c r="BS637" s="1">
        <v>3.1179999999999999</v>
      </c>
      <c r="BT637" s="3">
        <v>45313</v>
      </c>
      <c r="BU637" s="1">
        <v>3.11</v>
      </c>
      <c r="BV637" s="3">
        <v>45313</v>
      </c>
      <c r="BW637" s="1">
        <v>3.1</v>
      </c>
      <c r="BY637" s="3">
        <v>45274</v>
      </c>
      <c r="BZ637" s="1">
        <v>11.5</v>
      </c>
      <c r="CA637" s="3">
        <v>45265</v>
      </c>
      <c r="CB637" s="1">
        <v>10.64</v>
      </c>
      <c r="CC637" s="3">
        <v>45313</v>
      </c>
      <c r="CD637" s="1">
        <v>8.58</v>
      </c>
      <c r="CE637" s="3">
        <v>45313</v>
      </c>
      <c r="CF637" s="1">
        <v>7.6059999999999999</v>
      </c>
      <c r="CG637" s="3">
        <v>45313</v>
      </c>
      <c r="CH637" s="1">
        <v>6.63</v>
      </c>
      <c r="CI637" s="3">
        <v>45313</v>
      </c>
      <c r="CJ637" s="1">
        <v>5.2</v>
      </c>
      <c r="CK637" s="3">
        <v>45313</v>
      </c>
      <c r="CL637" s="1">
        <v>4.63</v>
      </c>
      <c r="CM637" s="3">
        <v>45313</v>
      </c>
      <c r="CN637" s="1">
        <v>4.51</v>
      </c>
      <c r="CO637" s="3">
        <v>45303</v>
      </c>
      <c r="CP637" s="1">
        <v>4.32</v>
      </c>
      <c r="CQ637" s="3">
        <v>45303</v>
      </c>
      <c r="CR637" s="1">
        <v>4.3825000000000003</v>
      </c>
      <c r="CS637" s="3">
        <v>45303</v>
      </c>
      <c r="CT637" s="1">
        <v>4.4474999999999998</v>
      </c>
    </row>
    <row r="638" spans="31:98" x14ac:dyDescent="0.2">
      <c r="AE638" s="3">
        <v>45302</v>
      </c>
      <c r="AF638" s="1">
        <v>5.75</v>
      </c>
      <c r="AG638" s="3">
        <v>45272</v>
      </c>
      <c r="AH638" s="1">
        <v>5.84</v>
      </c>
      <c r="AI638" s="3">
        <v>45310</v>
      </c>
      <c r="AJ638" s="2">
        <v>5.8274999999999997</v>
      </c>
      <c r="AK638" s="3">
        <v>45310</v>
      </c>
      <c r="AL638" s="2">
        <v>5.77</v>
      </c>
      <c r="AM638" s="3">
        <v>45310</v>
      </c>
      <c r="AN638" s="2">
        <v>5.6749999999999998</v>
      </c>
      <c r="AO638" s="3">
        <v>45310</v>
      </c>
      <c r="AP638" s="2">
        <v>5.2949999999999999</v>
      </c>
      <c r="AQ638" s="3">
        <v>45310</v>
      </c>
      <c r="AR638" s="2">
        <v>4.91</v>
      </c>
      <c r="AS638" s="3">
        <v>45310</v>
      </c>
      <c r="AT638" s="2">
        <v>4.5250000000000004</v>
      </c>
      <c r="AU638" s="3">
        <v>45310</v>
      </c>
      <c r="AV638" s="2">
        <v>4.24</v>
      </c>
      <c r="AW638" s="3">
        <v>45310</v>
      </c>
      <c r="AX638" s="2">
        <v>4.0599999999999996</v>
      </c>
      <c r="AY638" s="3">
        <v>45310</v>
      </c>
      <c r="AZ638" s="2">
        <v>3.9525000000000001</v>
      </c>
      <c r="BB638" s="3">
        <v>45257</v>
      </c>
      <c r="BC638" s="1">
        <v>7</v>
      </c>
      <c r="BD638" s="3">
        <v>45273</v>
      </c>
      <c r="BE638" s="1">
        <v>7</v>
      </c>
      <c r="BF638" s="3">
        <v>45310</v>
      </c>
      <c r="BG638" s="1">
        <v>6.3</v>
      </c>
      <c r="BH638" s="3">
        <v>45310</v>
      </c>
      <c r="BI638" s="1">
        <v>5.85</v>
      </c>
      <c r="BJ638" s="3">
        <v>45310</v>
      </c>
      <c r="BK638" s="1">
        <v>5.69</v>
      </c>
      <c r="BL638" s="3">
        <v>45310</v>
      </c>
      <c r="BM638" s="1">
        <v>4.62</v>
      </c>
      <c r="BN638" s="3">
        <v>45310</v>
      </c>
      <c r="BO638" s="1">
        <v>3.74</v>
      </c>
      <c r="BP638" s="3">
        <v>45310</v>
      </c>
      <c r="BQ638" s="1">
        <v>3.335</v>
      </c>
      <c r="BR638" s="3">
        <v>45310</v>
      </c>
      <c r="BS638" s="1">
        <v>3.2</v>
      </c>
      <c r="BT638" s="3">
        <v>45310</v>
      </c>
      <c r="BU638" s="1">
        <v>3.1749999999999998</v>
      </c>
      <c r="BV638" s="3">
        <v>45310</v>
      </c>
      <c r="BW638" s="1">
        <v>3.17</v>
      </c>
      <c r="BY638" s="3">
        <v>45273</v>
      </c>
      <c r="BZ638" s="1">
        <v>11.5</v>
      </c>
      <c r="CA638" s="3">
        <v>45264</v>
      </c>
      <c r="CB638" s="1">
        <v>10.67</v>
      </c>
      <c r="CC638" s="3">
        <v>45310</v>
      </c>
      <c r="CD638" s="1">
        <v>8.67</v>
      </c>
      <c r="CE638" s="3">
        <v>45310</v>
      </c>
      <c r="CF638" s="1">
        <v>7.68</v>
      </c>
      <c r="CG638" s="3">
        <v>45310</v>
      </c>
      <c r="CH638" s="1">
        <v>6.72</v>
      </c>
      <c r="CI638" s="3">
        <v>45310</v>
      </c>
      <c r="CJ638" s="1">
        <v>5.26</v>
      </c>
      <c r="CK638" s="3">
        <v>45310</v>
      </c>
      <c r="CL638" s="1">
        <v>4.66</v>
      </c>
      <c r="CM638" s="3">
        <v>45310</v>
      </c>
      <c r="CN638" s="1">
        <v>4.5149999999999997</v>
      </c>
      <c r="CO638" s="3">
        <v>45302</v>
      </c>
      <c r="CP638" s="1">
        <v>4.3650000000000002</v>
      </c>
      <c r="CQ638" s="3">
        <v>45302</v>
      </c>
      <c r="CR638" s="1">
        <v>4.4275000000000002</v>
      </c>
      <c r="CS638" s="3">
        <v>45302</v>
      </c>
      <c r="CT638" s="1">
        <v>4.4924999999999997</v>
      </c>
    </row>
    <row r="639" spans="31:98" x14ac:dyDescent="0.2">
      <c r="AE639" s="3">
        <v>45301</v>
      </c>
      <c r="AF639" s="1">
        <v>5.75</v>
      </c>
      <c r="AG639" s="3">
        <v>45271</v>
      </c>
      <c r="AH639" s="1">
        <v>5.85</v>
      </c>
      <c r="AI639" s="3">
        <v>45309</v>
      </c>
      <c r="AJ639" s="2">
        <v>5.8403</v>
      </c>
      <c r="AK639" s="3">
        <v>45309</v>
      </c>
      <c r="AL639" s="2">
        <v>5.7850000000000001</v>
      </c>
      <c r="AM639" s="3">
        <v>45309</v>
      </c>
      <c r="AN639" s="2">
        <v>5.69</v>
      </c>
      <c r="AO639" s="3">
        <v>45309</v>
      </c>
      <c r="AP639" s="2">
        <v>5.33</v>
      </c>
      <c r="AQ639" s="3">
        <v>45309</v>
      </c>
      <c r="AR639" s="2">
        <v>4.95</v>
      </c>
      <c r="AS639" s="3">
        <v>45309</v>
      </c>
      <c r="AT639" s="2">
        <v>4.5475000000000003</v>
      </c>
      <c r="AU639" s="3">
        <v>45309</v>
      </c>
      <c r="AV639" s="2">
        <v>4.2549999999999999</v>
      </c>
      <c r="AW639" s="3">
        <v>45309</v>
      </c>
      <c r="AX639" s="2">
        <v>4.0724999999999998</v>
      </c>
      <c r="AY639" s="3">
        <v>45309</v>
      </c>
      <c r="AZ639" s="2">
        <v>3.9674999999999998</v>
      </c>
      <c r="BB639" s="3">
        <v>45254</v>
      </c>
      <c r="BC639" s="1">
        <v>7</v>
      </c>
      <c r="BD639" s="3">
        <v>45272</v>
      </c>
      <c r="BE639" s="1">
        <v>7.02</v>
      </c>
      <c r="BF639" s="3">
        <v>45309</v>
      </c>
      <c r="BG639" s="1">
        <v>6.2949999999999999</v>
      </c>
      <c r="BH639" s="3">
        <v>45309</v>
      </c>
      <c r="BI639" s="1">
        <v>6.0949999999999998</v>
      </c>
      <c r="BJ639" s="3">
        <v>45309</v>
      </c>
      <c r="BK639" s="1">
        <v>5.66</v>
      </c>
      <c r="BL639" s="3">
        <v>45309</v>
      </c>
      <c r="BM639" s="1">
        <v>4.58</v>
      </c>
      <c r="BN639" s="3">
        <v>45309</v>
      </c>
      <c r="BO639" s="1">
        <v>3.7</v>
      </c>
      <c r="BP639" s="3">
        <v>45309</v>
      </c>
      <c r="BQ639" s="1">
        <v>3.28</v>
      </c>
      <c r="BR639" s="3">
        <v>45309</v>
      </c>
      <c r="BS639" s="1">
        <v>3.1480000000000001</v>
      </c>
      <c r="BT639" s="3">
        <v>45309</v>
      </c>
      <c r="BU639" s="1">
        <v>3.133</v>
      </c>
      <c r="BV639" s="3">
        <v>45309</v>
      </c>
      <c r="BW639" s="1">
        <v>3.113</v>
      </c>
      <c r="BY639" s="3">
        <v>45272</v>
      </c>
      <c r="BZ639" s="1">
        <v>11.5</v>
      </c>
      <c r="CA639" s="3">
        <v>45261</v>
      </c>
      <c r="CB639" s="1">
        <v>10.69</v>
      </c>
      <c r="CC639" s="3">
        <v>45309</v>
      </c>
      <c r="CD639" s="1">
        <v>8.766</v>
      </c>
      <c r="CE639" s="3">
        <v>45309</v>
      </c>
      <c r="CF639" s="1">
        <v>7.774</v>
      </c>
      <c r="CG639" s="3">
        <v>45309</v>
      </c>
      <c r="CH639" s="1">
        <v>6.8</v>
      </c>
      <c r="CI639" s="3">
        <v>45309</v>
      </c>
      <c r="CJ639" s="1">
        <v>5.31</v>
      </c>
      <c r="CK639" s="3">
        <v>45309</v>
      </c>
      <c r="CL639" s="1">
        <v>4.6399999999999997</v>
      </c>
      <c r="CM639" s="3">
        <v>45309</v>
      </c>
      <c r="CN639" s="1">
        <v>4.5199999999999996</v>
      </c>
      <c r="CO639" s="3">
        <v>45301</v>
      </c>
      <c r="CP639" s="1">
        <v>4.5350000000000001</v>
      </c>
      <c r="CQ639" s="3">
        <v>45301</v>
      </c>
      <c r="CR639" s="1">
        <v>4.6050000000000004</v>
      </c>
      <c r="CS639" s="3">
        <v>45301</v>
      </c>
      <c r="CT639" s="1">
        <v>4.6849999999999996</v>
      </c>
    </row>
    <row r="640" spans="31:98" x14ac:dyDescent="0.2">
      <c r="AE640" s="3">
        <v>45300</v>
      </c>
      <c r="AF640" s="1">
        <v>5.75</v>
      </c>
      <c r="AG640" s="3">
        <v>45268</v>
      </c>
      <c r="AH640" s="1">
        <v>5.85</v>
      </c>
      <c r="AI640" s="3">
        <v>45308</v>
      </c>
      <c r="AJ640" s="2">
        <v>5.8460000000000001</v>
      </c>
      <c r="AK640" s="3">
        <v>45308</v>
      </c>
      <c r="AL640" s="2">
        <v>5.7975000000000003</v>
      </c>
      <c r="AM640" s="3">
        <v>45308</v>
      </c>
      <c r="AN640" s="2">
        <v>5.7050000000000001</v>
      </c>
      <c r="AO640" s="3">
        <v>45308</v>
      </c>
      <c r="AP640" s="2">
        <v>5.39</v>
      </c>
      <c r="AQ640" s="3">
        <v>45308</v>
      </c>
      <c r="AR640" s="2">
        <v>5.0149999999999997</v>
      </c>
      <c r="AS640" s="3">
        <v>45308</v>
      </c>
      <c r="AT640" s="2">
        <v>4.6550000000000002</v>
      </c>
      <c r="AU640" s="3">
        <v>45308</v>
      </c>
      <c r="AV640" s="2">
        <v>4.3650000000000002</v>
      </c>
      <c r="AW640" s="3">
        <v>45308</v>
      </c>
      <c r="AX640" s="2">
        <v>4.1550000000000002</v>
      </c>
      <c r="AY640" s="3">
        <v>45308</v>
      </c>
      <c r="AZ640" s="2">
        <v>4.0250000000000004</v>
      </c>
      <c r="BB640" s="3">
        <v>45253</v>
      </c>
      <c r="BC640" s="1">
        <v>7</v>
      </c>
      <c r="BD640" s="3">
        <v>45271</v>
      </c>
      <c r="BE640" s="1">
        <v>7.02</v>
      </c>
      <c r="BF640" s="3">
        <v>45308</v>
      </c>
      <c r="BG640" s="1">
        <v>6.3049999999999997</v>
      </c>
      <c r="BH640" s="3">
        <v>45308</v>
      </c>
      <c r="BI640" s="1">
        <v>6.14</v>
      </c>
      <c r="BJ640" s="3">
        <v>45308</v>
      </c>
      <c r="BK640" s="1">
        <v>5.6849999999999996</v>
      </c>
      <c r="BL640" s="3">
        <v>45308</v>
      </c>
      <c r="BM640" s="1">
        <v>4.6379999999999999</v>
      </c>
      <c r="BN640" s="3">
        <v>45308</v>
      </c>
      <c r="BO640" s="1">
        <v>3.76</v>
      </c>
      <c r="BP640" s="3">
        <v>45308</v>
      </c>
      <c r="BQ640" s="1">
        <v>3.33</v>
      </c>
      <c r="BR640" s="3">
        <v>45308</v>
      </c>
      <c r="BS640" s="1">
        <v>3.1949999999999998</v>
      </c>
      <c r="BT640" s="3">
        <v>45308</v>
      </c>
      <c r="BU640" s="1">
        <v>3.1549999999999998</v>
      </c>
      <c r="BV640" s="3">
        <v>45308</v>
      </c>
      <c r="BW640" s="1">
        <v>3.125</v>
      </c>
      <c r="BY640" s="3">
        <v>45271</v>
      </c>
      <c r="BZ640" s="1">
        <v>11.5</v>
      </c>
      <c r="CA640" s="3">
        <v>45260</v>
      </c>
      <c r="CB640" s="1">
        <v>10.7</v>
      </c>
      <c r="CC640" s="3">
        <v>45308</v>
      </c>
      <c r="CD640" s="1">
        <v>8.8059999999999992</v>
      </c>
      <c r="CE640" s="3">
        <v>45308</v>
      </c>
      <c r="CF640" s="1">
        <v>7.851</v>
      </c>
      <c r="CG640" s="3">
        <v>45308</v>
      </c>
      <c r="CH640" s="1">
        <v>6.88</v>
      </c>
      <c r="CI640" s="3">
        <v>45308</v>
      </c>
      <c r="CJ640" s="1">
        <v>5.39</v>
      </c>
      <c r="CK640" s="3">
        <v>45308</v>
      </c>
      <c r="CL640" s="1">
        <v>4.72</v>
      </c>
      <c r="CM640" s="3">
        <v>45308</v>
      </c>
      <c r="CN640" s="1">
        <v>4.5199999999999996</v>
      </c>
      <c r="CO640" s="3">
        <v>45300</v>
      </c>
      <c r="CP640" s="1">
        <v>4.7300000000000004</v>
      </c>
      <c r="CQ640" s="3">
        <v>45300</v>
      </c>
      <c r="CR640" s="1">
        <v>4.82</v>
      </c>
      <c r="CS640" s="3">
        <v>45300</v>
      </c>
      <c r="CT640" s="1">
        <v>4.88</v>
      </c>
    </row>
    <row r="641" spans="31:98" x14ac:dyDescent="0.2">
      <c r="AE641" s="3">
        <v>45299</v>
      </c>
      <c r="AF641" s="1">
        <v>5.75</v>
      </c>
      <c r="AG641" s="3">
        <v>45267</v>
      </c>
      <c r="AH641" s="1">
        <v>5.85</v>
      </c>
      <c r="AI641" s="3">
        <v>45307</v>
      </c>
      <c r="AJ641" s="2">
        <v>5.8369999999999997</v>
      </c>
      <c r="AK641" s="3">
        <v>45307</v>
      </c>
      <c r="AL641" s="2">
        <v>5.8</v>
      </c>
      <c r="AM641" s="3">
        <v>45307</v>
      </c>
      <c r="AN641" s="2">
        <v>5.73</v>
      </c>
      <c r="AO641" s="3">
        <v>45307</v>
      </c>
      <c r="AP641" s="2">
        <v>5.4050000000000002</v>
      </c>
      <c r="AQ641" s="3">
        <v>45307</v>
      </c>
      <c r="AR641" s="2">
        <v>5.0199999999999996</v>
      </c>
      <c r="AS641" s="3">
        <v>45307</v>
      </c>
      <c r="AT641" s="2">
        <v>4.6349999999999998</v>
      </c>
      <c r="AU641" s="3">
        <v>45307</v>
      </c>
      <c r="AV641" s="2">
        <v>4.37</v>
      </c>
      <c r="AW641" s="3">
        <v>45307</v>
      </c>
      <c r="AX641" s="2">
        <v>4.16</v>
      </c>
      <c r="AY641" s="3">
        <v>45307</v>
      </c>
      <c r="AZ641" s="2">
        <v>4.0049999999999999</v>
      </c>
      <c r="BB641" s="3">
        <v>45252</v>
      </c>
      <c r="BC641" s="1">
        <v>7</v>
      </c>
      <c r="BD641" s="3">
        <v>45268</v>
      </c>
      <c r="BE641" s="1">
        <v>7.02</v>
      </c>
      <c r="BF641" s="3">
        <v>45307</v>
      </c>
      <c r="BG641" s="1">
        <v>6.2949999999999999</v>
      </c>
      <c r="BH641" s="3">
        <v>45307</v>
      </c>
      <c r="BI641" s="1">
        <v>6.14</v>
      </c>
      <c r="BJ641" s="3">
        <v>45307</v>
      </c>
      <c r="BK641" s="1">
        <v>5.66</v>
      </c>
      <c r="BL641" s="3">
        <v>45307</v>
      </c>
      <c r="BM641" s="1">
        <v>4.6150000000000002</v>
      </c>
      <c r="BN641" s="3">
        <v>45307</v>
      </c>
      <c r="BO641" s="1">
        <v>3.71</v>
      </c>
      <c r="BP641" s="3">
        <v>45307</v>
      </c>
      <c r="BQ641" s="1">
        <v>3.2930000000000001</v>
      </c>
      <c r="BR641" s="3">
        <v>45307</v>
      </c>
      <c r="BS641" s="1">
        <v>3.1480000000000001</v>
      </c>
      <c r="BT641" s="3">
        <v>45307</v>
      </c>
      <c r="BU641" s="1">
        <v>3.09</v>
      </c>
      <c r="BV641" s="3">
        <v>45307</v>
      </c>
      <c r="BW641" s="1">
        <v>3.07</v>
      </c>
      <c r="BY641" s="3">
        <v>45267</v>
      </c>
      <c r="BZ641" s="1">
        <v>11.5</v>
      </c>
      <c r="CA641" s="3">
        <v>45259</v>
      </c>
      <c r="CB641" s="1">
        <v>10.73</v>
      </c>
      <c r="CC641" s="3">
        <v>45307</v>
      </c>
      <c r="CD641" s="1">
        <v>8.8680000000000003</v>
      </c>
      <c r="CE641" s="3">
        <v>45307</v>
      </c>
      <c r="CF641" s="1">
        <v>7.9340000000000002</v>
      </c>
      <c r="CG641" s="3">
        <v>45307</v>
      </c>
      <c r="CH641" s="1">
        <v>7.01</v>
      </c>
      <c r="CI641" s="3">
        <v>45307</v>
      </c>
      <c r="CJ641" s="1">
        <v>5.46</v>
      </c>
      <c r="CK641" s="3">
        <v>45307</v>
      </c>
      <c r="CL641" s="1">
        <v>4.7</v>
      </c>
      <c r="CM641" s="3">
        <v>45307</v>
      </c>
      <c r="CN641" s="1">
        <v>4.5149999999999997</v>
      </c>
      <c r="CO641" s="3">
        <v>45299</v>
      </c>
      <c r="CP641" s="1">
        <v>4.915</v>
      </c>
      <c r="CQ641" s="3">
        <v>45299</v>
      </c>
      <c r="CR641" s="1">
        <v>4.9050000000000002</v>
      </c>
      <c r="CS641" s="3">
        <v>45299</v>
      </c>
      <c r="CT641" s="1">
        <v>4.9749999999999996</v>
      </c>
    </row>
    <row r="642" spans="31:98" x14ac:dyDescent="0.2">
      <c r="AE642" s="3">
        <v>45296</v>
      </c>
      <c r="AF642" s="1">
        <v>5.75</v>
      </c>
      <c r="AG642" s="3">
        <v>45266</v>
      </c>
      <c r="AH642" s="1">
        <v>5.83</v>
      </c>
      <c r="AI642" s="3">
        <v>45306</v>
      </c>
      <c r="AJ642" s="2">
        <v>5.8380000000000001</v>
      </c>
      <c r="AK642" s="3">
        <v>45306</v>
      </c>
      <c r="AL642" s="2">
        <v>5.79</v>
      </c>
      <c r="AM642" s="3">
        <v>45306</v>
      </c>
      <c r="AN642" s="2">
        <v>5.72</v>
      </c>
      <c r="AO642" s="3">
        <v>45306</v>
      </c>
      <c r="AP642" s="2">
        <v>5.4275000000000002</v>
      </c>
      <c r="AQ642" s="3">
        <v>45306</v>
      </c>
      <c r="AR642" s="2">
        <v>5.0350000000000001</v>
      </c>
      <c r="AS642" s="3">
        <v>45306</v>
      </c>
      <c r="AT642" s="2">
        <v>4.625</v>
      </c>
      <c r="AU642" s="3">
        <v>45306</v>
      </c>
      <c r="AV642" s="2">
        <v>4.335</v>
      </c>
      <c r="AW642" s="3">
        <v>45306</v>
      </c>
      <c r="AX642" s="2">
        <v>4.1325000000000003</v>
      </c>
      <c r="AY642" s="3">
        <v>45306</v>
      </c>
      <c r="AZ642" s="2">
        <v>3.9525000000000001</v>
      </c>
      <c r="BB642" s="3">
        <v>45251</v>
      </c>
      <c r="BC642" s="1">
        <v>7</v>
      </c>
      <c r="BD642" s="3">
        <v>45267</v>
      </c>
      <c r="BE642" s="1">
        <v>7.03</v>
      </c>
      <c r="BF642" s="3">
        <v>45306</v>
      </c>
      <c r="BG642" s="1">
        <v>6.3</v>
      </c>
      <c r="BH642" s="3">
        <v>45306</v>
      </c>
      <c r="BI642" s="1">
        <v>6.13</v>
      </c>
      <c r="BJ642" s="3">
        <v>45306</v>
      </c>
      <c r="BK642" s="1">
        <v>5.6550000000000002</v>
      </c>
      <c r="BL642" s="3">
        <v>45306</v>
      </c>
      <c r="BM642" s="1">
        <v>4.6130000000000004</v>
      </c>
      <c r="BN642" s="3">
        <v>45306</v>
      </c>
      <c r="BO642" s="1">
        <v>3.7429999999999999</v>
      </c>
      <c r="BP642" s="3">
        <v>45306</v>
      </c>
      <c r="BQ642" s="1">
        <v>3.2829999999999999</v>
      </c>
      <c r="BR642" s="3">
        <v>45306</v>
      </c>
      <c r="BS642" s="1">
        <v>3.133</v>
      </c>
      <c r="BT642" s="3">
        <v>45306</v>
      </c>
      <c r="BU642" s="1">
        <v>3.0630000000000002</v>
      </c>
      <c r="BV642" s="3">
        <v>45306</v>
      </c>
      <c r="BW642" s="1">
        <v>3.0329999999999999</v>
      </c>
      <c r="BY642" s="3">
        <v>45266</v>
      </c>
      <c r="BZ642" s="1">
        <v>11.5</v>
      </c>
      <c r="CA642" s="3">
        <v>45258</v>
      </c>
      <c r="CB642" s="1">
        <v>10.75</v>
      </c>
      <c r="CC642" s="3">
        <v>45306</v>
      </c>
      <c r="CD642" s="1">
        <v>8.9109999999999996</v>
      </c>
      <c r="CE642" s="3">
        <v>45306</v>
      </c>
      <c r="CF642" s="1">
        <v>8.0050000000000008</v>
      </c>
      <c r="CG642" s="3">
        <v>45306</v>
      </c>
      <c r="CH642" s="1">
        <v>7.1</v>
      </c>
      <c r="CI642" s="3">
        <v>45306</v>
      </c>
      <c r="CJ642" s="1">
        <v>5.5</v>
      </c>
      <c r="CK642" s="3">
        <v>45306</v>
      </c>
      <c r="CL642" s="1">
        <v>4.7</v>
      </c>
      <c r="CM642" s="3">
        <v>45306</v>
      </c>
      <c r="CN642" s="1">
        <v>4.47</v>
      </c>
      <c r="CO642" s="3">
        <v>45296</v>
      </c>
      <c r="CP642" s="1">
        <v>4.9000000000000004</v>
      </c>
      <c r="CQ642" s="3">
        <v>45296</v>
      </c>
      <c r="CR642" s="1">
        <v>4.8550000000000004</v>
      </c>
      <c r="CS642" s="3">
        <v>45296</v>
      </c>
      <c r="CT642" s="1">
        <v>4.8449999999999998</v>
      </c>
    </row>
    <row r="643" spans="31:98" x14ac:dyDescent="0.2">
      <c r="AE643" s="3">
        <v>45295</v>
      </c>
      <c r="AF643" s="1">
        <v>5.75</v>
      </c>
      <c r="AG643" s="3">
        <v>45265</v>
      </c>
      <c r="AH643" s="1">
        <v>5.84</v>
      </c>
      <c r="AI643" s="3">
        <v>45303</v>
      </c>
      <c r="AJ643" s="2">
        <v>5.8239999999999998</v>
      </c>
      <c r="AK643" s="3">
        <v>45303</v>
      </c>
      <c r="AL643" s="2">
        <v>5.75</v>
      </c>
      <c r="AM643" s="3">
        <v>45303</v>
      </c>
      <c r="AN643" s="2">
        <v>5.65</v>
      </c>
      <c r="AO643" s="3">
        <v>45303</v>
      </c>
      <c r="AP643" s="2">
        <v>5.3125</v>
      </c>
      <c r="AQ643" s="3">
        <v>45303</v>
      </c>
      <c r="AR643" s="2">
        <v>4.93</v>
      </c>
      <c r="AS643" s="3">
        <v>45303</v>
      </c>
      <c r="AT643" s="2">
        <v>4.51</v>
      </c>
      <c r="AU643" s="3">
        <v>45303</v>
      </c>
      <c r="AV643" s="2">
        <v>4.24</v>
      </c>
      <c r="AW643" s="3">
        <v>45303</v>
      </c>
      <c r="AX643" s="2">
        <v>4.0625</v>
      </c>
      <c r="AY643" s="3">
        <v>45303</v>
      </c>
      <c r="AZ643" s="2">
        <v>3.9424999999999999</v>
      </c>
      <c r="BB643" s="3">
        <v>45250</v>
      </c>
      <c r="BC643" s="1">
        <v>7</v>
      </c>
      <c r="BD643" s="3">
        <v>45266</v>
      </c>
      <c r="BE643" s="1">
        <v>7.04</v>
      </c>
      <c r="BF643" s="3">
        <v>45303</v>
      </c>
      <c r="BG643" s="1">
        <v>6.28</v>
      </c>
      <c r="BH643" s="3">
        <v>45303</v>
      </c>
      <c r="BI643" s="1">
        <v>6.12</v>
      </c>
      <c r="BJ643" s="3">
        <v>45303</v>
      </c>
      <c r="BK643" s="1">
        <v>5.64</v>
      </c>
      <c r="BL643" s="3">
        <v>45303</v>
      </c>
      <c r="BM643" s="1">
        <v>4.5750000000000002</v>
      </c>
      <c r="BN643" s="3">
        <v>45303</v>
      </c>
      <c r="BO643" s="1">
        <v>3.66</v>
      </c>
      <c r="BP643" s="3">
        <v>45303</v>
      </c>
      <c r="BQ643" s="1">
        <v>3.198</v>
      </c>
      <c r="BR643" s="3">
        <v>45303</v>
      </c>
      <c r="BS643" s="1">
        <v>3.0579999999999998</v>
      </c>
      <c r="BT643" s="3">
        <v>45303</v>
      </c>
      <c r="BU643" s="1">
        <v>2.9630000000000001</v>
      </c>
      <c r="BV643" s="3">
        <v>45303</v>
      </c>
      <c r="BW643" s="1">
        <v>2.9550000000000001</v>
      </c>
      <c r="BY643" s="3">
        <v>45265</v>
      </c>
      <c r="BZ643" s="1">
        <v>11.5</v>
      </c>
      <c r="CA643" s="3">
        <v>45257</v>
      </c>
      <c r="CB643" s="1">
        <v>10.76</v>
      </c>
      <c r="CC643" s="3">
        <v>45303</v>
      </c>
      <c r="CD643" s="1">
        <v>8.9009999999999998</v>
      </c>
      <c r="CE643" s="3">
        <v>45303</v>
      </c>
      <c r="CF643" s="1">
        <v>7.9909999999999997</v>
      </c>
      <c r="CG643" s="3">
        <v>45303</v>
      </c>
      <c r="CH643" s="1">
        <v>7.08</v>
      </c>
      <c r="CI643" s="3">
        <v>45303</v>
      </c>
      <c r="CJ643" s="1">
        <v>5.5</v>
      </c>
      <c r="CK643" s="3">
        <v>45303</v>
      </c>
      <c r="CL643" s="1">
        <v>4.63</v>
      </c>
      <c r="CM643" s="3">
        <v>45303</v>
      </c>
      <c r="CN643" s="1">
        <v>4.3899999999999997</v>
      </c>
      <c r="CO643" s="3">
        <v>45295</v>
      </c>
      <c r="CP643" s="1">
        <v>4.9950000000000001</v>
      </c>
      <c r="CQ643" s="3">
        <v>45295</v>
      </c>
      <c r="CR643" s="1">
        <v>4.95</v>
      </c>
      <c r="CS643" s="3">
        <v>45295</v>
      </c>
      <c r="CT643" s="1">
        <v>4.9400000000000004</v>
      </c>
    </row>
    <row r="644" spans="31:98" x14ac:dyDescent="0.2">
      <c r="AE644" s="3">
        <v>45294</v>
      </c>
      <c r="AF644" s="1">
        <v>5.75</v>
      </c>
      <c r="AG644" s="3">
        <v>45264</v>
      </c>
      <c r="AH644" s="1">
        <v>5.84</v>
      </c>
      <c r="AI644" s="3">
        <v>45302</v>
      </c>
      <c r="AJ644" s="2">
        <v>5.8</v>
      </c>
      <c r="AK644" s="3">
        <v>45302</v>
      </c>
      <c r="AL644" s="2">
        <v>5.7024999999999997</v>
      </c>
      <c r="AM644" s="3">
        <v>45302</v>
      </c>
      <c r="AN644" s="2">
        <v>5.59</v>
      </c>
      <c r="AO644" s="3">
        <v>45302</v>
      </c>
      <c r="AP644" s="2">
        <v>5.2249999999999996</v>
      </c>
      <c r="AQ644" s="3">
        <v>45302</v>
      </c>
      <c r="AR644" s="2">
        <v>4.8274999999999997</v>
      </c>
      <c r="AS644" s="3">
        <v>45302</v>
      </c>
      <c r="AT644" s="2">
        <v>4.4325000000000001</v>
      </c>
      <c r="AU644" s="3">
        <v>45302</v>
      </c>
      <c r="AV644" s="2">
        <v>4.1675000000000004</v>
      </c>
      <c r="AW644" s="3">
        <v>45302</v>
      </c>
      <c r="AX644" s="2">
        <v>3.9925000000000002</v>
      </c>
      <c r="AY644" s="3">
        <v>45302</v>
      </c>
      <c r="AZ644" s="2">
        <v>3.87</v>
      </c>
      <c r="BB644" s="3">
        <v>45246</v>
      </c>
      <c r="BC644" s="1">
        <v>7</v>
      </c>
      <c r="BD644" s="3">
        <v>45265</v>
      </c>
      <c r="BE644" s="1">
        <v>7.05</v>
      </c>
      <c r="BF644" s="3">
        <v>45302</v>
      </c>
      <c r="BG644" s="1">
        <v>6.26</v>
      </c>
      <c r="BH644" s="3">
        <v>45302</v>
      </c>
      <c r="BI644" s="1">
        <v>6.1349999999999998</v>
      </c>
      <c r="BJ644" s="3">
        <v>45302</v>
      </c>
      <c r="BK644" s="1">
        <v>5.665</v>
      </c>
      <c r="BL644" s="3">
        <v>45302</v>
      </c>
      <c r="BM644" s="1">
        <v>4.5999999999999996</v>
      </c>
      <c r="BN644" s="3">
        <v>45302</v>
      </c>
      <c r="BO644" s="1">
        <v>3.665</v>
      </c>
      <c r="BP644" s="3">
        <v>45302</v>
      </c>
      <c r="BQ644" s="1">
        <v>3.2149999999999999</v>
      </c>
      <c r="BR644" s="3">
        <v>45302</v>
      </c>
      <c r="BS644" s="1">
        <v>3.07</v>
      </c>
      <c r="BT644" s="3">
        <v>45302</v>
      </c>
      <c r="BU644" s="1">
        <v>2.9849999999999999</v>
      </c>
      <c r="BV644" s="3">
        <v>45302</v>
      </c>
      <c r="BW644" s="1">
        <v>2.9780000000000002</v>
      </c>
      <c r="BY644" s="3">
        <v>45264</v>
      </c>
      <c r="BZ644" s="1">
        <v>11.5</v>
      </c>
      <c r="CA644" s="3">
        <v>45254</v>
      </c>
      <c r="CB644" s="1">
        <v>10.78</v>
      </c>
      <c r="CC644" s="3">
        <v>45302</v>
      </c>
      <c r="CD644" s="1">
        <v>8.9659999999999993</v>
      </c>
      <c r="CE644" s="3">
        <v>45302</v>
      </c>
      <c r="CF644" s="1">
        <v>8.0809999999999995</v>
      </c>
      <c r="CG644" s="3">
        <v>45302</v>
      </c>
      <c r="CH644" s="1">
        <v>7.17</v>
      </c>
      <c r="CI644" s="3">
        <v>45302</v>
      </c>
      <c r="CJ644" s="1">
        <v>5.6</v>
      </c>
      <c r="CK644" s="3">
        <v>45302</v>
      </c>
      <c r="CL644" s="1">
        <v>4.7300000000000004</v>
      </c>
      <c r="CM644" s="3">
        <v>45302</v>
      </c>
      <c r="CN644" s="1">
        <v>4.43</v>
      </c>
      <c r="CO644" s="3">
        <v>45294</v>
      </c>
      <c r="CP644" s="1">
        <v>5.07</v>
      </c>
      <c r="CQ644" s="3">
        <v>45294</v>
      </c>
      <c r="CR644" s="1">
        <v>5.03</v>
      </c>
      <c r="CS644" s="3">
        <v>45294</v>
      </c>
      <c r="CT644" s="1">
        <v>5.0199999999999996</v>
      </c>
    </row>
    <row r="645" spans="31:98" x14ac:dyDescent="0.2">
      <c r="AE645" s="3">
        <v>45293</v>
      </c>
      <c r="AF645" s="1">
        <v>5.75</v>
      </c>
      <c r="AG645" s="3">
        <v>45261</v>
      </c>
      <c r="AH645" s="1">
        <v>5.84</v>
      </c>
      <c r="AI645" s="3">
        <v>45301</v>
      </c>
      <c r="AJ645" s="2">
        <v>5.8029999999999999</v>
      </c>
      <c r="AK645" s="3">
        <v>45301</v>
      </c>
      <c r="AL645" s="2">
        <v>5.7229999999999999</v>
      </c>
      <c r="AM645" s="3">
        <v>45301</v>
      </c>
      <c r="AN645" s="2">
        <v>5.5750000000000002</v>
      </c>
      <c r="AO645" s="3">
        <v>45301</v>
      </c>
      <c r="AP645" s="2">
        <v>5.17</v>
      </c>
      <c r="AQ645" s="3">
        <v>45301</v>
      </c>
      <c r="AR645" s="2">
        <v>4.78</v>
      </c>
      <c r="AS645" s="3">
        <v>45301</v>
      </c>
      <c r="AT645" s="2">
        <v>4.4649999999999999</v>
      </c>
      <c r="AU645" s="3">
        <v>45301</v>
      </c>
      <c r="AV645" s="2">
        <v>4.2275</v>
      </c>
      <c r="AW645" s="3">
        <v>45301</v>
      </c>
      <c r="AX645" s="2">
        <v>4.0549999999999997</v>
      </c>
      <c r="AY645" s="3">
        <v>45301</v>
      </c>
      <c r="AZ645" s="2">
        <v>3.9424999999999999</v>
      </c>
      <c r="BB645" s="3">
        <v>45245</v>
      </c>
      <c r="BC645" s="1">
        <v>7</v>
      </c>
      <c r="BD645" s="3">
        <v>45264</v>
      </c>
      <c r="BE645" s="1">
        <v>7.05</v>
      </c>
      <c r="BF645" s="3">
        <v>45301</v>
      </c>
      <c r="BG645" s="1">
        <v>6.57</v>
      </c>
      <c r="BH645" s="3">
        <v>45301</v>
      </c>
      <c r="BI645" s="1">
        <v>6.22</v>
      </c>
      <c r="BJ645" s="3">
        <v>45301</v>
      </c>
      <c r="BK645" s="1">
        <v>5.7549999999999999</v>
      </c>
      <c r="BL645" s="3">
        <v>45301</v>
      </c>
      <c r="BM645" s="1">
        <v>4.7050000000000001</v>
      </c>
      <c r="BN645" s="3">
        <v>45301</v>
      </c>
      <c r="BO645" s="1">
        <v>3.7530000000000001</v>
      </c>
      <c r="BP645" s="3">
        <v>45301</v>
      </c>
      <c r="BQ645" s="1">
        <v>3.3250000000000002</v>
      </c>
      <c r="BR645" s="3">
        <v>45301</v>
      </c>
      <c r="BS645" s="1">
        <v>3.18</v>
      </c>
      <c r="BT645" s="3">
        <v>45301</v>
      </c>
      <c r="BU645" s="1">
        <v>3.13</v>
      </c>
      <c r="BV645" s="3">
        <v>45301</v>
      </c>
      <c r="BW645" s="1">
        <v>3.1</v>
      </c>
      <c r="BY645" s="3">
        <v>45261</v>
      </c>
      <c r="BZ645" s="1">
        <v>11.5</v>
      </c>
      <c r="CA645" s="3">
        <v>45253</v>
      </c>
      <c r="CB645" s="1">
        <v>10.79</v>
      </c>
      <c r="CC645" s="3">
        <v>45301</v>
      </c>
      <c r="CD645" s="1">
        <v>9.01</v>
      </c>
      <c r="CE645" s="3">
        <v>45301</v>
      </c>
      <c r="CF645" s="1">
        <v>8.1679999999999993</v>
      </c>
      <c r="CG645" s="3">
        <v>45301</v>
      </c>
      <c r="CH645" s="1">
        <v>7.28</v>
      </c>
      <c r="CI645" s="3">
        <v>45301</v>
      </c>
      <c r="CJ645" s="1">
        <v>5.71</v>
      </c>
      <c r="CK645" s="3">
        <v>45301</v>
      </c>
      <c r="CL645" s="1">
        <v>4.8600000000000003</v>
      </c>
      <c r="CM645" s="3">
        <v>45301</v>
      </c>
      <c r="CN645" s="1">
        <v>4.5250000000000004</v>
      </c>
      <c r="CO645" s="3">
        <v>45293</v>
      </c>
      <c r="CP645" s="1">
        <v>5.04</v>
      </c>
      <c r="CQ645" s="3">
        <v>45293</v>
      </c>
      <c r="CR645" s="1">
        <v>4.99</v>
      </c>
      <c r="CS645" s="3">
        <v>45293</v>
      </c>
      <c r="CT645" s="1">
        <v>4.96</v>
      </c>
    </row>
    <row r="646" spans="31:98" x14ac:dyDescent="0.2">
      <c r="AE646" s="3">
        <v>45292</v>
      </c>
      <c r="AF646" s="1">
        <v>5.75</v>
      </c>
      <c r="AG646" s="3">
        <v>45260</v>
      </c>
      <c r="AH646" s="1">
        <v>5.83</v>
      </c>
      <c r="AI646" s="3">
        <v>45300</v>
      </c>
      <c r="AJ646" s="2">
        <v>5.7445000000000004</v>
      </c>
      <c r="AK646" s="3">
        <v>45300</v>
      </c>
      <c r="AL646" s="2">
        <v>5.61</v>
      </c>
      <c r="AM646" s="3">
        <v>45300</v>
      </c>
      <c r="AN646" s="2">
        <v>5.4649999999999999</v>
      </c>
      <c r="AO646" s="3">
        <v>45300</v>
      </c>
      <c r="AP646" s="2">
        <v>5.0350000000000001</v>
      </c>
      <c r="AQ646" s="3">
        <v>45300</v>
      </c>
      <c r="AR646" s="2">
        <v>4.6174999999999997</v>
      </c>
      <c r="AS646" s="3">
        <v>45300</v>
      </c>
      <c r="AT646" s="2">
        <v>4.28</v>
      </c>
      <c r="AU646" s="3">
        <v>45300</v>
      </c>
      <c r="AV646" s="2">
        <v>4.0350000000000001</v>
      </c>
      <c r="AW646" s="3">
        <v>45300</v>
      </c>
      <c r="AX646" s="2">
        <v>3.87</v>
      </c>
      <c r="AY646" s="3">
        <v>45300</v>
      </c>
      <c r="AZ646" s="2">
        <v>3.78</v>
      </c>
      <c r="BB646" s="3">
        <v>45244</v>
      </c>
      <c r="BC646" s="1">
        <v>7</v>
      </c>
      <c r="BD646" s="3">
        <v>45261</v>
      </c>
      <c r="BE646" s="1">
        <v>7.06</v>
      </c>
      <c r="BF646" s="3">
        <v>45300</v>
      </c>
      <c r="BG646" s="1">
        <v>6.57</v>
      </c>
      <c r="BH646" s="3">
        <v>45300</v>
      </c>
      <c r="BI646" s="1">
        <v>6.2050000000000001</v>
      </c>
      <c r="BJ646" s="3">
        <v>45300</v>
      </c>
      <c r="BK646" s="1">
        <v>5.77</v>
      </c>
      <c r="BL646" s="3">
        <v>45300</v>
      </c>
      <c r="BM646" s="1">
        <v>4.72</v>
      </c>
      <c r="BN646" s="3">
        <v>45300</v>
      </c>
      <c r="BO646" s="1">
        <v>3.77</v>
      </c>
      <c r="BP646" s="3">
        <v>45300</v>
      </c>
      <c r="BQ646" s="1">
        <v>3.3149999999999999</v>
      </c>
      <c r="BR646" s="3">
        <v>45300</v>
      </c>
      <c r="BS646" s="1">
        <v>3.165</v>
      </c>
      <c r="BT646" s="3">
        <v>45300</v>
      </c>
      <c r="BU646" s="1">
        <v>3.09</v>
      </c>
      <c r="BV646" s="3">
        <v>45300</v>
      </c>
      <c r="BW646" s="1">
        <v>3.05</v>
      </c>
      <c r="BY646" s="3">
        <v>45260</v>
      </c>
      <c r="BZ646" s="1">
        <v>11.5</v>
      </c>
      <c r="CA646" s="3">
        <v>45252</v>
      </c>
      <c r="CB646" s="1">
        <v>10.82</v>
      </c>
      <c r="CC646" s="3">
        <v>45300</v>
      </c>
      <c r="CD646" s="1">
        <v>9.0299999999999994</v>
      </c>
      <c r="CE646" s="3">
        <v>45300</v>
      </c>
      <c r="CF646" s="1">
        <v>8.1720000000000006</v>
      </c>
      <c r="CG646" s="3">
        <v>45300</v>
      </c>
      <c r="CH646" s="1">
        <v>7.33</v>
      </c>
      <c r="CI646" s="3">
        <v>45300</v>
      </c>
      <c r="CJ646" s="1">
        <v>5.84</v>
      </c>
      <c r="CK646" s="3">
        <v>45300</v>
      </c>
      <c r="CL646" s="1">
        <v>4.96</v>
      </c>
      <c r="CM646" s="3">
        <v>45300</v>
      </c>
      <c r="CN646" s="1">
        <v>4.72</v>
      </c>
      <c r="CO646" s="3">
        <v>45292</v>
      </c>
      <c r="CP646" s="1">
        <v>4.92</v>
      </c>
      <c r="CQ646" s="3">
        <v>45292</v>
      </c>
      <c r="CR646" s="1">
        <v>4.8650000000000002</v>
      </c>
      <c r="CS646" s="3">
        <v>45292</v>
      </c>
      <c r="CT646" s="1">
        <v>4.8650000000000002</v>
      </c>
    </row>
    <row r="647" spans="31:98" x14ac:dyDescent="0.2">
      <c r="AE647" s="3">
        <v>45289</v>
      </c>
      <c r="AF647" s="1">
        <v>5.75</v>
      </c>
      <c r="AG647" s="3">
        <v>45259</v>
      </c>
      <c r="AH647" s="1">
        <v>5.83</v>
      </c>
      <c r="AI647" s="3">
        <v>45299</v>
      </c>
      <c r="AJ647" s="2">
        <v>5.7830000000000004</v>
      </c>
      <c r="AK647" s="3">
        <v>45299</v>
      </c>
      <c r="AL647" s="2">
        <v>5.65</v>
      </c>
      <c r="AM647" s="3">
        <v>45299</v>
      </c>
      <c r="AN647" s="2">
        <v>5.52</v>
      </c>
      <c r="AO647" s="3">
        <v>45299</v>
      </c>
      <c r="AP647" s="2">
        <v>5.1174999999999997</v>
      </c>
      <c r="AQ647" s="3">
        <v>45299</v>
      </c>
      <c r="AR647" s="2">
        <v>4.7350000000000003</v>
      </c>
      <c r="AS647" s="3">
        <v>45299</v>
      </c>
      <c r="AT647" s="2">
        <v>4.41</v>
      </c>
      <c r="AU647" s="3">
        <v>45299</v>
      </c>
      <c r="AV647" s="2">
        <v>4.18</v>
      </c>
      <c r="AW647" s="3">
        <v>45299</v>
      </c>
      <c r="AX647" s="2">
        <v>4.03</v>
      </c>
      <c r="AY647" s="3">
        <v>45299</v>
      </c>
      <c r="AZ647" s="2">
        <v>3.9125000000000001</v>
      </c>
      <c r="BB647" s="3">
        <v>45243</v>
      </c>
      <c r="BC647" s="1">
        <v>7</v>
      </c>
      <c r="BD647" s="3">
        <v>45260</v>
      </c>
      <c r="BE647" s="1">
        <v>7.06</v>
      </c>
      <c r="BF647" s="3">
        <v>45299</v>
      </c>
      <c r="BG647" s="1">
        <v>6.6050000000000004</v>
      </c>
      <c r="BH647" s="3">
        <v>45299</v>
      </c>
      <c r="BI647" s="1">
        <v>6.22</v>
      </c>
      <c r="BJ647" s="3">
        <v>45299</v>
      </c>
      <c r="BK647" s="1">
        <v>5.8</v>
      </c>
      <c r="BL647" s="3">
        <v>45299</v>
      </c>
      <c r="BM647" s="1">
        <v>4.76</v>
      </c>
      <c r="BN647" s="3">
        <v>45299</v>
      </c>
      <c r="BO647" s="1">
        <v>3.82</v>
      </c>
      <c r="BP647" s="3">
        <v>45299</v>
      </c>
      <c r="BQ647" s="1">
        <v>3.36</v>
      </c>
      <c r="BR647" s="3">
        <v>45299</v>
      </c>
      <c r="BS647" s="1">
        <v>3.2050000000000001</v>
      </c>
      <c r="BT647" s="3">
        <v>45299</v>
      </c>
      <c r="BU647" s="1">
        <v>3.14</v>
      </c>
      <c r="BV647" s="3">
        <v>45299</v>
      </c>
      <c r="BW647" s="1">
        <v>3.1</v>
      </c>
      <c r="BY647" s="3">
        <v>45259</v>
      </c>
      <c r="BZ647" s="1">
        <v>11.5</v>
      </c>
      <c r="CA647" s="3">
        <v>45251</v>
      </c>
      <c r="CB647" s="1">
        <v>10.95</v>
      </c>
      <c r="CC647" s="3">
        <v>45299</v>
      </c>
      <c r="CD647" s="1">
        <v>9.0589999999999993</v>
      </c>
      <c r="CE647" s="3">
        <v>45299</v>
      </c>
      <c r="CF647" s="1">
        <v>8.25</v>
      </c>
      <c r="CG647" s="3">
        <v>45299</v>
      </c>
      <c r="CH647" s="1">
        <v>7.48</v>
      </c>
      <c r="CI647" s="3">
        <v>45299</v>
      </c>
      <c r="CJ647" s="1">
        <v>5.98</v>
      </c>
      <c r="CK647" s="3">
        <v>45299</v>
      </c>
      <c r="CL647" s="1">
        <v>5.05</v>
      </c>
      <c r="CM647" s="3">
        <v>45299</v>
      </c>
      <c r="CN647" s="1">
        <v>4.93</v>
      </c>
      <c r="CO647" s="3">
        <v>45289</v>
      </c>
      <c r="CP647" s="1">
        <v>4.92</v>
      </c>
      <c r="CQ647" s="3">
        <v>45289</v>
      </c>
      <c r="CR647" s="1">
        <v>4.8650000000000002</v>
      </c>
      <c r="CS647" s="3">
        <v>45289</v>
      </c>
      <c r="CT647" s="1">
        <v>4.8650000000000002</v>
      </c>
    </row>
    <row r="648" spans="31:98" x14ac:dyDescent="0.2">
      <c r="AE648" s="3">
        <v>45288</v>
      </c>
      <c r="AF648" s="1">
        <v>5.75</v>
      </c>
      <c r="AG648" s="3">
        <v>45258</v>
      </c>
      <c r="AH648" s="1">
        <v>5.83</v>
      </c>
      <c r="AI648" s="3">
        <v>45296</v>
      </c>
      <c r="AJ648" s="2">
        <v>5.8040000000000003</v>
      </c>
      <c r="AK648" s="3">
        <v>45296</v>
      </c>
      <c r="AL648" s="2">
        <v>5.72</v>
      </c>
      <c r="AM648" s="3">
        <v>45296</v>
      </c>
      <c r="AN648" s="2">
        <v>5.5949999999999998</v>
      </c>
      <c r="AO648" s="3">
        <v>45296</v>
      </c>
      <c r="AP648" s="2">
        <v>5.19</v>
      </c>
      <c r="AQ648" s="3">
        <v>45296</v>
      </c>
      <c r="AR648" s="2">
        <v>4.7850000000000001</v>
      </c>
      <c r="AS648" s="3">
        <v>45296</v>
      </c>
      <c r="AT648" s="2">
        <v>4.4450000000000003</v>
      </c>
      <c r="AU648" s="3">
        <v>45296</v>
      </c>
      <c r="AV648" s="2">
        <v>4.2149999999999999</v>
      </c>
      <c r="AW648" s="3">
        <v>45296</v>
      </c>
      <c r="AX648" s="2">
        <v>4.0750000000000002</v>
      </c>
      <c r="AY648" s="3">
        <v>45296</v>
      </c>
      <c r="AZ648" s="2">
        <v>3.9550000000000001</v>
      </c>
      <c r="BB648" s="3">
        <v>45240</v>
      </c>
      <c r="BC648" s="1">
        <v>7</v>
      </c>
      <c r="BD648" s="3">
        <v>45259</v>
      </c>
      <c r="BE648" s="1">
        <v>7.06</v>
      </c>
      <c r="BF648" s="3">
        <v>45296</v>
      </c>
      <c r="BG648" s="1">
        <v>6.62</v>
      </c>
      <c r="BH648" s="3">
        <v>45296</v>
      </c>
      <c r="BI648" s="1">
        <v>6.28</v>
      </c>
      <c r="BJ648" s="3">
        <v>45296</v>
      </c>
      <c r="BK648" s="1">
        <v>5.86</v>
      </c>
      <c r="BL648" s="3">
        <v>45296</v>
      </c>
      <c r="BM648" s="1">
        <v>4.84</v>
      </c>
      <c r="BN648" s="3">
        <v>45296</v>
      </c>
      <c r="BO648" s="1">
        <v>3.94</v>
      </c>
      <c r="BP648" s="3">
        <v>45296</v>
      </c>
      <c r="BQ648" s="1">
        <v>3.4849999999999999</v>
      </c>
      <c r="BR648" s="3">
        <v>45296</v>
      </c>
      <c r="BS648" s="1">
        <v>3.35</v>
      </c>
      <c r="BT648" s="3">
        <v>45296</v>
      </c>
      <c r="BU648" s="1">
        <v>3.3</v>
      </c>
      <c r="BV648" s="3">
        <v>45296</v>
      </c>
      <c r="BW648" s="1">
        <v>3.258</v>
      </c>
      <c r="BY648" s="3">
        <v>45258</v>
      </c>
      <c r="BZ648" s="1">
        <v>11.5</v>
      </c>
      <c r="CA648" s="3">
        <v>45250</v>
      </c>
      <c r="CB648" s="1">
        <v>11.02</v>
      </c>
      <c r="CC648" s="3">
        <v>45296</v>
      </c>
      <c r="CD648" s="1">
        <v>9.1630000000000003</v>
      </c>
      <c r="CE648" s="3">
        <v>45296</v>
      </c>
      <c r="CF648" s="1">
        <v>8.3629999999999995</v>
      </c>
      <c r="CG648" s="3">
        <v>45296</v>
      </c>
      <c r="CH648" s="1">
        <v>7.57</v>
      </c>
      <c r="CI648" s="3">
        <v>45296</v>
      </c>
      <c r="CJ648" s="1">
        <v>6.08</v>
      </c>
      <c r="CK648" s="3">
        <v>45296</v>
      </c>
      <c r="CL648" s="1">
        <v>5.15</v>
      </c>
      <c r="CM648" s="3">
        <v>45296</v>
      </c>
      <c r="CN648" s="1">
        <v>4.9749999999999996</v>
      </c>
      <c r="CO648" s="3">
        <v>45288</v>
      </c>
      <c r="CP648" s="1">
        <v>4.9000000000000004</v>
      </c>
      <c r="CQ648" s="3">
        <v>45288</v>
      </c>
      <c r="CR648" s="1">
        <v>4.8449999999999998</v>
      </c>
      <c r="CS648" s="3">
        <v>45288</v>
      </c>
      <c r="CT648" s="1">
        <v>4.8449999999999998</v>
      </c>
    </row>
    <row r="649" spans="31:98" x14ac:dyDescent="0.2">
      <c r="AE649" s="3">
        <v>45287</v>
      </c>
      <c r="AF649" s="1">
        <v>5.75</v>
      </c>
      <c r="AG649" s="3">
        <v>45257</v>
      </c>
      <c r="AH649" s="1">
        <v>5.84</v>
      </c>
      <c r="AI649" s="3">
        <v>45295</v>
      </c>
      <c r="AJ649" s="2">
        <v>5.819</v>
      </c>
      <c r="AK649" s="3">
        <v>45295</v>
      </c>
      <c r="AL649" s="2">
        <v>5.7450000000000001</v>
      </c>
      <c r="AM649" s="3">
        <v>45295</v>
      </c>
      <c r="AN649" s="2">
        <v>5.6449999999999996</v>
      </c>
      <c r="AO649" s="3">
        <v>45295</v>
      </c>
      <c r="AP649" s="2">
        <v>5.28</v>
      </c>
      <c r="AQ649" s="3">
        <v>45295</v>
      </c>
      <c r="AR649" s="2">
        <v>4.87</v>
      </c>
      <c r="AS649" s="3">
        <v>45295</v>
      </c>
      <c r="AT649" s="2">
        <v>4.5575000000000001</v>
      </c>
      <c r="AU649" s="3">
        <v>45295</v>
      </c>
      <c r="AV649" s="2">
        <v>4.3125</v>
      </c>
      <c r="AW649" s="3">
        <v>45295</v>
      </c>
      <c r="AX649" s="2">
        <v>4.1574999999999998</v>
      </c>
      <c r="AY649" s="3">
        <v>45295</v>
      </c>
      <c r="AZ649" s="2">
        <v>4.0425000000000004</v>
      </c>
      <c r="BB649" s="3">
        <v>45239</v>
      </c>
      <c r="BC649" s="1">
        <v>7</v>
      </c>
      <c r="BD649" s="3">
        <v>45258</v>
      </c>
      <c r="BE649" s="1">
        <v>7.07</v>
      </c>
      <c r="BF649" s="3">
        <v>45295</v>
      </c>
      <c r="BG649" s="1">
        <v>6.61</v>
      </c>
      <c r="BH649" s="3">
        <v>45295</v>
      </c>
      <c r="BI649" s="1">
        <v>6.22</v>
      </c>
      <c r="BJ649" s="3">
        <v>45295</v>
      </c>
      <c r="BK649" s="1">
        <v>5.7850000000000001</v>
      </c>
      <c r="BL649" s="3">
        <v>45295</v>
      </c>
      <c r="BM649" s="1">
        <v>4.7249999999999996</v>
      </c>
      <c r="BN649" s="3">
        <v>45295</v>
      </c>
      <c r="BO649" s="1">
        <v>3.835</v>
      </c>
      <c r="BP649" s="3">
        <v>45295</v>
      </c>
      <c r="BQ649" s="1">
        <v>3.3929999999999998</v>
      </c>
      <c r="BR649" s="3">
        <v>45295</v>
      </c>
      <c r="BS649" s="1">
        <v>3.2879999999999998</v>
      </c>
      <c r="BT649" s="3">
        <v>45295</v>
      </c>
      <c r="BU649" s="1">
        <v>3.27</v>
      </c>
      <c r="BV649" s="3">
        <v>45295</v>
      </c>
      <c r="BW649" s="1">
        <v>3.2280000000000002</v>
      </c>
      <c r="BY649" s="3">
        <v>45257</v>
      </c>
      <c r="BZ649" s="1">
        <v>11.5</v>
      </c>
      <c r="CA649" s="3">
        <v>45247</v>
      </c>
      <c r="CB649" s="1">
        <v>11.08</v>
      </c>
      <c r="CC649" s="3">
        <v>45295</v>
      </c>
      <c r="CD649" s="1">
        <v>9.2100000000000009</v>
      </c>
      <c r="CE649" s="3">
        <v>45295</v>
      </c>
      <c r="CF649" s="1">
        <v>8.48</v>
      </c>
      <c r="CG649" s="3">
        <v>45295</v>
      </c>
      <c r="CH649" s="1">
        <v>7.75</v>
      </c>
      <c r="CI649" s="3">
        <v>45295</v>
      </c>
      <c r="CJ649" s="1">
        <v>6.2</v>
      </c>
      <c r="CK649" s="3">
        <v>45295</v>
      </c>
      <c r="CL649" s="1">
        <v>5.28</v>
      </c>
      <c r="CM649" s="3">
        <v>45295</v>
      </c>
      <c r="CN649" s="1">
        <v>5.085</v>
      </c>
      <c r="CO649" s="3">
        <v>45287</v>
      </c>
      <c r="CP649" s="1">
        <v>4.91</v>
      </c>
      <c r="CQ649" s="3">
        <v>45287</v>
      </c>
      <c r="CR649" s="1">
        <v>4.8600000000000003</v>
      </c>
      <c r="CS649" s="3">
        <v>45287</v>
      </c>
      <c r="CT649" s="1">
        <v>4.87</v>
      </c>
    </row>
    <row r="650" spans="31:98" x14ac:dyDescent="0.2">
      <c r="AE650" s="3">
        <v>45286</v>
      </c>
      <c r="AF650" s="1">
        <v>5.75</v>
      </c>
      <c r="AG650" s="3">
        <v>45254</v>
      </c>
      <c r="AH650" s="1">
        <v>5.83</v>
      </c>
      <c r="AI650" s="3">
        <v>45294</v>
      </c>
      <c r="AJ650" s="2">
        <v>5.8254999999999999</v>
      </c>
      <c r="AK650" s="3">
        <v>45294</v>
      </c>
      <c r="AL650" s="2">
        <v>5.7450000000000001</v>
      </c>
      <c r="AM650" s="3">
        <v>45294</v>
      </c>
      <c r="AN650" s="2">
        <v>5.6449999999999996</v>
      </c>
      <c r="AO650" s="3">
        <v>45294</v>
      </c>
      <c r="AP650" s="2">
        <v>5.27</v>
      </c>
      <c r="AQ650" s="3">
        <v>45294</v>
      </c>
      <c r="AR650" s="2">
        <v>4.82</v>
      </c>
      <c r="AS650" s="3">
        <v>45294</v>
      </c>
      <c r="AT650" s="2">
        <v>4.5149999999999997</v>
      </c>
      <c r="AU650" s="3">
        <v>45294</v>
      </c>
      <c r="AV650" s="2">
        <v>4.28</v>
      </c>
      <c r="AW650" s="3">
        <v>45294</v>
      </c>
      <c r="AX650" s="2">
        <v>4.1349999999999998</v>
      </c>
      <c r="AY650" s="3">
        <v>45294</v>
      </c>
      <c r="AZ650" s="2">
        <v>4.01</v>
      </c>
      <c r="BB650" s="3">
        <v>45238</v>
      </c>
      <c r="BC650" s="1">
        <v>7</v>
      </c>
      <c r="BD650" s="3">
        <v>45257</v>
      </c>
      <c r="BE650" s="1">
        <v>7.07</v>
      </c>
      <c r="BF650" s="3">
        <v>45294</v>
      </c>
      <c r="BG650" s="1">
        <v>6.6550000000000002</v>
      </c>
      <c r="BH650" s="3">
        <v>45294</v>
      </c>
      <c r="BI650" s="1">
        <v>6.2380000000000004</v>
      </c>
      <c r="BJ650" s="3">
        <v>45294</v>
      </c>
      <c r="BK650" s="1">
        <v>5.78</v>
      </c>
      <c r="BL650" s="3">
        <v>45294</v>
      </c>
      <c r="BM650" s="1">
        <v>4.7</v>
      </c>
      <c r="BN650" s="3">
        <v>45294</v>
      </c>
      <c r="BO650" s="1">
        <v>3.75</v>
      </c>
      <c r="BP650" s="3">
        <v>45294</v>
      </c>
      <c r="BQ650" s="1">
        <v>3.3149999999999999</v>
      </c>
      <c r="BR650" s="3">
        <v>45294</v>
      </c>
      <c r="BS650" s="1">
        <v>3.2050000000000001</v>
      </c>
      <c r="BT650" s="3">
        <v>45294</v>
      </c>
      <c r="BU650" s="1">
        <v>3.18</v>
      </c>
      <c r="BV650" s="3">
        <v>45294</v>
      </c>
      <c r="BW650" s="1">
        <v>3.15</v>
      </c>
      <c r="BY650" s="3">
        <v>45254</v>
      </c>
      <c r="BZ650" s="1">
        <v>11.5</v>
      </c>
      <c r="CA650" s="3">
        <v>45246</v>
      </c>
      <c r="CB650" s="1">
        <v>11.11</v>
      </c>
      <c r="CC650" s="3">
        <v>45294</v>
      </c>
      <c r="CD650" s="1">
        <v>9.2829999999999995</v>
      </c>
      <c r="CE650" s="3">
        <v>45294</v>
      </c>
      <c r="CF650" s="1">
        <v>8.5690000000000008</v>
      </c>
      <c r="CG650" s="3">
        <v>45294</v>
      </c>
      <c r="CH650" s="1">
        <v>7.89</v>
      </c>
      <c r="CI650" s="3">
        <v>45294</v>
      </c>
      <c r="CJ650" s="1">
        <v>6.29</v>
      </c>
      <c r="CK650" s="3">
        <v>45294</v>
      </c>
      <c r="CL650" s="1">
        <v>5.29</v>
      </c>
      <c r="CM650" s="3">
        <v>45294</v>
      </c>
      <c r="CN650" s="1">
        <v>5.16</v>
      </c>
      <c r="CO650" s="3">
        <v>45286</v>
      </c>
      <c r="CP650" s="1">
        <v>4.71</v>
      </c>
      <c r="CQ650" s="3">
        <v>45286</v>
      </c>
      <c r="CR650" s="1">
        <v>4.83</v>
      </c>
      <c r="CS650" s="3">
        <v>45286</v>
      </c>
      <c r="CT650" s="1">
        <v>4.95</v>
      </c>
    </row>
    <row r="651" spans="31:98" x14ac:dyDescent="0.2">
      <c r="AE651" s="3">
        <v>45285</v>
      </c>
      <c r="AF651" s="1">
        <v>5.75</v>
      </c>
      <c r="AG651" s="3">
        <v>45253</v>
      </c>
      <c r="AH651" s="1">
        <v>5.83</v>
      </c>
      <c r="AI651" s="3">
        <v>45293</v>
      </c>
      <c r="AJ651" s="2">
        <v>5.8244999999999996</v>
      </c>
      <c r="AK651" s="3">
        <v>45293</v>
      </c>
      <c r="AL651" s="2">
        <v>5.76</v>
      </c>
      <c r="AM651" s="3">
        <v>45293</v>
      </c>
      <c r="AN651" s="2">
        <v>5.6550000000000002</v>
      </c>
      <c r="AO651" s="3">
        <v>45293</v>
      </c>
      <c r="AP651" s="2">
        <v>5.3049999999999997</v>
      </c>
      <c r="AQ651" s="3">
        <v>45293</v>
      </c>
      <c r="AR651" s="2">
        <v>4.8899999999999997</v>
      </c>
      <c r="AS651" s="3">
        <v>45293</v>
      </c>
      <c r="AT651" s="2">
        <v>4.5549999999999997</v>
      </c>
      <c r="AU651" s="3">
        <v>45293</v>
      </c>
      <c r="AV651" s="2">
        <v>4.3250000000000002</v>
      </c>
      <c r="AW651" s="3">
        <v>45293</v>
      </c>
      <c r="AX651" s="2">
        <v>4.18</v>
      </c>
      <c r="AY651" s="3">
        <v>45293</v>
      </c>
      <c r="AZ651" s="2">
        <v>4.05</v>
      </c>
      <c r="BB651" s="3">
        <v>45237</v>
      </c>
      <c r="BC651" s="1">
        <v>7</v>
      </c>
      <c r="BD651" s="3">
        <v>45254</v>
      </c>
      <c r="BE651" s="1">
        <v>7.07</v>
      </c>
      <c r="BF651" s="3">
        <v>45293</v>
      </c>
      <c r="BG651" s="1">
        <v>6.67</v>
      </c>
      <c r="BH651" s="3">
        <v>45293</v>
      </c>
      <c r="BI651" s="1">
        <v>6.23</v>
      </c>
      <c r="BJ651" s="3">
        <v>45293</v>
      </c>
      <c r="BK651" s="1">
        <v>5.7850000000000001</v>
      </c>
      <c r="BL651" s="3">
        <v>45293</v>
      </c>
      <c r="BM651" s="1">
        <v>4.6849999999999996</v>
      </c>
      <c r="BN651" s="3">
        <v>45293</v>
      </c>
      <c r="BO651" s="1">
        <v>3.7149999999999999</v>
      </c>
      <c r="BP651" s="3">
        <v>45293</v>
      </c>
      <c r="BQ651" s="1">
        <v>3.26</v>
      </c>
      <c r="BR651" s="3">
        <v>45293</v>
      </c>
      <c r="BS651" s="1">
        <v>3.16</v>
      </c>
      <c r="BT651" s="3">
        <v>45293</v>
      </c>
      <c r="BU651" s="1">
        <v>3.1349999999999998</v>
      </c>
      <c r="BV651" s="3">
        <v>45293</v>
      </c>
      <c r="BW651" s="1">
        <v>3.113</v>
      </c>
      <c r="BY651" s="3">
        <v>45253</v>
      </c>
      <c r="BZ651" s="1">
        <v>11.5</v>
      </c>
      <c r="CA651" s="3">
        <v>45245</v>
      </c>
      <c r="CB651" s="1">
        <v>11.14</v>
      </c>
      <c r="CC651" s="3">
        <v>45293</v>
      </c>
      <c r="CD651" s="1">
        <v>9.2989999999999995</v>
      </c>
      <c r="CE651" s="3">
        <v>45293</v>
      </c>
      <c r="CF651" s="1">
        <v>8.5950000000000006</v>
      </c>
      <c r="CG651" s="3">
        <v>45293</v>
      </c>
      <c r="CH651" s="1">
        <v>7.92</v>
      </c>
      <c r="CI651" s="3">
        <v>45293</v>
      </c>
      <c r="CJ651" s="1">
        <v>6.31</v>
      </c>
      <c r="CK651" s="3">
        <v>45293</v>
      </c>
      <c r="CL651" s="1">
        <v>5.27</v>
      </c>
      <c r="CM651" s="3">
        <v>45293</v>
      </c>
      <c r="CN651" s="1">
        <v>5.0449999999999999</v>
      </c>
      <c r="CO651" s="3">
        <v>45285</v>
      </c>
      <c r="CP651" s="1">
        <v>4.91</v>
      </c>
      <c r="CQ651" s="3">
        <v>45285</v>
      </c>
      <c r="CR651" s="1">
        <v>4.8600000000000003</v>
      </c>
      <c r="CS651" s="3">
        <v>45285</v>
      </c>
      <c r="CT651" s="1">
        <v>4.87</v>
      </c>
    </row>
    <row r="652" spans="31:98" x14ac:dyDescent="0.2">
      <c r="AE652" s="3">
        <v>45282</v>
      </c>
      <c r="AF652" s="1">
        <v>5.75</v>
      </c>
      <c r="AG652" s="3">
        <v>45252</v>
      </c>
      <c r="AH652" s="1">
        <v>5.84</v>
      </c>
      <c r="AI652" s="3">
        <v>45292</v>
      </c>
      <c r="AJ652" s="2">
        <v>5.8232999999999997</v>
      </c>
      <c r="AK652" s="3">
        <v>45292</v>
      </c>
      <c r="AL652" s="2">
        <v>5.7450000000000001</v>
      </c>
      <c r="AM652" s="3">
        <v>45292</v>
      </c>
      <c r="AN652" s="2">
        <v>5.62</v>
      </c>
      <c r="AO652" s="3">
        <v>45292</v>
      </c>
      <c r="AP652" s="2">
        <v>5.2450000000000001</v>
      </c>
      <c r="AQ652" s="3">
        <v>45292</v>
      </c>
      <c r="AR652" s="2">
        <v>4.82</v>
      </c>
      <c r="AS652" s="3">
        <v>45292</v>
      </c>
      <c r="AT652" s="2">
        <v>4.4524999999999997</v>
      </c>
      <c r="AU652" s="3">
        <v>45292</v>
      </c>
      <c r="AV652" s="2">
        <v>4.2149999999999999</v>
      </c>
      <c r="AW652" s="3">
        <v>45292</v>
      </c>
      <c r="AX652" s="2">
        <v>4.07</v>
      </c>
      <c r="AY652" s="3">
        <v>45292</v>
      </c>
      <c r="AZ652" s="2">
        <v>3.9474999999999998</v>
      </c>
      <c r="BB652" s="3">
        <v>45236</v>
      </c>
      <c r="BC652" s="1">
        <v>7</v>
      </c>
      <c r="BD652" s="3">
        <v>45253</v>
      </c>
      <c r="BE652" s="1">
        <v>7.08</v>
      </c>
      <c r="BF652" s="3">
        <v>45292</v>
      </c>
      <c r="BG652" s="1">
        <v>6.66</v>
      </c>
      <c r="BH652" s="3">
        <v>45292</v>
      </c>
      <c r="BI652" s="1">
        <v>6.2409999999999997</v>
      </c>
      <c r="BJ652" s="3">
        <v>45292</v>
      </c>
      <c r="BK652" s="1">
        <v>5.75</v>
      </c>
      <c r="BL652" s="3">
        <v>45292</v>
      </c>
      <c r="BM652" s="1">
        <v>4.6150000000000002</v>
      </c>
      <c r="BN652" s="3">
        <v>45292</v>
      </c>
      <c r="BO652" s="1">
        <v>3.6349999999999998</v>
      </c>
      <c r="BP652" s="3">
        <v>45292</v>
      </c>
      <c r="BQ652" s="1">
        <v>3.165</v>
      </c>
      <c r="BR652" s="3">
        <v>45292</v>
      </c>
      <c r="BS652" s="1">
        <v>3.0750000000000002</v>
      </c>
      <c r="BT652" s="3">
        <v>45292</v>
      </c>
      <c r="BU652" s="1">
        <v>3.0350000000000001</v>
      </c>
      <c r="BV652" s="3">
        <v>45292</v>
      </c>
      <c r="BW652" s="1">
        <v>3.0179999999999998</v>
      </c>
      <c r="BY652" s="3">
        <v>45252</v>
      </c>
      <c r="BZ652" s="1">
        <v>11.5</v>
      </c>
      <c r="CA652" s="3">
        <v>45244</v>
      </c>
      <c r="CB652" s="1">
        <v>11.19</v>
      </c>
      <c r="CC652" s="3">
        <v>45292</v>
      </c>
      <c r="CD652" s="1">
        <v>9.3146000000000004</v>
      </c>
      <c r="CE652" s="3">
        <v>45292</v>
      </c>
      <c r="CF652" s="1">
        <v>8.5338999999999992</v>
      </c>
      <c r="CG652" s="3">
        <v>45292</v>
      </c>
      <c r="CH652" s="1">
        <v>7.8173000000000004</v>
      </c>
      <c r="CI652" s="3">
        <v>45292</v>
      </c>
      <c r="CJ652" s="1">
        <v>6.1928999999999998</v>
      </c>
      <c r="CK652" s="3">
        <v>45292</v>
      </c>
      <c r="CL652" s="1">
        <v>5.1359000000000004</v>
      </c>
      <c r="CM652" s="3">
        <v>45292</v>
      </c>
      <c r="CN652" s="1">
        <v>4.91</v>
      </c>
      <c r="CO652" s="3">
        <v>45282</v>
      </c>
      <c r="CP652" s="1">
        <v>4.91</v>
      </c>
      <c r="CQ652" s="3">
        <v>45282</v>
      </c>
      <c r="CR652" s="1">
        <v>4.8600000000000003</v>
      </c>
      <c r="CS652" s="3">
        <v>45282</v>
      </c>
      <c r="CT652" s="1">
        <v>4.87</v>
      </c>
    </row>
    <row r="653" spans="31:98" x14ac:dyDescent="0.2">
      <c r="AE653" s="3">
        <v>45281</v>
      </c>
      <c r="AF653" s="1">
        <v>5.75</v>
      </c>
      <c r="AG653" s="3">
        <v>45251</v>
      </c>
      <c r="AH653" s="1">
        <v>5.82</v>
      </c>
      <c r="AI653" s="3">
        <v>45289</v>
      </c>
      <c r="AJ653" s="2">
        <v>5.8209999999999997</v>
      </c>
      <c r="AK653" s="3">
        <v>45289</v>
      </c>
      <c r="AL653" s="2">
        <v>5.7450000000000001</v>
      </c>
      <c r="AM653" s="3">
        <v>45289</v>
      </c>
      <c r="AN653" s="2">
        <v>5.62</v>
      </c>
      <c r="AO653" s="3">
        <v>45289</v>
      </c>
      <c r="AP653" s="2">
        <v>5.2450000000000001</v>
      </c>
      <c r="AQ653" s="3">
        <v>45289</v>
      </c>
      <c r="AR653" s="2">
        <v>4.82</v>
      </c>
      <c r="AS653" s="3">
        <v>45289</v>
      </c>
      <c r="AT653" s="2">
        <v>4.4524999999999997</v>
      </c>
      <c r="AU653" s="3">
        <v>45289</v>
      </c>
      <c r="AV653" s="2">
        <v>4.2149999999999999</v>
      </c>
      <c r="AW653" s="3">
        <v>45289</v>
      </c>
      <c r="AX653" s="2">
        <v>4.07</v>
      </c>
      <c r="AY653" s="3">
        <v>45289</v>
      </c>
      <c r="AZ653" s="2">
        <v>3.9474999999999998</v>
      </c>
      <c r="BB653" s="3">
        <v>45233</v>
      </c>
      <c r="BC653" s="1">
        <v>7</v>
      </c>
      <c r="BD653" s="3">
        <v>45252</v>
      </c>
      <c r="BE653" s="1">
        <v>7.07</v>
      </c>
      <c r="BF653" s="3">
        <v>45289</v>
      </c>
      <c r="BG653" s="1">
        <v>6.67</v>
      </c>
      <c r="BH653" s="3">
        <v>45289</v>
      </c>
      <c r="BI653" s="1">
        <v>6.22</v>
      </c>
      <c r="BJ653" s="3">
        <v>45289</v>
      </c>
      <c r="BK653" s="1">
        <v>5.75</v>
      </c>
      <c r="BL653" s="3">
        <v>45289</v>
      </c>
      <c r="BM653" s="1">
        <v>4.6150000000000002</v>
      </c>
      <c r="BN653" s="3">
        <v>45289</v>
      </c>
      <c r="BO653" s="1">
        <v>3.6349999999999998</v>
      </c>
      <c r="BP653" s="3">
        <v>45289</v>
      </c>
      <c r="BQ653" s="1">
        <v>3.165</v>
      </c>
      <c r="BR653" s="3">
        <v>45289</v>
      </c>
      <c r="BS653" s="1">
        <v>3.0750000000000002</v>
      </c>
      <c r="BT653" s="3">
        <v>45289</v>
      </c>
      <c r="BU653" s="1">
        <v>3.0350000000000001</v>
      </c>
      <c r="BV653" s="3">
        <v>45289</v>
      </c>
      <c r="BW653" s="1">
        <v>3.0179999999999998</v>
      </c>
      <c r="BY653" s="3">
        <v>45251</v>
      </c>
      <c r="BZ653" s="1">
        <v>12.25</v>
      </c>
      <c r="CA653" s="3">
        <v>45243</v>
      </c>
      <c r="CB653" s="1">
        <v>11.22</v>
      </c>
      <c r="CC653" s="3">
        <v>45289</v>
      </c>
      <c r="CD653" s="1">
        <v>9.2579999999999991</v>
      </c>
      <c r="CE653" s="3">
        <v>45289</v>
      </c>
      <c r="CF653" s="1">
        <v>8.4760000000000009</v>
      </c>
      <c r="CG653" s="3">
        <v>45289</v>
      </c>
      <c r="CH653" s="1">
        <v>7.77</v>
      </c>
      <c r="CI653" s="3">
        <v>45289</v>
      </c>
      <c r="CJ653" s="1">
        <v>6.16</v>
      </c>
      <c r="CK653" s="3">
        <v>45289</v>
      </c>
      <c r="CL653" s="1">
        <v>5.12</v>
      </c>
      <c r="CM653" s="3">
        <v>45289</v>
      </c>
      <c r="CN653" s="1">
        <v>4.93</v>
      </c>
      <c r="CO653" s="3">
        <v>45281</v>
      </c>
      <c r="CP653" s="1">
        <v>4.8499999999999996</v>
      </c>
      <c r="CQ653" s="3">
        <v>45281</v>
      </c>
      <c r="CR653" s="1">
        <v>4.82</v>
      </c>
      <c r="CS653" s="3">
        <v>45281</v>
      </c>
      <c r="CT653" s="1">
        <v>4.83</v>
      </c>
    </row>
    <row r="654" spans="31:98" x14ac:dyDescent="0.2">
      <c r="AE654" s="3">
        <v>45280</v>
      </c>
      <c r="AF654" s="1">
        <v>5.75</v>
      </c>
      <c r="AG654" s="3">
        <v>45250</v>
      </c>
      <c r="AH654" s="1">
        <v>5.83</v>
      </c>
      <c r="AI654" s="3">
        <v>45288</v>
      </c>
      <c r="AJ654" s="2">
        <v>5.8239999999999998</v>
      </c>
      <c r="AK654" s="3">
        <v>45288</v>
      </c>
      <c r="AL654" s="2">
        <v>5.7450000000000001</v>
      </c>
      <c r="AM654" s="3">
        <v>45288</v>
      </c>
      <c r="AN654" s="2">
        <v>5.62</v>
      </c>
      <c r="AO654" s="3">
        <v>45288</v>
      </c>
      <c r="AP654" s="2">
        <v>5.2249999999999996</v>
      </c>
      <c r="AQ654" s="3">
        <v>45288</v>
      </c>
      <c r="AR654" s="2">
        <v>4.8099999999999996</v>
      </c>
      <c r="AS654" s="3">
        <v>45288</v>
      </c>
      <c r="AT654" s="2">
        <v>4.4275000000000002</v>
      </c>
      <c r="AU654" s="3">
        <v>45288</v>
      </c>
      <c r="AV654" s="2">
        <v>4.1749999999999998</v>
      </c>
      <c r="AW654" s="3">
        <v>45288</v>
      </c>
      <c r="AX654" s="2">
        <v>4.0149999999999997</v>
      </c>
      <c r="AY654" s="3">
        <v>45288</v>
      </c>
      <c r="AZ654" s="2">
        <v>3.88</v>
      </c>
      <c r="BB654" s="3">
        <v>45232</v>
      </c>
      <c r="BC654" s="1">
        <v>7</v>
      </c>
      <c r="BD654" s="3">
        <v>45251</v>
      </c>
      <c r="BE654" s="1">
        <v>7.07</v>
      </c>
      <c r="BF654" s="3">
        <v>45288</v>
      </c>
      <c r="BG654" s="1">
        <v>6.67</v>
      </c>
      <c r="BH654" s="3">
        <v>45288</v>
      </c>
      <c r="BI654" s="1">
        <v>6.2249999999999996</v>
      </c>
      <c r="BJ654" s="3">
        <v>45288</v>
      </c>
      <c r="BK654" s="1">
        <v>5.7629999999999999</v>
      </c>
      <c r="BL654" s="3">
        <v>45288</v>
      </c>
      <c r="BM654" s="1">
        <v>4.6580000000000004</v>
      </c>
      <c r="BN654" s="3">
        <v>45288</v>
      </c>
      <c r="BO654" s="1">
        <v>3.6749999999999998</v>
      </c>
      <c r="BP654" s="3">
        <v>45288</v>
      </c>
      <c r="BQ654" s="1">
        <v>3.2130000000000001</v>
      </c>
      <c r="BR654" s="3">
        <v>45288</v>
      </c>
      <c r="BS654" s="1">
        <v>3.1230000000000002</v>
      </c>
      <c r="BT654" s="3">
        <v>45288</v>
      </c>
      <c r="BU654" s="1">
        <v>3.07</v>
      </c>
      <c r="BV654" s="3">
        <v>45288</v>
      </c>
      <c r="BW654" s="1">
        <v>3.0529999999999999</v>
      </c>
      <c r="BY654" s="3">
        <v>45250</v>
      </c>
      <c r="BZ654" s="1">
        <v>12.25</v>
      </c>
      <c r="CA654" s="3">
        <v>45240</v>
      </c>
      <c r="CB654" s="1">
        <v>11.24</v>
      </c>
      <c r="CC654" s="3">
        <v>45288</v>
      </c>
      <c r="CD654" s="1">
        <v>9.2650000000000006</v>
      </c>
      <c r="CE654" s="3">
        <v>45288</v>
      </c>
      <c r="CF654" s="1">
        <v>8.48</v>
      </c>
      <c r="CG654" s="3">
        <v>45288</v>
      </c>
      <c r="CH654" s="1">
        <v>7.77</v>
      </c>
      <c r="CI654" s="3">
        <v>45288</v>
      </c>
      <c r="CJ654" s="1">
        <v>6.16</v>
      </c>
      <c r="CK654" s="3">
        <v>45288</v>
      </c>
      <c r="CL654" s="1">
        <v>5.12</v>
      </c>
      <c r="CM654" s="3">
        <v>45288</v>
      </c>
      <c r="CN654" s="1">
        <v>4.91</v>
      </c>
      <c r="CO654" s="3">
        <v>45280</v>
      </c>
      <c r="CP654" s="1">
        <v>4.6399999999999997</v>
      </c>
      <c r="CQ654" s="3">
        <v>45280</v>
      </c>
      <c r="CR654" s="1">
        <v>4.63</v>
      </c>
      <c r="CS654" s="3">
        <v>45280</v>
      </c>
      <c r="CT654" s="1">
        <v>4.6900000000000004</v>
      </c>
    </row>
    <row r="655" spans="31:98" x14ac:dyDescent="0.2">
      <c r="AE655" s="3">
        <v>45279</v>
      </c>
      <c r="AF655" s="1">
        <v>5.75</v>
      </c>
      <c r="AG655" s="3">
        <v>45247</v>
      </c>
      <c r="AH655" s="1">
        <v>5.81</v>
      </c>
      <c r="AI655" s="3">
        <v>45287</v>
      </c>
      <c r="AJ655" s="2">
        <v>5.8388</v>
      </c>
      <c r="AK655" s="3">
        <v>45287</v>
      </c>
      <c r="AL655" s="2">
        <v>5.7549999999999999</v>
      </c>
      <c r="AM655" s="3">
        <v>45287</v>
      </c>
      <c r="AN655" s="2">
        <v>5.62</v>
      </c>
      <c r="AO655" s="3">
        <v>45287</v>
      </c>
      <c r="AP655" s="2">
        <v>5.22</v>
      </c>
      <c r="AQ655" s="3">
        <v>45287</v>
      </c>
      <c r="AR655" s="2">
        <v>4.8049999999999997</v>
      </c>
      <c r="AS655" s="3">
        <v>45287</v>
      </c>
      <c r="AT655" s="2">
        <v>4.4225000000000003</v>
      </c>
      <c r="AU655" s="3">
        <v>45287</v>
      </c>
      <c r="AV655" s="2">
        <v>4.1675000000000004</v>
      </c>
      <c r="AW655" s="3">
        <v>45287</v>
      </c>
      <c r="AX655" s="2">
        <v>3.9925000000000002</v>
      </c>
      <c r="AY655" s="3">
        <v>45287</v>
      </c>
      <c r="AZ655" s="2">
        <v>3.8525</v>
      </c>
      <c r="BB655" s="3">
        <v>45231</v>
      </c>
      <c r="BC655" s="1">
        <v>7</v>
      </c>
      <c r="BD655" s="3">
        <v>45250</v>
      </c>
      <c r="BE655" s="1">
        <v>7.08</v>
      </c>
      <c r="BF655" s="3">
        <v>45287</v>
      </c>
      <c r="BG655" s="1">
        <v>6.67</v>
      </c>
      <c r="BH655" s="3">
        <v>45287</v>
      </c>
      <c r="BI655" s="1">
        <v>6.2350000000000003</v>
      </c>
      <c r="BJ655" s="3">
        <v>45287</v>
      </c>
      <c r="BK655" s="1">
        <v>5.7729999999999997</v>
      </c>
      <c r="BL655" s="3">
        <v>45287</v>
      </c>
      <c r="BM655" s="1">
        <v>4.9379999999999997</v>
      </c>
      <c r="BN655" s="3">
        <v>45287</v>
      </c>
      <c r="BO655" s="1">
        <v>3.85</v>
      </c>
      <c r="BP655" s="3">
        <v>45287</v>
      </c>
      <c r="BQ655" s="1">
        <v>3.2749999999999999</v>
      </c>
      <c r="BR655" s="3">
        <v>45287</v>
      </c>
      <c r="BS655" s="1">
        <v>3.1930000000000001</v>
      </c>
      <c r="BT655" s="3">
        <v>45287</v>
      </c>
      <c r="BU655" s="1">
        <v>3.153</v>
      </c>
      <c r="BV655" s="3">
        <v>45287</v>
      </c>
      <c r="BW655" s="1">
        <v>3.14</v>
      </c>
      <c r="BY655" s="3">
        <v>45247</v>
      </c>
      <c r="BZ655" s="1">
        <v>12.25</v>
      </c>
      <c r="CA655" s="3">
        <v>45239</v>
      </c>
      <c r="CB655" s="1">
        <v>11.29</v>
      </c>
      <c r="CC655" s="3">
        <v>45287</v>
      </c>
      <c r="CD655" s="1">
        <v>9.4120000000000008</v>
      </c>
      <c r="CE655" s="3">
        <v>45287</v>
      </c>
      <c r="CF655" s="1">
        <v>8.6590000000000007</v>
      </c>
      <c r="CG655" s="3">
        <v>45287</v>
      </c>
      <c r="CH655" s="1">
        <v>7.97</v>
      </c>
      <c r="CI655" s="3">
        <v>45287</v>
      </c>
      <c r="CJ655" s="1">
        <v>6.16</v>
      </c>
      <c r="CK655" s="3">
        <v>45287</v>
      </c>
      <c r="CL655" s="1">
        <v>5.1100000000000003</v>
      </c>
      <c r="CM655" s="3">
        <v>45287</v>
      </c>
      <c r="CN655" s="1">
        <v>4.915</v>
      </c>
      <c r="CO655" s="3">
        <v>45279</v>
      </c>
      <c r="CP655" s="1">
        <v>4.6500000000000004</v>
      </c>
      <c r="CQ655" s="3">
        <v>45279</v>
      </c>
      <c r="CR655" s="1">
        <v>4.665</v>
      </c>
      <c r="CS655" s="3">
        <v>45279</v>
      </c>
      <c r="CT655" s="1">
        <v>4.7</v>
      </c>
    </row>
    <row r="656" spans="31:98" x14ac:dyDescent="0.2">
      <c r="AE656" s="3">
        <v>45278</v>
      </c>
      <c r="AF656" s="1">
        <v>5.75</v>
      </c>
      <c r="AG656" s="3">
        <v>45246</v>
      </c>
      <c r="AH656" s="1">
        <v>5.82</v>
      </c>
      <c r="AI656" s="3">
        <v>45286</v>
      </c>
      <c r="AJ656" s="2">
        <v>5.827</v>
      </c>
      <c r="AK656" s="3">
        <v>45286</v>
      </c>
      <c r="AL656" s="2">
        <v>5.75</v>
      </c>
      <c r="AM656" s="3">
        <v>45286</v>
      </c>
      <c r="AN656" s="2">
        <v>5.59</v>
      </c>
      <c r="AO656" s="3">
        <v>45286</v>
      </c>
      <c r="AP656" s="2">
        <v>5.12</v>
      </c>
      <c r="AQ656" s="3">
        <v>45286</v>
      </c>
      <c r="AR656" s="2">
        <v>4.6900000000000004</v>
      </c>
      <c r="AS656" s="3">
        <v>45286</v>
      </c>
      <c r="AT656" s="2">
        <v>4.3025000000000002</v>
      </c>
      <c r="AU656" s="3">
        <v>45286</v>
      </c>
      <c r="AV656" s="2">
        <v>4.0475000000000003</v>
      </c>
      <c r="AW656" s="3">
        <v>45286</v>
      </c>
      <c r="AX656" s="2">
        <v>3.8925000000000001</v>
      </c>
      <c r="AY656" s="3">
        <v>45286</v>
      </c>
      <c r="AZ656" s="2">
        <v>3.7524999999999999</v>
      </c>
      <c r="BB656" s="3">
        <v>45230</v>
      </c>
      <c r="BC656" s="1">
        <v>7</v>
      </c>
      <c r="BD656" s="3">
        <v>45246</v>
      </c>
      <c r="BE656" s="1">
        <v>7.08</v>
      </c>
      <c r="BF656" s="3">
        <v>45286</v>
      </c>
      <c r="BG656" s="1">
        <v>6.66</v>
      </c>
      <c r="BH656" s="3">
        <v>45286</v>
      </c>
      <c r="BI656" s="1">
        <v>6.234</v>
      </c>
      <c r="BJ656" s="3">
        <v>45286</v>
      </c>
      <c r="BK656" s="1">
        <v>5.78</v>
      </c>
      <c r="BL656" s="3">
        <v>45286</v>
      </c>
      <c r="BM656" s="1">
        <v>4.96</v>
      </c>
      <c r="BN656" s="3">
        <v>45286</v>
      </c>
      <c r="BO656" s="1">
        <v>3.74</v>
      </c>
      <c r="BP656" s="3">
        <v>45286</v>
      </c>
      <c r="BQ656" s="1">
        <v>3.3149999999999999</v>
      </c>
      <c r="BR656" s="3">
        <v>45286</v>
      </c>
      <c r="BS656" s="1">
        <v>3.2349999999999999</v>
      </c>
      <c r="BT656" s="3">
        <v>45286</v>
      </c>
      <c r="BU656" s="1">
        <v>3.19</v>
      </c>
      <c r="BV656" s="3">
        <v>45286</v>
      </c>
      <c r="BW656" s="1">
        <v>3.1749999999999998</v>
      </c>
      <c r="BY656" s="3">
        <v>45246</v>
      </c>
      <c r="BZ656" s="1">
        <v>12.25</v>
      </c>
      <c r="CA656" s="3">
        <v>45238</v>
      </c>
      <c r="CB656" s="1">
        <v>11.3</v>
      </c>
      <c r="CC656" s="3">
        <v>45286</v>
      </c>
      <c r="CD656" s="1">
        <v>9.4868000000000006</v>
      </c>
      <c r="CE656" s="3">
        <v>45286</v>
      </c>
      <c r="CF656" s="1">
        <v>8.7357999999999993</v>
      </c>
      <c r="CG656" s="3">
        <v>45286</v>
      </c>
      <c r="CH656" s="1">
        <v>8.0324000000000009</v>
      </c>
      <c r="CI656" s="3">
        <v>45286</v>
      </c>
      <c r="CJ656" s="1">
        <v>6.2053000000000003</v>
      </c>
      <c r="CK656" s="3">
        <v>45286</v>
      </c>
      <c r="CL656" s="1">
        <v>5.1322999999999999</v>
      </c>
      <c r="CM656" s="3">
        <v>45286</v>
      </c>
      <c r="CN656" s="1">
        <v>4.9000000000000004</v>
      </c>
      <c r="CO656" s="3">
        <v>45278</v>
      </c>
      <c r="CP656" s="1">
        <v>4.75</v>
      </c>
      <c r="CQ656" s="3">
        <v>45278</v>
      </c>
      <c r="CR656" s="1">
        <v>4.6749999999999998</v>
      </c>
      <c r="CS656" s="3">
        <v>45278</v>
      </c>
      <c r="CT656" s="1">
        <v>4.7300000000000004</v>
      </c>
    </row>
    <row r="657" spans="31:98" x14ac:dyDescent="0.2">
      <c r="AE657" s="3">
        <v>45275</v>
      </c>
      <c r="AF657" s="1">
        <v>5.75</v>
      </c>
      <c r="AG657" s="3">
        <v>45245</v>
      </c>
      <c r="AH657" s="1">
        <v>5.81</v>
      </c>
      <c r="AI657" s="3">
        <v>45285</v>
      </c>
      <c r="AJ657" s="2">
        <v>5.8327999999999998</v>
      </c>
      <c r="AK657" s="3">
        <v>45285</v>
      </c>
      <c r="AL657" s="2">
        <v>5.75</v>
      </c>
      <c r="AM657" s="3">
        <v>45285</v>
      </c>
      <c r="AN657" s="2">
        <v>5.59</v>
      </c>
      <c r="AO657" s="3">
        <v>45285</v>
      </c>
      <c r="AP657" s="2">
        <v>5.12</v>
      </c>
      <c r="AQ657" s="3">
        <v>45285</v>
      </c>
      <c r="AR657" s="2">
        <v>4.6900000000000004</v>
      </c>
      <c r="AS657" s="3">
        <v>45285</v>
      </c>
      <c r="AT657" s="2">
        <v>4.3025000000000002</v>
      </c>
      <c r="AU657" s="3">
        <v>45285</v>
      </c>
      <c r="AV657" s="2">
        <v>4.0475000000000003</v>
      </c>
      <c r="AW657" s="3">
        <v>45285</v>
      </c>
      <c r="AX657" s="2">
        <v>3.8925000000000001</v>
      </c>
      <c r="AY657" s="3">
        <v>45285</v>
      </c>
      <c r="AZ657" s="2">
        <v>3.7524999999999999</v>
      </c>
      <c r="BB657" s="3">
        <v>45229</v>
      </c>
      <c r="BC657" s="1">
        <v>7</v>
      </c>
      <c r="BD657" s="3">
        <v>45245</v>
      </c>
      <c r="BE657" s="1">
        <v>7.08</v>
      </c>
      <c r="BF657" s="3">
        <v>45285</v>
      </c>
      <c r="BG657" s="1">
        <v>6.66</v>
      </c>
      <c r="BH657" s="3">
        <v>45285</v>
      </c>
      <c r="BI657" s="1">
        <v>6.2270000000000003</v>
      </c>
      <c r="BJ657" s="3">
        <v>45285</v>
      </c>
      <c r="BK657" s="1">
        <v>5.78</v>
      </c>
      <c r="BL657" s="3">
        <v>45285</v>
      </c>
      <c r="BM657" s="1">
        <v>4.96</v>
      </c>
      <c r="BN657" s="3">
        <v>45285</v>
      </c>
      <c r="BO657" s="1">
        <v>3.74</v>
      </c>
      <c r="BP657" s="3">
        <v>45285</v>
      </c>
      <c r="BQ657" s="1">
        <v>3.3149999999999999</v>
      </c>
      <c r="BR657" s="3">
        <v>45285</v>
      </c>
      <c r="BS657" s="1">
        <v>3.2349999999999999</v>
      </c>
      <c r="BT657" s="3">
        <v>45285</v>
      </c>
      <c r="BU657" s="1">
        <v>3.19</v>
      </c>
      <c r="BV657" s="3">
        <v>45285</v>
      </c>
      <c r="BW657" s="1">
        <v>3.1749999999999998</v>
      </c>
      <c r="BY657" s="3">
        <v>45245</v>
      </c>
      <c r="BZ657" s="1">
        <v>12.25</v>
      </c>
      <c r="CA657" s="3">
        <v>45237</v>
      </c>
      <c r="CB657" s="1">
        <v>11.32</v>
      </c>
      <c r="CC657" s="3">
        <v>45285</v>
      </c>
      <c r="CD657" s="1">
        <v>9.4664000000000001</v>
      </c>
      <c r="CE657" s="3">
        <v>45285</v>
      </c>
      <c r="CF657" s="1">
        <v>8.7163000000000004</v>
      </c>
      <c r="CG657" s="3">
        <v>45285</v>
      </c>
      <c r="CH657" s="1">
        <v>8.0166000000000004</v>
      </c>
      <c r="CI657" s="3">
        <v>45285</v>
      </c>
      <c r="CJ657" s="1">
        <v>6.1939000000000002</v>
      </c>
      <c r="CK657" s="3">
        <v>45285</v>
      </c>
      <c r="CL657" s="1">
        <v>5.1266999999999996</v>
      </c>
      <c r="CM657" s="3">
        <v>45285</v>
      </c>
      <c r="CN657" s="1">
        <v>4.9000000000000004</v>
      </c>
      <c r="CO657" s="3">
        <v>45275</v>
      </c>
      <c r="CP657" s="1">
        <v>4.5999999999999996</v>
      </c>
      <c r="CQ657" s="3">
        <v>45275</v>
      </c>
      <c r="CR657" s="1">
        <v>4.57</v>
      </c>
      <c r="CS657" s="3">
        <v>45275</v>
      </c>
      <c r="CT657" s="1">
        <v>4.6100000000000003</v>
      </c>
    </row>
    <row r="658" spans="31:98" x14ac:dyDescent="0.2">
      <c r="AE658" s="3">
        <v>45274</v>
      </c>
      <c r="AF658" s="1">
        <v>5.75</v>
      </c>
      <c r="AG658" s="3">
        <v>45244</v>
      </c>
      <c r="AH658" s="1">
        <v>5.79</v>
      </c>
      <c r="AI658" s="3">
        <v>45282</v>
      </c>
      <c r="AJ658" s="2">
        <v>5.827</v>
      </c>
      <c r="AK658" s="3">
        <v>45282</v>
      </c>
      <c r="AL658" s="2">
        <v>5.75</v>
      </c>
      <c r="AM658" s="3">
        <v>45282</v>
      </c>
      <c r="AN658" s="2">
        <v>5.59</v>
      </c>
      <c r="AO658" s="3">
        <v>45282</v>
      </c>
      <c r="AP658" s="2">
        <v>5.12</v>
      </c>
      <c r="AQ658" s="3">
        <v>45282</v>
      </c>
      <c r="AR658" s="2">
        <v>4.6900000000000004</v>
      </c>
      <c r="AS658" s="3">
        <v>45282</v>
      </c>
      <c r="AT658" s="2">
        <v>4.3025000000000002</v>
      </c>
      <c r="AU658" s="3">
        <v>45282</v>
      </c>
      <c r="AV658" s="2">
        <v>4.0475000000000003</v>
      </c>
      <c r="AW658" s="3">
        <v>45282</v>
      </c>
      <c r="AX658" s="2">
        <v>3.8925000000000001</v>
      </c>
      <c r="AY658" s="3">
        <v>45282</v>
      </c>
      <c r="AZ658" s="2">
        <v>3.7524999999999999</v>
      </c>
      <c r="BB658" s="3">
        <v>45226</v>
      </c>
      <c r="BC658" s="1">
        <v>7</v>
      </c>
      <c r="BD658" s="3">
        <v>45244</v>
      </c>
      <c r="BE658" s="1">
        <v>7.08</v>
      </c>
      <c r="BF658" s="3">
        <v>45282</v>
      </c>
      <c r="BG658" s="1">
        <v>6.6550000000000002</v>
      </c>
      <c r="BH658" s="3">
        <v>45282</v>
      </c>
      <c r="BI658" s="1">
        <v>6.2450000000000001</v>
      </c>
      <c r="BJ658" s="3">
        <v>45282</v>
      </c>
      <c r="BK658" s="1">
        <v>5.78</v>
      </c>
      <c r="BL658" s="3">
        <v>45282</v>
      </c>
      <c r="BM658" s="1">
        <v>4.96</v>
      </c>
      <c r="BN658" s="3">
        <v>45282</v>
      </c>
      <c r="BO658" s="1">
        <v>3.74</v>
      </c>
      <c r="BP658" s="3">
        <v>45282</v>
      </c>
      <c r="BQ658" s="1">
        <v>3.3149999999999999</v>
      </c>
      <c r="BR658" s="3">
        <v>45282</v>
      </c>
      <c r="BS658" s="1">
        <v>3.2349999999999999</v>
      </c>
      <c r="BT658" s="3">
        <v>45282</v>
      </c>
      <c r="BU658" s="1">
        <v>3.19</v>
      </c>
      <c r="BV658" s="3">
        <v>45282</v>
      </c>
      <c r="BW658" s="1">
        <v>3.1749999999999998</v>
      </c>
      <c r="BY658" s="3">
        <v>45244</v>
      </c>
      <c r="BZ658" s="1">
        <v>12.25</v>
      </c>
      <c r="CA658" s="3">
        <v>45236</v>
      </c>
      <c r="CB658" s="1">
        <v>11.34</v>
      </c>
      <c r="CC658" s="3">
        <v>45282</v>
      </c>
      <c r="CD658" s="1">
        <v>9.4049999999999994</v>
      </c>
      <c r="CE658" s="3">
        <v>45282</v>
      </c>
      <c r="CF658" s="1">
        <v>8.6579999999999995</v>
      </c>
      <c r="CG658" s="3">
        <v>45282</v>
      </c>
      <c r="CH658" s="1">
        <v>7.97</v>
      </c>
      <c r="CI658" s="3">
        <v>45282</v>
      </c>
      <c r="CJ658" s="1">
        <v>6.16</v>
      </c>
      <c r="CK658" s="3">
        <v>45282</v>
      </c>
      <c r="CL658" s="1">
        <v>5.1100000000000003</v>
      </c>
      <c r="CM658" s="3">
        <v>45282</v>
      </c>
      <c r="CN658" s="1">
        <v>4.915</v>
      </c>
      <c r="CO658" s="3">
        <v>45274</v>
      </c>
      <c r="CP658" s="1">
        <v>4.7949999999999999</v>
      </c>
      <c r="CQ658" s="3">
        <v>45274</v>
      </c>
      <c r="CR658" s="1">
        <v>4.6950000000000003</v>
      </c>
      <c r="CS658" s="3">
        <v>45274</v>
      </c>
      <c r="CT658" s="1">
        <v>4.7549999999999999</v>
      </c>
    </row>
    <row r="659" spans="31:98" x14ac:dyDescent="0.2">
      <c r="AE659" s="3">
        <v>45273</v>
      </c>
      <c r="AF659" s="1">
        <v>5.75</v>
      </c>
      <c r="AG659" s="3">
        <v>45243</v>
      </c>
      <c r="AH659" s="1">
        <v>5.78</v>
      </c>
      <c r="AI659" s="3">
        <v>45281</v>
      </c>
      <c r="AJ659" s="2">
        <v>5.8135000000000003</v>
      </c>
      <c r="AK659" s="3">
        <v>45281</v>
      </c>
      <c r="AL659" s="2">
        <v>5.75</v>
      </c>
      <c r="AM659" s="3">
        <v>45281</v>
      </c>
      <c r="AN659" s="2">
        <v>5.58</v>
      </c>
      <c r="AO659" s="3">
        <v>45281</v>
      </c>
      <c r="AP659" s="2">
        <v>5.1174999999999997</v>
      </c>
      <c r="AQ659" s="3">
        <v>45281</v>
      </c>
      <c r="AR659" s="2">
        <v>4.665</v>
      </c>
      <c r="AS659" s="3">
        <v>45281</v>
      </c>
      <c r="AT659" s="2">
        <v>4.33</v>
      </c>
      <c r="AU659" s="3">
        <v>45281</v>
      </c>
      <c r="AV659" s="2">
        <v>4.085</v>
      </c>
      <c r="AW659" s="3">
        <v>45281</v>
      </c>
      <c r="AX659" s="2">
        <v>3.94</v>
      </c>
      <c r="AY659" s="3">
        <v>45281</v>
      </c>
      <c r="AZ659" s="2">
        <v>3.8050000000000002</v>
      </c>
      <c r="BB659" s="3">
        <v>45225</v>
      </c>
      <c r="BC659" s="1">
        <v>7</v>
      </c>
      <c r="BD659" s="3">
        <v>45243</v>
      </c>
      <c r="BE659" s="1">
        <v>7.08</v>
      </c>
      <c r="BF659" s="3">
        <v>45281</v>
      </c>
      <c r="BG659" s="1">
        <v>6.77</v>
      </c>
      <c r="BH659" s="3">
        <v>45281</v>
      </c>
      <c r="BI659" s="1">
        <v>6.27</v>
      </c>
      <c r="BJ659" s="3">
        <v>45281</v>
      </c>
      <c r="BK659" s="1">
        <v>5.82</v>
      </c>
      <c r="BL659" s="3">
        <v>45281</v>
      </c>
      <c r="BM659" s="1">
        <v>4.9649999999999999</v>
      </c>
      <c r="BN659" s="3">
        <v>45281</v>
      </c>
      <c r="BO659" s="1">
        <v>3.9180000000000001</v>
      </c>
      <c r="BP659" s="3">
        <v>45281</v>
      </c>
      <c r="BQ659" s="1">
        <v>3.2749999999999999</v>
      </c>
      <c r="BR659" s="3">
        <v>45281</v>
      </c>
      <c r="BS659" s="1">
        <v>3.1549999999999998</v>
      </c>
      <c r="BT659" s="3">
        <v>45281</v>
      </c>
      <c r="BU659" s="1">
        <v>3.1280000000000001</v>
      </c>
      <c r="BV659" s="3">
        <v>45281</v>
      </c>
      <c r="BW659" s="1">
        <v>3.1280000000000001</v>
      </c>
      <c r="BY659" s="3">
        <v>45243</v>
      </c>
      <c r="BZ659" s="1">
        <v>12.25</v>
      </c>
      <c r="CA659" s="3">
        <v>45233</v>
      </c>
      <c r="CB659" s="1">
        <v>11.35</v>
      </c>
      <c r="CC659" s="3">
        <v>45281</v>
      </c>
      <c r="CD659" s="1">
        <v>9.3510000000000009</v>
      </c>
      <c r="CE659" s="3">
        <v>45281</v>
      </c>
      <c r="CF659" s="1">
        <v>8.6120000000000001</v>
      </c>
      <c r="CG659" s="3">
        <v>45281</v>
      </c>
      <c r="CH659" s="1">
        <v>7.9</v>
      </c>
      <c r="CI659" s="3">
        <v>45281</v>
      </c>
      <c r="CJ659" s="1">
        <v>6.05</v>
      </c>
      <c r="CK659" s="3">
        <v>45281</v>
      </c>
      <c r="CL659" s="1">
        <v>4.96</v>
      </c>
      <c r="CM659" s="3">
        <v>45281</v>
      </c>
      <c r="CN659" s="1">
        <v>4.8650000000000002</v>
      </c>
      <c r="CO659" s="3">
        <v>45273</v>
      </c>
      <c r="CP659" s="1">
        <v>5.0949999999999998</v>
      </c>
      <c r="CQ659" s="3">
        <v>45273</v>
      </c>
      <c r="CR659" s="1">
        <v>5.0599999999999996</v>
      </c>
      <c r="CS659" s="3">
        <v>45273</v>
      </c>
      <c r="CT659" s="1">
        <v>5.01</v>
      </c>
    </row>
    <row r="660" spans="31:98" x14ac:dyDescent="0.2">
      <c r="AE660" s="3">
        <v>45272</v>
      </c>
      <c r="AF660" s="1">
        <v>5.75</v>
      </c>
      <c r="AG660" s="3">
        <v>45240</v>
      </c>
      <c r="AH660" s="1">
        <v>5.76</v>
      </c>
      <c r="AI660" s="3">
        <v>45280</v>
      </c>
      <c r="AJ660" s="2">
        <v>5.8040000000000003</v>
      </c>
      <c r="AK660" s="3">
        <v>45280</v>
      </c>
      <c r="AL660" s="2">
        <v>5.69</v>
      </c>
      <c r="AM660" s="3">
        <v>45280</v>
      </c>
      <c r="AN660" s="2">
        <v>5.4950000000000001</v>
      </c>
      <c r="AO660" s="3">
        <v>45280</v>
      </c>
      <c r="AP660" s="2">
        <v>4.9574999999999996</v>
      </c>
      <c r="AQ660" s="3">
        <v>45280</v>
      </c>
      <c r="AR660" s="2">
        <v>4.4400000000000004</v>
      </c>
      <c r="AS660" s="3">
        <v>45280</v>
      </c>
      <c r="AT660" s="2">
        <v>4.0350000000000001</v>
      </c>
      <c r="AU660" s="3">
        <v>45280</v>
      </c>
      <c r="AV660" s="2">
        <v>3.7949999999999999</v>
      </c>
      <c r="AW660" s="3">
        <v>45280</v>
      </c>
      <c r="AX660" s="2">
        <v>3.66</v>
      </c>
      <c r="AY660" s="3">
        <v>45280</v>
      </c>
      <c r="AZ660" s="2">
        <v>3.5649999999999999</v>
      </c>
      <c r="BB660" s="3">
        <v>45224</v>
      </c>
      <c r="BC660" s="1">
        <v>7</v>
      </c>
      <c r="BD660" s="3">
        <v>45240</v>
      </c>
      <c r="BE660" s="1">
        <v>7.08</v>
      </c>
      <c r="BF660" s="3">
        <v>45280</v>
      </c>
      <c r="BG660" s="1">
        <v>6.82</v>
      </c>
      <c r="BH660" s="3">
        <v>45280</v>
      </c>
      <c r="BI660" s="1">
        <v>6.3250000000000002</v>
      </c>
      <c r="BJ660" s="3">
        <v>45280</v>
      </c>
      <c r="BK660" s="1">
        <v>6.18</v>
      </c>
      <c r="BL660" s="3">
        <v>45280</v>
      </c>
      <c r="BM660" s="1">
        <v>5.0780000000000003</v>
      </c>
      <c r="BN660" s="3">
        <v>45280</v>
      </c>
      <c r="BO660" s="1">
        <v>3.9830000000000001</v>
      </c>
      <c r="BP660" s="3">
        <v>45280</v>
      </c>
      <c r="BQ660" s="1">
        <v>3.395</v>
      </c>
      <c r="BR660" s="3">
        <v>45280</v>
      </c>
      <c r="BS660" s="1">
        <v>3.2250000000000001</v>
      </c>
      <c r="BT660" s="3">
        <v>45280</v>
      </c>
      <c r="BU660" s="1">
        <v>3.1930000000000001</v>
      </c>
      <c r="BV660" s="3">
        <v>45280</v>
      </c>
      <c r="BW660" s="1">
        <v>3.153</v>
      </c>
      <c r="BY660" s="3">
        <v>45240</v>
      </c>
      <c r="BZ660" s="1">
        <v>12.25</v>
      </c>
      <c r="CA660" s="3">
        <v>45232</v>
      </c>
      <c r="CB660" s="1">
        <v>11.37</v>
      </c>
      <c r="CC660" s="3">
        <v>45280</v>
      </c>
      <c r="CD660" s="1">
        <v>9.3740000000000006</v>
      </c>
      <c r="CE660" s="3">
        <v>45280</v>
      </c>
      <c r="CF660" s="1">
        <v>8.6069999999999993</v>
      </c>
      <c r="CG660" s="3">
        <v>45280</v>
      </c>
      <c r="CH660" s="1">
        <v>7.87</v>
      </c>
      <c r="CI660" s="3">
        <v>45280</v>
      </c>
      <c r="CJ660" s="1">
        <v>5.94</v>
      </c>
      <c r="CK660" s="3">
        <v>45280</v>
      </c>
      <c r="CL660" s="1">
        <v>4.91</v>
      </c>
      <c r="CM660" s="3">
        <v>45280</v>
      </c>
      <c r="CN660" s="1">
        <v>4.6749999999999998</v>
      </c>
      <c r="CO660" s="3">
        <v>45272</v>
      </c>
      <c r="CP660" s="1">
        <v>5.1449999999999996</v>
      </c>
      <c r="CQ660" s="3">
        <v>45272</v>
      </c>
      <c r="CR660" s="1">
        <v>5.0999999999999996</v>
      </c>
      <c r="CS660" s="3">
        <v>45272</v>
      </c>
      <c r="CT660" s="1">
        <v>5.05</v>
      </c>
    </row>
    <row r="661" spans="31:98" x14ac:dyDescent="0.2">
      <c r="AE661" s="3">
        <v>45271</v>
      </c>
      <c r="AF661" s="1">
        <v>5.75</v>
      </c>
      <c r="AG661" s="3">
        <v>45239</v>
      </c>
      <c r="AH661" s="1">
        <v>5.73</v>
      </c>
      <c r="AI661" s="3">
        <v>45279</v>
      </c>
      <c r="AJ661" s="2">
        <v>5.8014999999999999</v>
      </c>
      <c r="AK661" s="3">
        <v>45279</v>
      </c>
      <c r="AL661" s="2">
        <v>5.68</v>
      </c>
      <c r="AM661" s="3">
        <v>45279</v>
      </c>
      <c r="AN661" s="2">
        <v>5.4749999999999996</v>
      </c>
      <c r="AO661" s="3">
        <v>45279</v>
      </c>
      <c r="AP661" s="2">
        <v>4.95</v>
      </c>
      <c r="AQ661" s="3">
        <v>45279</v>
      </c>
      <c r="AR661" s="2">
        <v>4.4824999999999999</v>
      </c>
      <c r="AS661" s="3">
        <v>45279</v>
      </c>
      <c r="AT661" s="2">
        <v>4.0599999999999996</v>
      </c>
      <c r="AU661" s="3">
        <v>45279</v>
      </c>
      <c r="AV661" s="2">
        <v>3.8149999999999999</v>
      </c>
      <c r="AW661" s="3">
        <v>45279</v>
      </c>
      <c r="AX661" s="2">
        <v>3.67</v>
      </c>
      <c r="AY661" s="3">
        <v>45279</v>
      </c>
      <c r="AZ661" s="2">
        <v>3.5950000000000002</v>
      </c>
      <c r="BB661" s="3">
        <v>45223</v>
      </c>
      <c r="BC661" s="1">
        <v>7</v>
      </c>
      <c r="BD661" s="3">
        <v>45239</v>
      </c>
      <c r="BE661" s="1">
        <v>7.07</v>
      </c>
      <c r="BF661" s="3">
        <v>45279</v>
      </c>
      <c r="BG661" s="1">
        <v>6.8049999999999997</v>
      </c>
      <c r="BH661" s="3">
        <v>45279</v>
      </c>
      <c r="BI661" s="1">
        <v>6.33</v>
      </c>
      <c r="BJ661" s="3">
        <v>45279</v>
      </c>
      <c r="BK661" s="1">
        <v>6.1550000000000002</v>
      </c>
      <c r="BL661" s="3">
        <v>45279</v>
      </c>
      <c r="BM661" s="1">
        <v>5.0449999999999999</v>
      </c>
      <c r="BN661" s="3">
        <v>45279</v>
      </c>
      <c r="BO661" s="1">
        <v>3.94</v>
      </c>
      <c r="BP661" s="3">
        <v>45279</v>
      </c>
      <c r="BQ661" s="1">
        <v>3.355</v>
      </c>
      <c r="BR661" s="3">
        <v>45279</v>
      </c>
      <c r="BS661" s="1">
        <v>3.19</v>
      </c>
      <c r="BT661" s="3">
        <v>45279</v>
      </c>
      <c r="BU661" s="1">
        <v>3.1549999999999998</v>
      </c>
      <c r="BV661" s="3">
        <v>45279</v>
      </c>
      <c r="BW661" s="1">
        <v>3.125</v>
      </c>
      <c r="BY661" s="3">
        <v>45239</v>
      </c>
      <c r="BZ661" s="1">
        <v>12.25</v>
      </c>
      <c r="CA661" s="3">
        <v>45230</v>
      </c>
      <c r="CB661" s="1">
        <v>11.4</v>
      </c>
      <c r="CC661" s="3">
        <v>45279</v>
      </c>
      <c r="CD661" s="1">
        <v>9.452</v>
      </c>
      <c r="CE661" s="3">
        <v>45279</v>
      </c>
      <c r="CF661" s="1">
        <v>8.7330000000000005</v>
      </c>
      <c r="CG661" s="3">
        <v>45279</v>
      </c>
      <c r="CH661" s="1">
        <v>8.0500000000000007</v>
      </c>
      <c r="CI661" s="3">
        <v>45279</v>
      </c>
      <c r="CJ661" s="1">
        <v>6.06</v>
      </c>
      <c r="CK661" s="3">
        <v>45279</v>
      </c>
      <c r="CL661" s="1">
        <v>4.96</v>
      </c>
      <c r="CM661" s="3">
        <v>45279</v>
      </c>
      <c r="CN661" s="1">
        <v>4.68</v>
      </c>
      <c r="CO661" s="3">
        <v>45271</v>
      </c>
      <c r="CP661" s="1">
        <v>5.19</v>
      </c>
      <c r="CQ661" s="3">
        <v>45271</v>
      </c>
      <c r="CR661" s="1">
        <v>5.1349999999999998</v>
      </c>
      <c r="CS661" s="3">
        <v>45271</v>
      </c>
      <c r="CT661" s="1">
        <v>5.0750000000000002</v>
      </c>
    </row>
    <row r="662" spans="31:98" x14ac:dyDescent="0.2">
      <c r="AE662" s="3">
        <v>45268</v>
      </c>
      <c r="AF662" s="1">
        <v>5.75</v>
      </c>
      <c r="AG662" s="3">
        <v>45238</v>
      </c>
      <c r="AH662" s="1">
        <v>5.62</v>
      </c>
      <c r="AI662" s="3">
        <v>45278</v>
      </c>
      <c r="AJ662" s="2">
        <v>5.798</v>
      </c>
      <c r="AK662" s="3">
        <v>45278</v>
      </c>
      <c r="AL662" s="2">
        <v>5.68</v>
      </c>
      <c r="AM662" s="3">
        <v>45278</v>
      </c>
      <c r="AN662" s="2">
        <v>5.4749999999999996</v>
      </c>
      <c r="AO662" s="3">
        <v>45278</v>
      </c>
      <c r="AP662" s="2">
        <v>4.95</v>
      </c>
      <c r="AQ662" s="3">
        <v>45278</v>
      </c>
      <c r="AR662" s="2">
        <v>4.5149999999999997</v>
      </c>
      <c r="AS662" s="3">
        <v>45278</v>
      </c>
      <c r="AT662" s="2">
        <v>4.1399999999999997</v>
      </c>
      <c r="AU662" s="3">
        <v>45278</v>
      </c>
      <c r="AV662" s="2">
        <v>3.9</v>
      </c>
      <c r="AW662" s="3">
        <v>45278</v>
      </c>
      <c r="AX662" s="2">
        <v>3.76</v>
      </c>
      <c r="AY662" s="3">
        <v>45278</v>
      </c>
      <c r="AZ662" s="2">
        <v>3.67</v>
      </c>
      <c r="BB662" s="3">
        <v>45222</v>
      </c>
      <c r="BC662" s="1">
        <v>7</v>
      </c>
      <c r="BD662" s="3">
        <v>45238</v>
      </c>
      <c r="BE662" s="1">
        <v>7.07</v>
      </c>
      <c r="BF662" s="3">
        <v>45278</v>
      </c>
      <c r="BG662" s="1">
        <v>6.8</v>
      </c>
      <c r="BH662" s="3">
        <v>45278</v>
      </c>
      <c r="BI662" s="1">
        <v>6.3150000000000004</v>
      </c>
      <c r="BJ662" s="3">
        <v>45278</v>
      </c>
      <c r="BK662" s="1">
        <v>6.14</v>
      </c>
      <c r="BL662" s="3">
        <v>45278</v>
      </c>
      <c r="BM662" s="1">
        <v>4.9850000000000003</v>
      </c>
      <c r="BN662" s="3">
        <v>45278</v>
      </c>
      <c r="BO662" s="1">
        <v>3.895</v>
      </c>
      <c r="BP662" s="3">
        <v>45278</v>
      </c>
      <c r="BQ662" s="1">
        <v>3.34</v>
      </c>
      <c r="BR662" s="3">
        <v>45278</v>
      </c>
      <c r="BS662" s="1">
        <v>3.19</v>
      </c>
      <c r="BT662" s="3">
        <v>45278</v>
      </c>
      <c r="BU662" s="1">
        <v>3.145</v>
      </c>
      <c r="BV662" s="3">
        <v>45278</v>
      </c>
      <c r="BW662" s="1">
        <v>3.1150000000000002</v>
      </c>
      <c r="BY662" s="3">
        <v>45238</v>
      </c>
      <c r="BZ662" s="1">
        <v>12.25</v>
      </c>
      <c r="CA662" s="3">
        <v>45229</v>
      </c>
      <c r="CB662" s="1">
        <v>11.43</v>
      </c>
      <c r="CC662" s="3">
        <v>45278</v>
      </c>
      <c r="CD662" s="1">
        <v>9.52</v>
      </c>
      <c r="CE662" s="3">
        <v>45278</v>
      </c>
      <c r="CF662" s="1">
        <v>8.8390000000000004</v>
      </c>
      <c r="CG662" s="3">
        <v>45278</v>
      </c>
      <c r="CH662" s="1">
        <v>8.17</v>
      </c>
      <c r="CI662" s="3">
        <v>45278</v>
      </c>
      <c r="CJ662" s="1">
        <v>6.44</v>
      </c>
      <c r="CK662" s="3">
        <v>45278</v>
      </c>
      <c r="CL662" s="1">
        <v>5.2</v>
      </c>
      <c r="CM662" s="3">
        <v>45278</v>
      </c>
      <c r="CN662" s="1">
        <v>4.8</v>
      </c>
      <c r="CO662" s="3">
        <v>45268</v>
      </c>
      <c r="CP662" s="1">
        <v>5.27</v>
      </c>
      <c r="CQ662" s="3">
        <v>45268</v>
      </c>
      <c r="CR662" s="1">
        <v>5.2149999999999999</v>
      </c>
      <c r="CS662" s="3">
        <v>45268</v>
      </c>
      <c r="CT662" s="1">
        <v>5.1550000000000002</v>
      </c>
    </row>
    <row r="663" spans="31:98" x14ac:dyDescent="0.2">
      <c r="AE663" s="3">
        <v>45267</v>
      </c>
      <c r="AF663" s="1">
        <v>5.75</v>
      </c>
      <c r="AG663" s="3">
        <v>45237</v>
      </c>
      <c r="AH663" s="1">
        <v>5.63</v>
      </c>
      <c r="AI663" s="3">
        <v>45275</v>
      </c>
      <c r="AJ663" s="2">
        <v>5.7770000000000001</v>
      </c>
      <c r="AK663" s="3">
        <v>45275</v>
      </c>
      <c r="AL663" s="2">
        <v>5.665</v>
      </c>
      <c r="AM663" s="3">
        <v>45275</v>
      </c>
      <c r="AN663" s="2">
        <v>5.48</v>
      </c>
      <c r="AO663" s="3">
        <v>45275</v>
      </c>
      <c r="AP663" s="2">
        <v>4.96</v>
      </c>
      <c r="AQ663" s="3">
        <v>45275</v>
      </c>
      <c r="AR663" s="2">
        <v>4.4675000000000002</v>
      </c>
      <c r="AS663" s="3">
        <v>45275</v>
      </c>
      <c r="AT663" s="2">
        <v>4.0724999999999998</v>
      </c>
      <c r="AU663" s="3">
        <v>45275</v>
      </c>
      <c r="AV663" s="2">
        <v>3.82</v>
      </c>
      <c r="AW663" s="3">
        <v>45275</v>
      </c>
      <c r="AX663" s="2">
        <v>3.6850000000000001</v>
      </c>
      <c r="AY663" s="3">
        <v>45275</v>
      </c>
      <c r="AZ663" s="2">
        <v>3.5950000000000002</v>
      </c>
      <c r="BB663" s="3">
        <v>45219</v>
      </c>
      <c r="BC663" s="1">
        <v>7</v>
      </c>
      <c r="BD663" s="3">
        <v>45237</v>
      </c>
      <c r="BE663" s="1">
        <v>7.06</v>
      </c>
      <c r="BF663" s="3">
        <v>45275</v>
      </c>
      <c r="BG663" s="1">
        <v>6.8</v>
      </c>
      <c r="BH663" s="3">
        <v>45275</v>
      </c>
      <c r="BI663" s="1">
        <v>6.3</v>
      </c>
      <c r="BJ663" s="3">
        <v>45275</v>
      </c>
      <c r="BK663" s="1">
        <v>6.12</v>
      </c>
      <c r="BL663" s="3">
        <v>45275</v>
      </c>
      <c r="BM663" s="1">
        <v>4.9450000000000003</v>
      </c>
      <c r="BN663" s="3">
        <v>45275</v>
      </c>
      <c r="BO663" s="1">
        <v>3.87</v>
      </c>
      <c r="BP663" s="3">
        <v>45275</v>
      </c>
      <c r="BQ663" s="1">
        <v>3.32</v>
      </c>
      <c r="BR663" s="3">
        <v>45275</v>
      </c>
      <c r="BS663" s="1">
        <v>3.145</v>
      </c>
      <c r="BT663" s="3">
        <v>45275</v>
      </c>
      <c r="BU663" s="1">
        <v>3.11</v>
      </c>
      <c r="BV663" s="3">
        <v>45275</v>
      </c>
      <c r="BW663" s="1">
        <v>3.0750000000000002</v>
      </c>
      <c r="BY663" s="3">
        <v>45237</v>
      </c>
      <c r="BZ663" s="1">
        <v>12.25</v>
      </c>
      <c r="CA663" s="3">
        <v>45226</v>
      </c>
      <c r="CB663" s="1">
        <v>11.45</v>
      </c>
      <c r="CC663" s="3">
        <v>45275</v>
      </c>
      <c r="CD663" s="1">
        <v>9.4809999999999999</v>
      </c>
      <c r="CE663" s="3">
        <v>45275</v>
      </c>
      <c r="CF663" s="1">
        <v>8.7579999999999991</v>
      </c>
      <c r="CG663" s="3">
        <v>45275</v>
      </c>
      <c r="CH663" s="1">
        <v>8.0500000000000007</v>
      </c>
      <c r="CI663" s="3">
        <v>45275</v>
      </c>
      <c r="CJ663" s="1">
        <v>6.32</v>
      </c>
      <c r="CK663" s="3">
        <v>45275</v>
      </c>
      <c r="CL663" s="1">
        <v>5.08</v>
      </c>
      <c r="CM663" s="3">
        <v>45275</v>
      </c>
      <c r="CN663" s="1">
        <v>4.6950000000000003</v>
      </c>
      <c r="CO663" s="3">
        <v>45267</v>
      </c>
      <c r="CP663" s="1">
        <v>5.3049999999999997</v>
      </c>
      <c r="CQ663" s="3">
        <v>45267</v>
      </c>
      <c r="CR663" s="1">
        <v>5.2350000000000003</v>
      </c>
      <c r="CS663" s="3">
        <v>45267</v>
      </c>
      <c r="CT663" s="1">
        <v>5.1749999999999998</v>
      </c>
    </row>
    <row r="664" spans="31:98" x14ac:dyDescent="0.2">
      <c r="AE664" s="3">
        <v>45266</v>
      </c>
      <c r="AF664" s="1">
        <v>5.75</v>
      </c>
      <c r="AG664" s="3">
        <v>45236</v>
      </c>
      <c r="AH664" s="1">
        <v>5.64</v>
      </c>
      <c r="AI664" s="3">
        <v>45274</v>
      </c>
      <c r="AJ664" s="2">
        <v>5.8029999999999999</v>
      </c>
      <c r="AK664" s="3">
        <v>45274</v>
      </c>
      <c r="AL664" s="2">
        <v>5.69</v>
      </c>
      <c r="AM664" s="3">
        <v>45274</v>
      </c>
      <c r="AN664" s="2">
        <v>5.52</v>
      </c>
      <c r="AO664" s="3">
        <v>45274</v>
      </c>
      <c r="AP664" s="2">
        <v>4.9950000000000001</v>
      </c>
      <c r="AQ664" s="3">
        <v>45274</v>
      </c>
      <c r="AR664" s="2">
        <v>4.5637999999999996</v>
      </c>
      <c r="AS664" s="3">
        <v>45274</v>
      </c>
      <c r="AT664" s="2">
        <v>4.165</v>
      </c>
      <c r="AU664" s="3">
        <v>45274</v>
      </c>
      <c r="AV664" s="2">
        <v>3.915</v>
      </c>
      <c r="AW664" s="3">
        <v>45274</v>
      </c>
      <c r="AX664" s="2">
        <v>3.7825000000000002</v>
      </c>
      <c r="AY664" s="3">
        <v>45274</v>
      </c>
      <c r="AZ664" s="2">
        <v>3.6924999999999999</v>
      </c>
      <c r="BB664" s="3">
        <v>45218</v>
      </c>
      <c r="BC664" s="1">
        <v>7</v>
      </c>
      <c r="BD664" s="3">
        <v>45236</v>
      </c>
      <c r="BE664" s="1">
        <v>7.05</v>
      </c>
      <c r="BF664" s="3">
        <v>45274</v>
      </c>
      <c r="BG664" s="1">
        <v>6.8049999999999997</v>
      </c>
      <c r="BH664" s="3">
        <v>45274</v>
      </c>
      <c r="BI664" s="1">
        <v>6.3</v>
      </c>
      <c r="BJ664" s="3">
        <v>45274</v>
      </c>
      <c r="BK664" s="1">
        <v>6.1130000000000004</v>
      </c>
      <c r="BL664" s="3">
        <v>45274</v>
      </c>
      <c r="BM664" s="1">
        <v>4.9450000000000003</v>
      </c>
      <c r="BN664" s="3">
        <v>45274</v>
      </c>
      <c r="BO664" s="1">
        <v>3.91</v>
      </c>
      <c r="BP664" s="3">
        <v>45274</v>
      </c>
      <c r="BQ664" s="1">
        <v>3.3650000000000002</v>
      </c>
      <c r="BR664" s="3">
        <v>45274</v>
      </c>
      <c r="BS664" s="1">
        <v>3.1749999999999998</v>
      </c>
      <c r="BT664" s="3">
        <v>45274</v>
      </c>
      <c r="BU664" s="1">
        <v>3.15</v>
      </c>
      <c r="BV664" s="3">
        <v>45274</v>
      </c>
      <c r="BW664" s="1">
        <v>3.1230000000000002</v>
      </c>
      <c r="BY664" s="3">
        <v>45236</v>
      </c>
      <c r="BZ664" s="1">
        <v>12.25</v>
      </c>
      <c r="CA664" s="3">
        <v>45225</v>
      </c>
      <c r="CB664" s="1">
        <v>11.49</v>
      </c>
      <c r="CC664" s="3">
        <v>45274</v>
      </c>
      <c r="CD664" s="1">
        <v>9.577</v>
      </c>
      <c r="CE664" s="3">
        <v>45274</v>
      </c>
      <c r="CF664" s="1">
        <v>8.8659999999999997</v>
      </c>
      <c r="CG664" s="3">
        <v>45274</v>
      </c>
      <c r="CH664" s="1">
        <v>8.19</v>
      </c>
      <c r="CI664" s="3">
        <v>45274</v>
      </c>
      <c r="CJ664" s="1">
        <v>6.45</v>
      </c>
      <c r="CK664" s="3">
        <v>45274</v>
      </c>
      <c r="CL664" s="1">
        <v>5.22</v>
      </c>
      <c r="CM664" s="3">
        <v>45274</v>
      </c>
      <c r="CN664" s="1">
        <v>4.8650000000000002</v>
      </c>
      <c r="CO664" s="3">
        <v>45266</v>
      </c>
      <c r="CP664" s="1">
        <v>5.4349999999999996</v>
      </c>
      <c r="CQ664" s="3">
        <v>45266</v>
      </c>
      <c r="CR664" s="1">
        <v>5.3049999999999997</v>
      </c>
      <c r="CS664" s="3">
        <v>45266</v>
      </c>
      <c r="CT664" s="1">
        <v>5.23</v>
      </c>
    </row>
    <row r="665" spans="31:98" x14ac:dyDescent="0.2">
      <c r="AE665" s="3">
        <v>45265</v>
      </c>
      <c r="AF665" s="1">
        <v>5.75</v>
      </c>
      <c r="AG665" s="3">
        <v>45233</v>
      </c>
      <c r="AH665" s="1">
        <v>5.64</v>
      </c>
      <c r="AI665" s="3">
        <v>45273</v>
      </c>
      <c r="AJ665" s="2">
        <v>5.7830000000000004</v>
      </c>
      <c r="AK665" s="3">
        <v>45273</v>
      </c>
      <c r="AL665" s="2">
        <v>5.7149999999999999</v>
      </c>
      <c r="AM665" s="3">
        <v>45273</v>
      </c>
      <c r="AN665" s="2">
        <v>5.58</v>
      </c>
      <c r="AO665" s="3">
        <v>45273</v>
      </c>
      <c r="AP665" s="2">
        <v>5.0975000000000001</v>
      </c>
      <c r="AQ665" s="3">
        <v>45273</v>
      </c>
      <c r="AR665" s="2">
        <v>4.6675000000000004</v>
      </c>
      <c r="AS665" s="3">
        <v>45273</v>
      </c>
      <c r="AT665" s="2">
        <v>4.29</v>
      </c>
      <c r="AU665" s="3">
        <v>45273</v>
      </c>
      <c r="AV665" s="2">
        <v>4.0350000000000001</v>
      </c>
      <c r="AW665" s="3">
        <v>45273</v>
      </c>
      <c r="AX665" s="2">
        <v>3.9049999999999998</v>
      </c>
      <c r="AY665" s="3">
        <v>45273</v>
      </c>
      <c r="AZ665" s="2">
        <v>3.8250000000000002</v>
      </c>
      <c r="BB665" s="3">
        <v>45217</v>
      </c>
      <c r="BC665" s="1">
        <v>7</v>
      </c>
      <c r="BD665" s="3">
        <v>45233</v>
      </c>
      <c r="BE665" s="1">
        <v>7.03</v>
      </c>
      <c r="BF665" s="3">
        <v>45273</v>
      </c>
      <c r="BG665" s="1">
        <v>6.8</v>
      </c>
      <c r="BH665" s="3">
        <v>45273</v>
      </c>
      <c r="BI665" s="1">
        <v>6.34</v>
      </c>
      <c r="BJ665" s="3">
        <v>45273</v>
      </c>
      <c r="BK665" s="1">
        <v>6.1749999999999998</v>
      </c>
      <c r="BL665" s="3">
        <v>45273</v>
      </c>
      <c r="BM665" s="1">
        <v>5.03</v>
      </c>
      <c r="BN665" s="3">
        <v>45273</v>
      </c>
      <c r="BO665" s="1">
        <v>4.04</v>
      </c>
      <c r="BP665" s="3">
        <v>45273</v>
      </c>
      <c r="BQ665" s="1">
        <v>3.49</v>
      </c>
      <c r="BR665" s="3">
        <v>45273</v>
      </c>
      <c r="BS665" s="1">
        <v>3.3050000000000002</v>
      </c>
      <c r="BT665" s="3">
        <v>45273</v>
      </c>
      <c r="BU665" s="1">
        <v>3.2549999999999999</v>
      </c>
      <c r="BV665" s="3">
        <v>45273</v>
      </c>
      <c r="BW665" s="1">
        <v>3.24</v>
      </c>
      <c r="BY665" s="3">
        <v>45233</v>
      </c>
      <c r="BZ665" s="1">
        <v>12.25</v>
      </c>
      <c r="CA665" s="3">
        <v>45224</v>
      </c>
      <c r="CB665" s="1">
        <v>11.5</v>
      </c>
      <c r="CC665" s="3">
        <v>45273</v>
      </c>
      <c r="CD665" s="1">
        <v>9.6760000000000002</v>
      </c>
      <c r="CE665" s="3">
        <v>45273</v>
      </c>
      <c r="CF665" s="1">
        <v>9.0180000000000007</v>
      </c>
      <c r="CG665" s="3">
        <v>45273</v>
      </c>
      <c r="CH665" s="1">
        <v>8.3699999999999992</v>
      </c>
      <c r="CI665" s="3">
        <v>45273</v>
      </c>
      <c r="CJ665" s="1">
        <v>6.81</v>
      </c>
      <c r="CK665" s="3">
        <v>45273</v>
      </c>
      <c r="CL665" s="1">
        <v>5.67</v>
      </c>
      <c r="CM665" s="3">
        <v>45273</v>
      </c>
      <c r="CN665" s="1">
        <v>5.1550000000000002</v>
      </c>
      <c r="CO665" s="3">
        <v>45265</v>
      </c>
      <c r="CP665" s="1">
        <v>5.46</v>
      </c>
      <c r="CQ665" s="3">
        <v>45265</v>
      </c>
      <c r="CR665" s="1">
        <v>5.33</v>
      </c>
      <c r="CS665" s="3">
        <v>45265</v>
      </c>
      <c r="CT665" s="1">
        <v>5.2549999999999999</v>
      </c>
    </row>
    <row r="666" spans="31:98" x14ac:dyDescent="0.2">
      <c r="AE666" s="3">
        <v>45264</v>
      </c>
      <c r="AF666" s="1">
        <v>5.75</v>
      </c>
      <c r="AG666" s="3">
        <v>45232</v>
      </c>
      <c r="AH666" s="1">
        <v>5.64</v>
      </c>
      <c r="AI666" s="3">
        <v>45272</v>
      </c>
      <c r="AJ666" s="2">
        <v>5.782</v>
      </c>
      <c r="AK666" s="3">
        <v>45272</v>
      </c>
      <c r="AL666" s="2">
        <v>5.73</v>
      </c>
      <c r="AM666" s="3">
        <v>45272</v>
      </c>
      <c r="AN666" s="2">
        <v>5.5949999999999998</v>
      </c>
      <c r="AO666" s="3">
        <v>45272</v>
      </c>
      <c r="AP666" s="2">
        <v>5.085</v>
      </c>
      <c r="AQ666" s="3">
        <v>45272</v>
      </c>
      <c r="AR666" s="2">
        <v>4.67</v>
      </c>
      <c r="AS666" s="3">
        <v>45272</v>
      </c>
      <c r="AT666" s="2">
        <v>4.2850000000000001</v>
      </c>
      <c r="AU666" s="3">
        <v>45272</v>
      </c>
      <c r="AV666" s="2">
        <v>4.0324999999999998</v>
      </c>
      <c r="AW666" s="3">
        <v>45272</v>
      </c>
      <c r="AX666" s="2">
        <v>3.895</v>
      </c>
      <c r="AY666" s="3">
        <v>45272</v>
      </c>
      <c r="AZ666" s="2">
        <v>3.81</v>
      </c>
      <c r="BB666" s="3">
        <v>45216</v>
      </c>
      <c r="BC666" s="1">
        <v>7</v>
      </c>
      <c r="BD666" s="3">
        <v>45232</v>
      </c>
      <c r="BE666" s="1">
        <v>7</v>
      </c>
      <c r="BF666" s="3">
        <v>45272</v>
      </c>
      <c r="BG666" s="1">
        <v>6.75</v>
      </c>
      <c r="BH666" s="3">
        <v>45272</v>
      </c>
      <c r="BI666" s="1">
        <v>6.31</v>
      </c>
      <c r="BJ666" s="3">
        <v>45272</v>
      </c>
      <c r="BK666" s="1">
        <v>6.1</v>
      </c>
      <c r="BL666" s="3">
        <v>45272</v>
      </c>
      <c r="BM666" s="1">
        <v>4.9930000000000003</v>
      </c>
      <c r="BN666" s="3">
        <v>45272</v>
      </c>
      <c r="BO666" s="1">
        <v>3.99</v>
      </c>
      <c r="BP666" s="3">
        <v>45272</v>
      </c>
      <c r="BQ666" s="1">
        <v>3.4449999999999998</v>
      </c>
      <c r="BR666" s="3">
        <v>45272</v>
      </c>
      <c r="BS666" s="1">
        <v>3.2850000000000001</v>
      </c>
      <c r="BT666" s="3">
        <v>45272</v>
      </c>
      <c r="BU666" s="1">
        <v>3.2450000000000001</v>
      </c>
      <c r="BV666" s="3">
        <v>45272</v>
      </c>
      <c r="BW666" s="1">
        <v>3.24</v>
      </c>
      <c r="BY666" s="3">
        <v>45232</v>
      </c>
      <c r="BZ666" s="1">
        <v>12.25</v>
      </c>
      <c r="CA666" s="3">
        <v>45223</v>
      </c>
      <c r="CB666" s="1">
        <v>11.87</v>
      </c>
      <c r="CC666" s="3">
        <v>45272</v>
      </c>
      <c r="CD666" s="1">
        <v>9.6940000000000008</v>
      </c>
      <c r="CE666" s="3">
        <v>45272</v>
      </c>
      <c r="CF666" s="1">
        <v>9.0760000000000005</v>
      </c>
      <c r="CG666" s="3">
        <v>45272</v>
      </c>
      <c r="CH666" s="1">
        <v>8.43</v>
      </c>
      <c r="CI666" s="3">
        <v>45272</v>
      </c>
      <c r="CJ666" s="1">
        <v>6.88</v>
      </c>
      <c r="CK666" s="3">
        <v>45272</v>
      </c>
      <c r="CL666" s="1">
        <v>5.75</v>
      </c>
      <c r="CM666" s="3">
        <v>45272</v>
      </c>
      <c r="CN666" s="1">
        <v>5.21</v>
      </c>
      <c r="CO666" s="3">
        <v>45264</v>
      </c>
      <c r="CP666" s="1">
        <v>5.68</v>
      </c>
      <c r="CQ666" s="3">
        <v>45264</v>
      </c>
      <c r="CR666" s="1">
        <v>5.55</v>
      </c>
      <c r="CS666" s="3">
        <v>45264</v>
      </c>
      <c r="CT666" s="1">
        <v>5.4749999999999996</v>
      </c>
    </row>
    <row r="667" spans="31:98" x14ac:dyDescent="0.2">
      <c r="AE667" s="3">
        <v>45261</v>
      </c>
      <c r="AF667" s="1">
        <v>5.75</v>
      </c>
      <c r="AG667" s="3">
        <v>45230</v>
      </c>
      <c r="AH667" s="1">
        <v>5.66</v>
      </c>
      <c r="AI667" s="3">
        <v>45271</v>
      </c>
      <c r="AJ667" s="2">
        <v>5.73</v>
      </c>
      <c r="AK667" s="3">
        <v>45271</v>
      </c>
      <c r="AL667" s="2">
        <v>5.7350000000000003</v>
      </c>
      <c r="AM667" s="3">
        <v>45271</v>
      </c>
      <c r="AN667" s="2">
        <v>5.6050000000000004</v>
      </c>
      <c r="AO667" s="3">
        <v>45271</v>
      </c>
      <c r="AP667" s="2">
        <v>5.1100000000000003</v>
      </c>
      <c r="AQ667" s="3">
        <v>45271</v>
      </c>
      <c r="AR667" s="2">
        <v>4.6974999999999998</v>
      </c>
      <c r="AS667" s="3">
        <v>45271</v>
      </c>
      <c r="AT667" s="2">
        <v>4.3174999999999999</v>
      </c>
      <c r="AU667" s="3">
        <v>45271</v>
      </c>
      <c r="AV667" s="2">
        <v>4.0525000000000002</v>
      </c>
      <c r="AW667" s="3">
        <v>45271</v>
      </c>
      <c r="AX667" s="2">
        <v>3.9049999999999998</v>
      </c>
      <c r="AY667" s="3">
        <v>45271</v>
      </c>
      <c r="AZ667" s="2">
        <v>3.81</v>
      </c>
      <c r="BB667" s="3">
        <v>45215</v>
      </c>
      <c r="BC667" s="1">
        <v>7</v>
      </c>
      <c r="BD667" s="3">
        <v>45231</v>
      </c>
      <c r="BE667" s="1">
        <v>7</v>
      </c>
      <c r="BF667" s="3">
        <v>45271</v>
      </c>
      <c r="BG667" s="1">
        <v>6.81</v>
      </c>
      <c r="BH667" s="3">
        <v>45271</v>
      </c>
      <c r="BI667" s="1">
        <v>6.4</v>
      </c>
      <c r="BJ667" s="3">
        <v>45271</v>
      </c>
      <c r="BK667" s="1">
        <v>6.22</v>
      </c>
      <c r="BL667" s="3">
        <v>45271</v>
      </c>
      <c r="BM667" s="1">
        <v>5.165</v>
      </c>
      <c r="BN667" s="3">
        <v>45271</v>
      </c>
      <c r="BO667" s="1">
        <v>4.2050000000000001</v>
      </c>
      <c r="BP667" s="3">
        <v>45271</v>
      </c>
      <c r="BQ667" s="1">
        <v>3.61</v>
      </c>
      <c r="BR667" s="3">
        <v>45271</v>
      </c>
      <c r="BS667" s="1">
        <v>3.403</v>
      </c>
      <c r="BT667" s="3">
        <v>45271</v>
      </c>
      <c r="BU667" s="1">
        <v>3.3149999999999999</v>
      </c>
      <c r="BV667" s="3">
        <v>45271</v>
      </c>
      <c r="BW667" s="1">
        <v>3.29</v>
      </c>
      <c r="BY667" s="3">
        <v>45231</v>
      </c>
      <c r="BZ667" s="1">
        <v>12.25</v>
      </c>
      <c r="CA667" s="3">
        <v>45219</v>
      </c>
      <c r="CB667" s="1">
        <v>11.91</v>
      </c>
      <c r="CC667" s="3">
        <v>45271</v>
      </c>
      <c r="CD667" s="1">
        <v>9.7460000000000004</v>
      </c>
      <c r="CE667" s="3">
        <v>45271</v>
      </c>
      <c r="CF667" s="1">
        <v>9.0969999999999995</v>
      </c>
      <c r="CG667" s="3">
        <v>45271</v>
      </c>
      <c r="CH667" s="1">
        <v>8.44</v>
      </c>
      <c r="CI667" s="3">
        <v>45271</v>
      </c>
      <c r="CJ667" s="1">
        <v>6.91</v>
      </c>
      <c r="CK667" s="3">
        <v>45271</v>
      </c>
      <c r="CL667" s="1">
        <v>5.81</v>
      </c>
      <c r="CM667" s="3">
        <v>45271</v>
      </c>
      <c r="CN667" s="1">
        <v>5.2549999999999999</v>
      </c>
      <c r="CO667" s="3">
        <v>45261</v>
      </c>
      <c r="CP667" s="1">
        <v>5.8650000000000002</v>
      </c>
      <c r="CQ667" s="3">
        <v>45261</v>
      </c>
      <c r="CR667" s="1">
        <v>5.7350000000000003</v>
      </c>
      <c r="CS667" s="3">
        <v>45261</v>
      </c>
      <c r="CT667" s="1">
        <v>5.66</v>
      </c>
    </row>
    <row r="668" spans="31:98" x14ac:dyDescent="0.2">
      <c r="AE668" s="3">
        <v>45260</v>
      </c>
      <c r="AF668" s="1">
        <v>5.75</v>
      </c>
      <c r="AG668" s="3">
        <v>45229</v>
      </c>
      <c r="AH668" s="1">
        <v>5.65</v>
      </c>
      <c r="AI668" s="3">
        <v>45268</v>
      </c>
      <c r="AJ668" s="2">
        <v>5.7880000000000003</v>
      </c>
      <c r="AK668" s="3">
        <v>45268</v>
      </c>
      <c r="AL668" s="2">
        <v>5.7525000000000004</v>
      </c>
      <c r="AM668" s="3">
        <v>45268</v>
      </c>
      <c r="AN668" s="2">
        <v>5.5975000000000001</v>
      </c>
      <c r="AO668" s="3">
        <v>45268</v>
      </c>
      <c r="AP668" s="2">
        <v>5.1050000000000004</v>
      </c>
      <c r="AQ668" s="3">
        <v>45268</v>
      </c>
      <c r="AR668" s="2">
        <v>4.68</v>
      </c>
      <c r="AS668" s="3">
        <v>45268</v>
      </c>
      <c r="AT668" s="2">
        <v>4.29</v>
      </c>
      <c r="AU668" s="3">
        <v>45268</v>
      </c>
      <c r="AV668" s="2">
        <v>4.0199999999999996</v>
      </c>
      <c r="AW668" s="3">
        <v>45268</v>
      </c>
      <c r="AX668" s="2">
        <v>3.8675000000000002</v>
      </c>
      <c r="AY668" s="3">
        <v>45268</v>
      </c>
      <c r="AZ668" s="2">
        <v>3.7549999999999999</v>
      </c>
      <c r="BB668" s="3">
        <v>45212</v>
      </c>
      <c r="BC668" s="1">
        <v>7</v>
      </c>
      <c r="BD668" s="3">
        <v>45230</v>
      </c>
      <c r="BE668" s="1">
        <v>7.01</v>
      </c>
      <c r="BF668" s="3">
        <v>45268</v>
      </c>
      <c r="BG668" s="1">
        <v>6.8</v>
      </c>
      <c r="BH668" s="3">
        <v>45268</v>
      </c>
      <c r="BI668" s="1">
        <v>6.665</v>
      </c>
      <c r="BJ668" s="3">
        <v>45268</v>
      </c>
      <c r="BK668" s="1">
        <v>6.2149999999999999</v>
      </c>
      <c r="BL668" s="3">
        <v>45268</v>
      </c>
      <c r="BM668" s="1">
        <v>5.14</v>
      </c>
      <c r="BN668" s="3">
        <v>45268</v>
      </c>
      <c r="BO668" s="1">
        <v>4.1749999999999998</v>
      </c>
      <c r="BP668" s="3">
        <v>45268</v>
      </c>
      <c r="BQ668" s="1">
        <v>3.5950000000000002</v>
      </c>
      <c r="BR668" s="3">
        <v>45268</v>
      </c>
      <c r="BS668" s="1">
        <v>3.4</v>
      </c>
      <c r="BT668" s="3">
        <v>45268</v>
      </c>
      <c r="BU668" s="1">
        <v>3.33</v>
      </c>
      <c r="BV668" s="3">
        <v>45268</v>
      </c>
      <c r="BW668" s="1">
        <v>3.32</v>
      </c>
      <c r="BY668" s="3">
        <v>45230</v>
      </c>
      <c r="BZ668" s="1">
        <v>12.25</v>
      </c>
      <c r="CA668" s="3">
        <v>45218</v>
      </c>
      <c r="CB668" s="1">
        <v>11.95</v>
      </c>
      <c r="CC668" s="3">
        <v>45268</v>
      </c>
      <c r="CD668" s="1">
        <v>9.7910000000000004</v>
      </c>
      <c r="CE668" s="3">
        <v>45268</v>
      </c>
      <c r="CF668" s="1">
        <v>9.141</v>
      </c>
      <c r="CG668" s="3">
        <v>45268</v>
      </c>
      <c r="CH668" s="1">
        <v>8.49</v>
      </c>
      <c r="CI668" s="3">
        <v>45268</v>
      </c>
      <c r="CJ668" s="1">
        <v>6.95</v>
      </c>
      <c r="CK668" s="3">
        <v>45268</v>
      </c>
      <c r="CL668" s="1">
        <v>5.84</v>
      </c>
      <c r="CM668" s="3">
        <v>45268</v>
      </c>
      <c r="CN668" s="1">
        <v>5.335</v>
      </c>
      <c r="CO668" s="3">
        <v>45260</v>
      </c>
      <c r="CP668" s="1">
        <v>5.91</v>
      </c>
      <c r="CQ668" s="3">
        <v>45260</v>
      </c>
      <c r="CR668" s="1">
        <v>5.78</v>
      </c>
      <c r="CS668" s="3">
        <v>45260</v>
      </c>
      <c r="CT668" s="1">
        <v>5.7050000000000001</v>
      </c>
    </row>
    <row r="669" spans="31:98" x14ac:dyDescent="0.2">
      <c r="AE669" s="3">
        <v>45259</v>
      </c>
      <c r="AF669" s="1">
        <v>5.75</v>
      </c>
      <c r="AG669" s="3">
        <v>45226</v>
      </c>
      <c r="AH669" s="1">
        <v>5.65</v>
      </c>
      <c r="AI669" s="3">
        <v>45267</v>
      </c>
      <c r="AJ669" s="2">
        <v>5.73</v>
      </c>
      <c r="AK669" s="3">
        <v>45267</v>
      </c>
      <c r="AL669" s="2">
        <v>5.734</v>
      </c>
      <c r="AM669" s="3">
        <v>45267</v>
      </c>
      <c r="AN669" s="2">
        <v>5.58</v>
      </c>
      <c r="AO669" s="3">
        <v>45267</v>
      </c>
      <c r="AP669" s="2">
        <v>5.0975000000000001</v>
      </c>
      <c r="AQ669" s="3">
        <v>45267</v>
      </c>
      <c r="AR669" s="2">
        <v>4.6449999999999996</v>
      </c>
      <c r="AS669" s="3">
        <v>45267</v>
      </c>
      <c r="AT669" s="2">
        <v>4.26</v>
      </c>
      <c r="AU669" s="3">
        <v>45267</v>
      </c>
      <c r="AV669" s="2">
        <v>3.99</v>
      </c>
      <c r="AW669" s="3">
        <v>45267</v>
      </c>
      <c r="AX669" s="2">
        <v>3.835</v>
      </c>
      <c r="AY669" s="3">
        <v>45267</v>
      </c>
      <c r="AZ669" s="2">
        <v>3.7250000000000001</v>
      </c>
      <c r="BB669" s="3">
        <v>45211</v>
      </c>
      <c r="BC669" s="1">
        <v>7</v>
      </c>
      <c r="BD669" s="3">
        <v>45229</v>
      </c>
      <c r="BE669" s="1">
        <v>7.02</v>
      </c>
      <c r="BF669" s="3">
        <v>45267</v>
      </c>
      <c r="BG669" s="1">
        <v>6.81</v>
      </c>
      <c r="BH669" s="3">
        <v>45267</v>
      </c>
      <c r="BI669" s="1">
        <v>6.66</v>
      </c>
      <c r="BJ669" s="3">
        <v>45267</v>
      </c>
      <c r="BK669" s="1">
        <v>6.2</v>
      </c>
      <c r="BL669" s="3">
        <v>45267</v>
      </c>
      <c r="BM669" s="1">
        <v>5.0999999999999996</v>
      </c>
      <c r="BN669" s="3">
        <v>45267</v>
      </c>
      <c r="BO669" s="1">
        <v>4.1529999999999996</v>
      </c>
      <c r="BP669" s="3">
        <v>45267</v>
      </c>
      <c r="BQ669" s="1">
        <v>3.613</v>
      </c>
      <c r="BR669" s="3">
        <v>45267</v>
      </c>
      <c r="BS669" s="1">
        <v>3.4180000000000001</v>
      </c>
      <c r="BT669" s="3">
        <v>45267</v>
      </c>
      <c r="BU669" s="1">
        <v>3.3450000000000002</v>
      </c>
      <c r="BV669" s="3">
        <v>45267</v>
      </c>
      <c r="BW669" s="1">
        <v>3.335</v>
      </c>
      <c r="BY669" s="3">
        <v>45229</v>
      </c>
      <c r="BZ669" s="1">
        <v>12.25</v>
      </c>
      <c r="CA669" s="3">
        <v>45217</v>
      </c>
      <c r="CB669" s="1">
        <v>11.98</v>
      </c>
      <c r="CC669" s="3">
        <v>45267</v>
      </c>
      <c r="CD669" s="1">
        <v>9.91</v>
      </c>
      <c r="CE669" s="3">
        <v>45267</v>
      </c>
      <c r="CF669" s="1">
        <v>9.2370000000000001</v>
      </c>
      <c r="CG669" s="3">
        <v>45267</v>
      </c>
      <c r="CH669" s="1">
        <v>8.6</v>
      </c>
      <c r="CI669" s="3">
        <v>45267</v>
      </c>
      <c r="CJ669" s="1">
        <v>7.04</v>
      </c>
      <c r="CK669" s="3">
        <v>45267</v>
      </c>
      <c r="CL669" s="1">
        <v>5.92</v>
      </c>
      <c r="CM669" s="3">
        <v>45267</v>
      </c>
      <c r="CN669" s="1">
        <v>5.3849999999999998</v>
      </c>
      <c r="CO669" s="3">
        <v>45259</v>
      </c>
      <c r="CP669" s="1">
        <v>5.8049999999999997</v>
      </c>
      <c r="CQ669" s="3">
        <v>45259</v>
      </c>
      <c r="CR669" s="1">
        <v>5.6749999999999998</v>
      </c>
      <c r="CS669" s="3">
        <v>45259</v>
      </c>
      <c r="CT669" s="1">
        <v>5.59</v>
      </c>
    </row>
    <row r="670" spans="31:98" x14ac:dyDescent="0.2">
      <c r="AE670" s="3">
        <v>45258</v>
      </c>
      <c r="AF670" s="1">
        <v>5.75</v>
      </c>
      <c r="AG670" s="3">
        <v>45225</v>
      </c>
      <c r="AH670" s="1">
        <v>5.64</v>
      </c>
      <c r="AI670" s="3">
        <v>45266</v>
      </c>
      <c r="AJ670" s="2">
        <v>5.72</v>
      </c>
      <c r="AK670" s="3">
        <v>45266</v>
      </c>
      <c r="AL670" s="2">
        <v>5.6950000000000003</v>
      </c>
      <c r="AM670" s="3">
        <v>45266</v>
      </c>
      <c r="AN670" s="2">
        <v>5.6</v>
      </c>
      <c r="AO670" s="3">
        <v>45266</v>
      </c>
      <c r="AP670" s="2">
        <v>5.09</v>
      </c>
      <c r="AQ670" s="3">
        <v>45266</v>
      </c>
      <c r="AR670" s="2">
        <v>4.63</v>
      </c>
      <c r="AS670" s="3">
        <v>45266</v>
      </c>
      <c r="AT670" s="2">
        <v>4.25</v>
      </c>
      <c r="AU670" s="3">
        <v>45266</v>
      </c>
      <c r="AV670" s="2">
        <v>3.9849999999999999</v>
      </c>
      <c r="AW670" s="3">
        <v>45266</v>
      </c>
      <c r="AX670" s="2">
        <v>3.82</v>
      </c>
      <c r="AY670" s="3">
        <v>45266</v>
      </c>
      <c r="AZ670" s="2">
        <v>3.7149999999999999</v>
      </c>
      <c r="BB670" s="3">
        <v>45210</v>
      </c>
      <c r="BC670" s="1">
        <v>7</v>
      </c>
      <c r="BD670" s="3">
        <v>45226</v>
      </c>
      <c r="BE670" s="1">
        <v>7.02</v>
      </c>
      <c r="BF670" s="3">
        <v>45266</v>
      </c>
      <c r="BG670" s="1">
        <v>6.83</v>
      </c>
      <c r="BH670" s="3">
        <v>45266</v>
      </c>
      <c r="BI670" s="1">
        <v>6.71</v>
      </c>
      <c r="BJ670" s="3">
        <v>45266</v>
      </c>
      <c r="BK670" s="1">
        <v>6.21</v>
      </c>
      <c r="BL670" s="3">
        <v>45266</v>
      </c>
      <c r="BM670" s="1">
        <v>5.1100000000000003</v>
      </c>
      <c r="BN670" s="3">
        <v>45266</v>
      </c>
      <c r="BO670" s="1">
        <v>4.1550000000000002</v>
      </c>
      <c r="BP670" s="3">
        <v>45266</v>
      </c>
      <c r="BQ670" s="1">
        <v>3.6</v>
      </c>
      <c r="BR670" s="3">
        <v>45266</v>
      </c>
      <c r="BS670" s="1">
        <v>3.38</v>
      </c>
      <c r="BT670" s="3">
        <v>45266</v>
      </c>
      <c r="BU670" s="1">
        <v>3.31</v>
      </c>
      <c r="BV670" s="3">
        <v>45266</v>
      </c>
      <c r="BW670" s="1">
        <v>3.3</v>
      </c>
      <c r="BY670" s="3">
        <v>45226</v>
      </c>
      <c r="BZ670" s="1">
        <v>12.25</v>
      </c>
      <c r="CA670" s="3">
        <v>45216</v>
      </c>
      <c r="CB670" s="1">
        <v>12</v>
      </c>
      <c r="CC670" s="3">
        <v>45266</v>
      </c>
      <c r="CD670" s="1">
        <v>9.9789999999999992</v>
      </c>
      <c r="CE670" s="3">
        <v>45266</v>
      </c>
      <c r="CF670" s="1">
        <v>9.3350000000000009</v>
      </c>
      <c r="CG670" s="3">
        <v>45266</v>
      </c>
      <c r="CH670" s="1">
        <v>8.69</v>
      </c>
      <c r="CI670" s="3">
        <v>45266</v>
      </c>
      <c r="CJ670" s="1">
        <v>7.16</v>
      </c>
      <c r="CK670" s="3">
        <v>45266</v>
      </c>
      <c r="CL670" s="1">
        <v>6.04</v>
      </c>
      <c r="CM670" s="3">
        <v>45266</v>
      </c>
      <c r="CN670" s="1">
        <v>5.5350000000000001</v>
      </c>
      <c r="CO670" s="3">
        <v>45258</v>
      </c>
      <c r="CP670" s="1">
        <v>6</v>
      </c>
      <c r="CQ670" s="3">
        <v>45258</v>
      </c>
      <c r="CR670" s="1">
        <v>5.87</v>
      </c>
      <c r="CS670" s="3">
        <v>45258</v>
      </c>
      <c r="CT670" s="1">
        <v>5.7850000000000001</v>
      </c>
    </row>
    <row r="671" spans="31:98" x14ac:dyDescent="0.2">
      <c r="AE671" s="3">
        <v>45257</v>
      </c>
      <c r="AF671" s="1">
        <v>5.75</v>
      </c>
      <c r="AG671" s="3">
        <v>45224</v>
      </c>
      <c r="AH671" s="1">
        <v>5.67</v>
      </c>
      <c r="AI671" s="3">
        <v>45265</v>
      </c>
      <c r="AJ671" s="2">
        <v>5.7854999999999999</v>
      </c>
      <c r="AK671" s="3">
        <v>45265</v>
      </c>
      <c r="AL671" s="2">
        <v>5.71</v>
      </c>
      <c r="AM671" s="3">
        <v>45265</v>
      </c>
      <c r="AN671" s="2">
        <v>5.65</v>
      </c>
      <c r="AO671" s="3">
        <v>45265</v>
      </c>
      <c r="AP671" s="2">
        <v>5.1825000000000001</v>
      </c>
      <c r="AQ671" s="3">
        <v>45265</v>
      </c>
      <c r="AR671" s="2">
        <v>4.7424999999999997</v>
      </c>
      <c r="AS671" s="3">
        <v>45265</v>
      </c>
      <c r="AT671" s="2">
        <v>4.3525</v>
      </c>
      <c r="AU671" s="3">
        <v>45265</v>
      </c>
      <c r="AV671" s="2">
        <v>4.0724999999999998</v>
      </c>
      <c r="AW671" s="3">
        <v>45265</v>
      </c>
      <c r="AX671" s="2">
        <v>3.8925000000000001</v>
      </c>
      <c r="AY671" s="3">
        <v>45265</v>
      </c>
      <c r="AZ671" s="2">
        <v>3.7774999999999999</v>
      </c>
      <c r="BB671" s="3">
        <v>45209</v>
      </c>
      <c r="BC671" s="1">
        <v>7</v>
      </c>
      <c r="BD671" s="3">
        <v>45225</v>
      </c>
      <c r="BE671" s="1">
        <v>7.03</v>
      </c>
      <c r="BF671" s="3">
        <v>45265</v>
      </c>
      <c r="BG671" s="1">
        <v>6.87</v>
      </c>
      <c r="BH671" s="3">
        <v>45265</v>
      </c>
      <c r="BI671" s="1">
        <v>6.7549999999999999</v>
      </c>
      <c r="BJ671" s="3">
        <v>45265</v>
      </c>
      <c r="BK671" s="1">
        <v>6.3049999999999997</v>
      </c>
      <c r="BL671" s="3">
        <v>45265</v>
      </c>
      <c r="BM671" s="1">
        <v>5.2649999999999997</v>
      </c>
      <c r="BN671" s="3">
        <v>45265</v>
      </c>
      <c r="BO671" s="1">
        <v>4.2699999999999996</v>
      </c>
      <c r="BP671" s="3">
        <v>45265</v>
      </c>
      <c r="BQ671" s="1">
        <v>3.68</v>
      </c>
      <c r="BR671" s="3">
        <v>45265</v>
      </c>
      <c r="BS671" s="1">
        <v>3.4449999999999998</v>
      </c>
      <c r="BT671" s="3">
        <v>45265</v>
      </c>
      <c r="BU671" s="1">
        <v>3.38</v>
      </c>
      <c r="BV671" s="3">
        <v>45265</v>
      </c>
      <c r="BW671" s="1">
        <v>3.3650000000000002</v>
      </c>
      <c r="BY671" s="3">
        <v>45225</v>
      </c>
      <c r="BZ671" s="1">
        <v>12.25</v>
      </c>
      <c r="CA671" s="3">
        <v>45215</v>
      </c>
      <c r="CB671" s="1">
        <v>12.03</v>
      </c>
      <c r="CC671" s="3">
        <v>45265</v>
      </c>
      <c r="CD671" s="1">
        <v>9.9809999999999999</v>
      </c>
      <c r="CE671" s="3">
        <v>45265</v>
      </c>
      <c r="CF671" s="1">
        <v>9.36</v>
      </c>
      <c r="CG671" s="3">
        <v>45265</v>
      </c>
      <c r="CH671" s="1">
        <v>8.7100000000000009</v>
      </c>
      <c r="CI671" s="3">
        <v>45265</v>
      </c>
      <c r="CJ671" s="1">
        <v>7.18</v>
      </c>
      <c r="CK671" s="3">
        <v>45265</v>
      </c>
      <c r="CL671" s="1">
        <v>6.12</v>
      </c>
      <c r="CM671" s="3">
        <v>45265</v>
      </c>
      <c r="CN671" s="1">
        <v>5.56</v>
      </c>
      <c r="CO671" s="3">
        <v>45257</v>
      </c>
      <c r="CP671" s="1">
        <v>6.12</v>
      </c>
      <c r="CQ671" s="3">
        <v>45257</v>
      </c>
      <c r="CR671" s="1">
        <v>5.95</v>
      </c>
      <c r="CS671" s="3">
        <v>45257</v>
      </c>
      <c r="CT671" s="1">
        <v>5.875</v>
      </c>
    </row>
    <row r="672" spans="31:98" x14ac:dyDescent="0.2">
      <c r="AE672" s="3">
        <v>45254</v>
      </c>
      <c r="AF672" s="1">
        <v>5.75</v>
      </c>
      <c r="AG672" s="3">
        <v>45223</v>
      </c>
      <c r="AH672" s="1">
        <v>5.65</v>
      </c>
      <c r="AI672" s="3">
        <v>45264</v>
      </c>
      <c r="AJ672" s="2">
        <v>5.7850000000000001</v>
      </c>
      <c r="AK672" s="3">
        <v>45264</v>
      </c>
      <c r="AL672" s="2">
        <v>5.7350000000000003</v>
      </c>
      <c r="AM672" s="3">
        <v>45264</v>
      </c>
      <c r="AN672" s="2">
        <v>5.6849999999999996</v>
      </c>
      <c r="AO672" s="3">
        <v>45264</v>
      </c>
      <c r="AP672" s="2">
        <v>5.2525000000000004</v>
      </c>
      <c r="AQ672" s="3">
        <v>45264</v>
      </c>
      <c r="AR672" s="2">
        <v>4.8600000000000003</v>
      </c>
      <c r="AS672" s="3">
        <v>45264</v>
      </c>
      <c r="AT672" s="2">
        <v>4.4800000000000004</v>
      </c>
      <c r="AU672" s="3">
        <v>45264</v>
      </c>
      <c r="AV672" s="2">
        <v>4.21</v>
      </c>
      <c r="AW672" s="3">
        <v>45264</v>
      </c>
      <c r="AX672" s="2">
        <v>4.04</v>
      </c>
      <c r="AY672" s="3">
        <v>45264</v>
      </c>
      <c r="AZ672" s="2">
        <v>3.9350000000000001</v>
      </c>
      <c r="BB672" s="3">
        <v>45208</v>
      </c>
      <c r="BC672" s="1">
        <v>7</v>
      </c>
      <c r="BD672" s="3">
        <v>45224</v>
      </c>
      <c r="BE672" s="1">
        <v>7.03</v>
      </c>
      <c r="BF672" s="3">
        <v>45264</v>
      </c>
      <c r="BG672" s="1">
        <v>6.9050000000000002</v>
      </c>
      <c r="BH672" s="3">
        <v>45264</v>
      </c>
      <c r="BI672" s="1">
        <v>6.8049999999999997</v>
      </c>
      <c r="BJ672" s="3">
        <v>45264</v>
      </c>
      <c r="BK672" s="1">
        <v>6.36</v>
      </c>
      <c r="BL672" s="3">
        <v>45264</v>
      </c>
      <c r="BM672" s="1">
        <v>5.3250000000000002</v>
      </c>
      <c r="BN672" s="3">
        <v>45264</v>
      </c>
      <c r="BO672" s="1">
        <v>4.42</v>
      </c>
      <c r="BP672" s="3">
        <v>45264</v>
      </c>
      <c r="BQ672" s="1">
        <v>3.76</v>
      </c>
      <c r="BR672" s="3">
        <v>45264</v>
      </c>
      <c r="BS672" s="1">
        <v>3.5430000000000001</v>
      </c>
      <c r="BT672" s="3">
        <v>45264</v>
      </c>
      <c r="BU672" s="1">
        <v>3.4849999999999999</v>
      </c>
      <c r="BV672" s="3">
        <v>45264</v>
      </c>
      <c r="BW672" s="1">
        <v>3.4550000000000001</v>
      </c>
      <c r="BY672" s="3">
        <v>45224</v>
      </c>
      <c r="BZ672" s="1">
        <v>12.25</v>
      </c>
      <c r="CA672" s="3">
        <v>45212</v>
      </c>
      <c r="CB672" s="1">
        <v>12.06</v>
      </c>
      <c r="CC672" s="3">
        <v>45264</v>
      </c>
      <c r="CD672" s="1">
        <v>10.048999999999999</v>
      </c>
      <c r="CE672" s="3">
        <v>45264</v>
      </c>
      <c r="CF672" s="1">
        <v>9.5009999999999994</v>
      </c>
      <c r="CG672" s="3">
        <v>45264</v>
      </c>
      <c r="CH672" s="1">
        <v>8.84</v>
      </c>
      <c r="CI672" s="3">
        <v>45264</v>
      </c>
      <c r="CJ672" s="1">
        <v>7.34</v>
      </c>
      <c r="CK672" s="3">
        <v>45264</v>
      </c>
      <c r="CL672" s="1">
        <v>6.34</v>
      </c>
      <c r="CM672" s="3">
        <v>45264</v>
      </c>
      <c r="CN672" s="1">
        <v>5.78</v>
      </c>
      <c r="CO672" s="3">
        <v>45254</v>
      </c>
      <c r="CP672" s="1">
        <v>6.12</v>
      </c>
      <c r="CQ672" s="3">
        <v>45254</v>
      </c>
      <c r="CR672" s="1">
        <v>5.95</v>
      </c>
      <c r="CS672" s="3">
        <v>45254</v>
      </c>
      <c r="CT672" s="1">
        <v>5.875</v>
      </c>
    </row>
    <row r="673" spans="31:98" x14ac:dyDescent="0.2">
      <c r="AE673" s="3">
        <v>45253</v>
      </c>
      <c r="AF673" s="1">
        <v>5.75</v>
      </c>
      <c r="AG673" s="3">
        <v>45222</v>
      </c>
      <c r="AH673" s="1">
        <v>5.67</v>
      </c>
      <c r="AI673" s="3">
        <v>45261</v>
      </c>
      <c r="AJ673" s="2">
        <v>5.782</v>
      </c>
      <c r="AK673" s="3">
        <v>45261</v>
      </c>
      <c r="AL673" s="2">
        <v>5.7249999999999996</v>
      </c>
      <c r="AM673" s="3">
        <v>45261</v>
      </c>
      <c r="AN673" s="2">
        <v>5.6449999999999996</v>
      </c>
      <c r="AO673" s="3">
        <v>45261</v>
      </c>
      <c r="AP673" s="2">
        <v>5.2774999999999999</v>
      </c>
      <c r="AQ673" s="3">
        <v>45261</v>
      </c>
      <c r="AR673" s="2">
        <v>4.8875000000000002</v>
      </c>
      <c r="AS673" s="3">
        <v>45261</v>
      </c>
      <c r="AT673" s="2">
        <v>4.5075000000000003</v>
      </c>
      <c r="AU673" s="3">
        <v>45261</v>
      </c>
      <c r="AV673" s="2">
        <v>4.2374999999999998</v>
      </c>
      <c r="AW673" s="3">
        <v>45261</v>
      </c>
      <c r="AX673" s="2">
        <v>4.05</v>
      </c>
      <c r="AY673" s="3">
        <v>45261</v>
      </c>
      <c r="AZ673" s="2">
        <v>3.9525000000000001</v>
      </c>
      <c r="BB673" s="3">
        <v>45205</v>
      </c>
      <c r="BC673" s="1">
        <v>7</v>
      </c>
      <c r="BD673" s="3">
        <v>45223</v>
      </c>
      <c r="BE673" s="1">
        <v>7.03</v>
      </c>
      <c r="BF673" s="3">
        <v>45261</v>
      </c>
      <c r="BG673" s="1">
        <v>6.9050000000000002</v>
      </c>
      <c r="BH673" s="3">
        <v>45261</v>
      </c>
      <c r="BI673" s="1">
        <v>6.8049999999999997</v>
      </c>
      <c r="BJ673" s="3">
        <v>45261</v>
      </c>
      <c r="BK673" s="1">
        <v>6.36</v>
      </c>
      <c r="BL673" s="3">
        <v>45261</v>
      </c>
      <c r="BM673" s="1">
        <v>5.35</v>
      </c>
      <c r="BN673" s="3">
        <v>45261</v>
      </c>
      <c r="BO673" s="1">
        <v>4.42</v>
      </c>
      <c r="BP673" s="3">
        <v>45261</v>
      </c>
      <c r="BQ673" s="1">
        <v>3.7549999999999999</v>
      </c>
      <c r="BR673" s="3">
        <v>45261</v>
      </c>
      <c r="BS673" s="1">
        <v>3.5649999999999999</v>
      </c>
      <c r="BT673" s="3">
        <v>45261</v>
      </c>
      <c r="BU673" s="1">
        <v>3.52</v>
      </c>
      <c r="BV673" s="3">
        <v>45261</v>
      </c>
      <c r="BW673" s="1">
        <v>3.49</v>
      </c>
      <c r="BY673" s="3">
        <v>45223</v>
      </c>
      <c r="BZ673" s="1">
        <v>13</v>
      </c>
      <c r="CA673" s="3">
        <v>45211</v>
      </c>
      <c r="CB673" s="1">
        <v>12.09</v>
      </c>
      <c r="CC673" s="3">
        <v>45261</v>
      </c>
      <c r="CD673" s="1">
        <v>10.029999999999999</v>
      </c>
      <c r="CE673" s="3">
        <v>45261</v>
      </c>
      <c r="CF673" s="1">
        <v>9.51</v>
      </c>
      <c r="CG673" s="3">
        <v>45261</v>
      </c>
      <c r="CH673" s="1">
        <v>8.85</v>
      </c>
      <c r="CI673" s="3">
        <v>45261</v>
      </c>
      <c r="CJ673" s="1">
        <v>7.37</v>
      </c>
      <c r="CK673" s="3">
        <v>45261</v>
      </c>
      <c r="CL673" s="1">
        <v>6.43</v>
      </c>
      <c r="CM673" s="3">
        <v>45261</v>
      </c>
      <c r="CN673" s="1">
        <v>5.9649999999999999</v>
      </c>
      <c r="CO673" s="3">
        <v>45253</v>
      </c>
      <c r="CP673" s="1">
        <v>6.1</v>
      </c>
      <c r="CQ673" s="3">
        <v>45253</v>
      </c>
      <c r="CR673" s="1">
        <v>5.93</v>
      </c>
      <c r="CS673" s="3">
        <v>45253</v>
      </c>
      <c r="CT673" s="1">
        <v>5.8550000000000004</v>
      </c>
    </row>
    <row r="674" spans="31:98" x14ac:dyDescent="0.2">
      <c r="AE674" s="3">
        <v>45252</v>
      </c>
      <c r="AF674" s="1">
        <v>5.75</v>
      </c>
      <c r="AG674" s="3">
        <v>45219</v>
      </c>
      <c r="AH674" s="1">
        <v>5.67</v>
      </c>
      <c r="AI674" s="3">
        <v>45260</v>
      </c>
      <c r="AJ674" s="2">
        <v>5.7868000000000004</v>
      </c>
      <c r="AK674" s="3">
        <v>45260</v>
      </c>
      <c r="AL674" s="2">
        <v>5.7649999999999997</v>
      </c>
      <c r="AM674" s="3">
        <v>45260</v>
      </c>
      <c r="AN674" s="2">
        <v>5.7175000000000002</v>
      </c>
      <c r="AO674" s="3">
        <v>45260</v>
      </c>
      <c r="AP674" s="2">
        <v>5.3875000000000002</v>
      </c>
      <c r="AQ674" s="3">
        <v>45260</v>
      </c>
      <c r="AR674" s="2">
        <v>5.0374999999999996</v>
      </c>
      <c r="AS674" s="3">
        <v>45260</v>
      </c>
      <c r="AT674" s="2">
        <v>4.68</v>
      </c>
      <c r="AU674" s="3">
        <v>45260</v>
      </c>
      <c r="AV674" s="2">
        <v>4.3899999999999997</v>
      </c>
      <c r="AW674" s="3">
        <v>45260</v>
      </c>
      <c r="AX674" s="2">
        <v>4.2</v>
      </c>
      <c r="AY674" s="3">
        <v>45260</v>
      </c>
      <c r="AZ674" s="2">
        <v>4.08</v>
      </c>
      <c r="BB674" s="3">
        <v>45204</v>
      </c>
      <c r="BC674" s="1">
        <v>7</v>
      </c>
      <c r="BD674" s="3">
        <v>45222</v>
      </c>
      <c r="BE674" s="1">
        <v>7.03</v>
      </c>
      <c r="BF674" s="3">
        <v>45260</v>
      </c>
      <c r="BG674" s="1">
        <v>6.91</v>
      </c>
      <c r="BH674" s="3">
        <v>45260</v>
      </c>
      <c r="BI674" s="1">
        <v>6.8250000000000002</v>
      </c>
      <c r="BJ674" s="3">
        <v>45260</v>
      </c>
      <c r="BK674" s="1">
        <v>6.4329999999999998</v>
      </c>
      <c r="BL674" s="3">
        <v>45260</v>
      </c>
      <c r="BM674" s="1">
        <v>5.4329999999999998</v>
      </c>
      <c r="BN674" s="3">
        <v>45260</v>
      </c>
      <c r="BO674" s="1">
        <v>4.4580000000000002</v>
      </c>
      <c r="BP674" s="3">
        <v>45260</v>
      </c>
      <c r="BQ674" s="1">
        <v>3.9079999999999999</v>
      </c>
      <c r="BR674" s="3">
        <v>45260</v>
      </c>
      <c r="BS674" s="1">
        <v>3.7229999999999999</v>
      </c>
      <c r="BT674" s="3">
        <v>45260</v>
      </c>
      <c r="BU674" s="1">
        <v>3.6629999999999998</v>
      </c>
      <c r="BV674" s="3">
        <v>45260</v>
      </c>
      <c r="BW674" s="1">
        <v>3.6379999999999999</v>
      </c>
      <c r="BY674" s="3">
        <v>45222</v>
      </c>
      <c r="BZ674" s="1">
        <v>13</v>
      </c>
      <c r="CA674" s="3">
        <v>45210</v>
      </c>
      <c r="CB674" s="1">
        <v>12.13</v>
      </c>
      <c r="CC674" s="3">
        <v>45260</v>
      </c>
      <c r="CD674" s="1">
        <v>10.039999999999999</v>
      </c>
      <c r="CE674" s="3">
        <v>45260</v>
      </c>
      <c r="CF674" s="1">
        <v>9.51</v>
      </c>
      <c r="CG674" s="3">
        <v>45260</v>
      </c>
      <c r="CH674" s="1">
        <v>8.8800000000000008</v>
      </c>
      <c r="CI674" s="3">
        <v>45260</v>
      </c>
      <c r="CJ674" s="1">
        <v>7.4</v>
      </c>
      <c r="CK674" s="3">
        <v>45260</v>
      </c>
      <c r="CL674" s="1">
        <v>6.46</v>
      </c>
      <c r="CM674" s="3">
        <v>45260</v>
      </c>
      <c r="CN674" s="1">
        <v>6.01</v>
      </c>
      <c r="CO674" s="3">
        <v>45252</v>
      </c>
      <c r="CP674" s="1">
        <v>6.16</v>
      </c>
      <c r="CQ674" s="3">
        <v>45252</v>
      </c>
      <c r="CR674" s="1">
        <v>5.99</v>
      </c>
      <c r="CS674" s="3">
        <v>45252</v>
      </c>
      <c r="CT674" s="1">
        <v>5.915</v>
      </c>
    </row>
    <row r="675" spans="31:98" x14ac:dyDescent="0.2">
      <c r="AE675" s="3">
        <v>45251</v>
      </c>
      <c r="AF675" s="1">
        <v>5.75</v>
      </c>
      <c r="AG675" s="3">
        <v>45218</v>
      </c>
      <c r="AH675" s="1">
        <v>5.68</v>
      </c>
      <c r="AI675" s="3">
        <v>45259</v>
      </c>
      <c r="AJ675" s="2">
        <v>5.798</v>
      </c>
      <c r="AK675" s="3">
        <v>45259</v>
      </c>
      <c r="AL675" s="2">
        <v>5.7750000000000004</v>
      </c>
      <c r="AM675" s="3">
        <v>45259</v>
      </c>
      <c r="AN675" s="2">
        <v>5.74</v>
      </c>
      <c r="AO675" s="3">
        <v>45259</v>
      </c>
      <c r="AP675" s="2">
        <v>5.44</v>
      </c>
      <c r="AQ675" s="3">
        <v>45259</v>
      </c>
      <c r="AR675" s="2">
        <v>5.1050000000000004</v>
      </c>
      <c r="AS675" s="3">
        <v>45259</v>
      </c>
      <c r="AT675" s="2">
        <v>4.7649999999999997</v>
      </c>
      <c r="AU675" s="3">
        <v>45259</v>
      </c>
      <c r="AV675" s="2">
        <v>4.4725000000000001</v>
      </c>
      <c r="AW675" s="3">
        <v>45259</v>
      </c>
      <c r="AX675" s="2">
        <v>4.2625000000000002</v>
      </c>
      <c r="AY675" s="3">
        <v>45259</v>
      </c>
      <c r="AZ675" s="2">
        <v>4.1124999999999998</v>
      </c>
      <c r="BB675" s="3">
        <v>45203</v>
      </c>
      <c r="BC675" s="1">
        <v>7</v>
      </c>
      <c r="BD675" s="3">
        <v>45219</v>
      </c>
      <c r="BE675" s="1">
        <v>7.03</v>
      </c>
      <c r="BF675" s="3">
        <v>45259</v>
      </c>
      <c r="BG675" s="1">
        <v>6.9</v>
      </c>
      <c r="BH675" s="3">
        <v>45259</v>
      </c>
      <c r="BI675" s="1">
        <v>6.8449999999999998</v>
      </c>
      <c r="BJ675" s="3">
        <v>45259</v>
      </c>
      <c r="BK675" s="1">
        <v>6.4249999999999998</v>
      </c>
      <c r="BL675" s="3">
        <v>45259</v>
      </c>
      <c r="BM675" s="1">
        <v>5.41</v>
      </c>
      <c r="BN675" s="3">
        <v>45259</v>
      </c>
      <c r="BO675" s="1">
        <v>4.43</v>
      </c>
      <c r="BP675" s="3">
        <v>45259</v>
      </c>
      <c r="BQ675" s="1">
        <v>3.86</v>
      </c>
      <c r="BR675" s="3">
        <v>45259</v>
      </c>
      <c r="BS675" s="1">
        <v>3.645</v>
      </c>
      <c r="BT675" s="3">
        <v>45259</v>
      </c>
      <c r="BU675" s="1">
        <v>3.5750000000000002</v>
      </c>
      <c r="BV675" s="3">
        <v>45259</v>
      </c>
      <c r="BW675" s="1">
        <v>3.55</v>
      </c>
      <c r="BY675" s="3">
        <v>45219</v>
      </c>
      <c r="BZ675" s="1">
        <v>13</v>
      </c>
      <c r="CA675" s="3">
        <v>45209</v>
      </c>
      <c r="CB675" s="1">
        <v>12.17</v>
      </c>
      <c r="CC675" s="3">
        <v>45259</v>
      </c>
      <c r="CD675" s="1">
        <v>10.050000000000001</v>
      </c>
      <c r="CE675" s="3">
        <v>45259</v>
      </c>
      <c r="CF675" s="1">
        <v>9.7799999999999994</v>
      </c>
      <c r="CG675" s="3">
        <v>45259</v>
      </c>
      <c r="CH675" s="1">
        <v>8.8699999999999992</v>
      </c>
      <c r="CI675" s="3">
        <v>45259</v>
      </c>
      <c r="CJ675" s="1">
        <v>7.34</v>
      </c>
      <c r="CK675" s="3">
        <v>45259</v>
      </c>
      <c r="CL675" s="1">
        <v>6.38</v>
      </c>
      <c r="CM675" s="3">
        <v>45259</v>
      </c>
      <c r="CN675" s="1">
        <v>5.9050000000000002</v>
      </c>
      <c r="CO675" s="3">
        <v>45251</v>
      </c>
      <c r="CP675" s="1">
        <v>5.87</v>
      </c>
      <c r="CQ675" s="3">
        <v>45251</v>
      </c>
      <c r="CR675" s="1">
        <v>5.67</v>
      </c>
      <c r="CS675" s="3">
        <v>45251</v>
      </c>
      <c r="CT675" s="1">
        <v>5.5949999999999998</v>
      </c>
    </row>
    <row r="676" spans="31:98" x14ac:dyDescent="0.2">
      <c r="AE676" s="3">
        <v>45250</v>
      </c>
      <c r="AF676" s="1">
        <v>5.75</v>
      </c>
      <c r="AG676" s="3">
        <v>45217</v>
      </c>
      <c r="AH676" s="1">
        <v>5.68</v>
      </c>
      <c r="AI676" s="3">
        <v>45258</v>
      </c>
      <c r="AJ676" s="2">
        <v>5.8129999999999997</v>
      </c>
      <c r="AK676" s="3">
        <v>45258</v>
      </c>
      <c r="AL676" s="2">
        <v>5.7789999999999999</v>
      </c>
      <c r="AM676" s="3">
        <v>45258</v>
      </c>
      <c r="AN676" s="2">
        <v>5.74</v>
      </c>
      <c r="AO676" s="3">
        <v>45258</v>
      </c>
      <c r="AP676" s="2">
        <v>5.47</v>
      </c>
      <c r="AQ676" s="3">
        <v>45258</v>
      </c>
      <c r="AR676" s="2">
        <v>5.18</v>
      </c>
      <c r="AS676" s="3">
        <v>45258</v>
      </c>
      <c r="AT676" s="2">
        <v>4.8525</v>
      </c>
      <c r="AU676" s="3">
        <v>45258</v>
      </c>
      <c r="AV676" s="2">
        <v>4.5975000000000001</v>
      </c>
      <c r="AW676" s="3">
        <v>45258</v>
      </c>
      <c r="AX676" s="2">
        <v>4.3975</v>
      </c>
      <c r="AY676" s="3">
        <v>45258</v>
      </c>
      <c r="AZ676" s="2">
        <v>4.2774999999999999</v>
      </c>
      <c r="BB676" s="3">
        <v>45202</v>
      </c>
      <c r="BC676" s="1">
        <v>7</v>
      </c>
      <c r="BD676" s="3">
        <v>45218</v>
      </c>
      <c r="BE676" s="1">
        <v>7.03</v>
      </c>
      <c r="BF676" s="3">
        <v>45258</v>
      </c>
      <c r="BG676" s="1">
        <v>6.9</v>
      </c>
      <c r="BH676" s="3">
        <v>45258</v>
      </c>
      <c r="BI676" s="1">
        <v>6.85</v>
      </c>
      <c r="BJ676" s="3">
        <v>45258</v>
      </c>
      <c r="BK676" s="1">
        <v>6.43</v>
      </c>
      <c r="BL676" s="3">
        <v>45258</v>
      </c>
      <c r="BM676" s="1">
        <v>5.4480000000000004</v>
      </c>
      <c r="BN676" s="3">
        <v>45258</v>
      </c>
      <c r="BO676" s="1">
        <v>4.4829999999999997</v>
      </c>
      <c r="BP676" s="3">
        <v>45258</v>
      </c>
      <c r="BQ676" s="1">
        <v>3.9329999999999998</v>
      </c>
      <c r="BR676" s="3">
        <v>45258</v>
      </c>
      <c r="BS676" s="1">
        <v>3.73</v>
      </c>
      <c r="BT676" s="3">
        <v>45258</v>
      </c>
      <c r="BU676" s="1">
        <v>3.68</v>
      </c>
      <c r="BV676" s="3">
        <v>45258</v>
      </c>
      <c r="BW676" s="1">
        <v>3.66</v>
      </c>
      <c r="BY676" s="3">
        <v>45218</v>
      </c>
      <c r="BZ676" s="1">
        <v>13</v>
      </c>
      <c r="CA676" s="3">
        <v>45208</v>
      </c>
      <c r="CB676" s="1">
        <v>12.19</v>
      </c>
      <c r="CC676" s="3">
        <v>45258</v>
      </c>
      <c r="CD676" s="1">
        <v>10.07</v>
      </c>
      <c r="CE676" s="3">
        <v>45258</v>
      </c>
      <c r="CF676" s="1">
        <v>9.68</v>
      </c>
      <c r="CG676" s="3">
        <v>45258</v>
      </c>
      <c r="CH676" s="1">
        <v>9.0399999999999991</v>
      </c>
      <c r="CI676" s="3">
        <v>45258</v>
      </c>
      <c r="CJ676" s="1">
        <v>7.45</v>
      </c>
      <c r="CK676" s="3">
        <v>45258</v>
      </c>
      <c r="CL676" s="1">
        <v>6.61</v>
      </c>
      <c r="CM676" s="3">
        <v>45258</v>
      </c>
      <c r="CN676" s="1">
        <v>6.1550000000000002</v>
      </c>
      <c r="CO676" s="3">
        <v>45250</v>
      </c>
      <c r="CP676" s="1">
        <v>5.83</v>
      </c>
      <c r="CQ676" s="3">
        <v>45250</v>
      </c>
      <c r="CR676" s="1">
        <v>5.64</v>
      </c>
      <c r="CS676" s="3">
        <v>45250</v>
      </c>
      <c r="CT676" s="1">
        <v>5.585</v>
      </c>
    </row>
    <row r="677" spans="31:98" x14ac:dyDescent="0.2">
      <c r="AE677" s="3">
        <v>45247</v>
      </c>
      <c r="AF677" s="1">
        <v>5.75</v>
      </c>
      <c r="AG677" s="3">
        <v>45216</v>
      </c>
      <c r="AH677" s="1">
        <v>5.69</v>
      </c>
      <c r="AI677" s="3">
        <v>45257</v>
      </c>
      <c r="AJ677" s="2">
        <v>5.827</v>
      </c>
      <c r="AK677" s="3">
        <v>45257</v>
      </c>
      <c r="AL677" s="2">
        <v>5.8</v>
      </c>
      <c r="AM677" s="3">
        <v>45257</v>
      </c>
      <c r="AN677" s="2">
        <v>5.7750000000000004</v>
      </c>
      <c r="AO677" s="3">
        <v>45257</v>
      </c>
      <c r="AP677" s="2">
        <v>5.5225</v>
      </c>
      <c r="AQ677" s="3">
        <v>45257</v>
      </c>
      <c r="AR677" s="2">
        <v>5.2350000000000003</v>
      </c>
      <c r="AS677" s="3">
        <v>45257</v>
      </c>
      <c r="AT677" s="2">
        <v>4.9325000000000001</v>
      </c>
      <c r="AU677" s="3">
        <v>45257</v>
      </c>
      <c r="AV677" s="2">
        <v>4.6924999999999999</v>
      </c>
      <c r="AW677" s="3">
        <v>45257</v>
      </c>
      <c r="AX677" s="2">
        <v>4.5125000000000002</v>
      </c>
      <c r="AY677" s="3">
        <v>45257</v>
      </c>
      <c r="AZ677" s="2">
        <v>4.4074999999999998</v>
      </c>
      <c r="BB677" s="3">
        <v>45201</v>
      </c>
      <c r="BC677" s="1">
        <v>7</v>
      </c>
      <c r="BD677" s="3">
        <v>45217</v>
      </c>
      <c r="BE677" s="1">
        <v>7.03</v>
      </c>
      <c r="BF677" s="3">
        <v>45257</v>
      </c>
      <c r="BG677" s="1">
        <v>6.9</v>
      </c>
      <c r="BH677" s="3">
        <v>45257</v>
      </c>
      <c r="BI677" s="1">
        <v>6.84</v>
      </c>
      <c r="BJ677" s="3">
        <v>45257</v>
      </c>
      <c r="BK677" s="1">
        <v>6.4050000000000002</v>
      </c>
      <c r="BL677" s="3">
        <v>45257</v>
      </c>
      <c r="BM677" s="1">
        <v>5.44</v>
      </c>
      <c r="BN677" s="3">
        <v>45257</v>
      </c>
      <c r="BO677" s="1">
        <v>4.5199999999999996</v>
      </c>
      <c r="BP677" s="3">
        <v>45257</v>
      </c>
      <c r="BQ677" s="1">
        <v>3.94</v>
      </c>
      <c r="BR677" s="3">
        <v>45257</v>
      </c>
      <c r="BS677" s="1">
        <v>3.758</v>
      </c>
      <c r="BT677" s="3">
        <v>45257</v>
      </c>
      <c r="BU677" s="1">
        <v>3.718</v>
      </c>
      <c r="BV677" s="3">
        <v>45257</v>
      </c>
      <c r="BW677" s="1">
        <v>3.698</v>
      </c>
      <c r="BY677" s="3">
        <v>45217</v>
      </c>
      <c r="BZ677" s="1">
        <v>13</v>
      </c>
      <c r="CA677" s="3">
        <v>45205</v>
      </c>
      <c r="CB677" s="1">
        <v>12.19</v>
      </c>
      <c r="CC677" s="3">
        <v>45257</v>
      </c>
      <c r="CD677" s="1">
        <v>10.1</v>
      </c>
      <c r="CE677" s="3">
        <v>45257</v>
      </c>
      <c r="CF677" s="1">
        <v>9.75</v>
      </c>
      <c r="CG677" s="3">
        <v>45257</v>
      </c>
      <c r="CH677" s="1">
        <v>9.1300000000000008</v>
      </c>
      <c r="CI677" s="3">
        <v>45257</v>
      </c>
      <c r="CJ677" s="1">
        <v>7.54</v>
      </c>
      <c r="CK677" s="3">
        <v>45257</v>
      </c>
      <c r="CL677" s="1">
        <v>6.78</v>
      </c>
      <c r="CM677" s="3">
        <v>45257</v>
      </c>
      <c r="CN677" s="1">
        <v>6.2949999999999999</v>
      </c>
      <c r="CO677" s="3">
        <v>45247</v>
      </c>
      <c r="CP677" s="1">
        <v>6.0049999999999999</v>
      </c>
      <c r="CQ677" s="3">
        <v>45247</v>
      </c>
      <c r="CR677" s="1">
        <v>5.8150000000000004</v>
      </c>
      <c r="CS677" s="3">
        <v>45247</v>
      </c>
      <c r="CT677" s="1">
        <v>5.76</v>
      </c>
    </row>
    <row r="678" spans="31:98" x14ac:dyDescent="0.2">
      <c r="AE678" s="3">
        <v>45246</v>
      </c>
      <c r="AF678" s="1">
        <v>5.75</v>
      </c>
      <c r="AG678" s="3">
        <v>45215</v>
      </c>
      <c r="AH678" s="1">
        <v>5.68</v>
      </c>
      <c r="AI678" s="3">
        <v>45254</v>
      </c>
      <c r="AJ678" s="2">
        <v>5.8215000000000003</v>
      </c>
      <c r="AK678" s="3">
        <v>45254</v>
      </c>
      <c r="AL678" s="2">
        <v>5.7949999999999999</v>
      </c>
      <c r="AM678" s="3">
        <v>45254</v>
      </c>
      <c r="AN678" s="2">
        <v>5.7725</v>
      </c>
      <c r="AO678" s="3">
        <v>45254</v>
      </c>
      <c r="AP678" s="2">
        <v>5.5250000000000004</v>
      </c>
      <c r="AQ678" s="3">
        <v>45254</v>
      </c>
      <c r="AR678" s="2">
        <v>5.2374999999999998</v>
      </c>
      <c r="AS678" s="3">
        <v>45254</v>
      </c>
      <c r="AT678" s="2">
        <v>4.9375</v>
      </c>
      <c r="AU678" s="3">
        <v>45254</v>
      </c>
      <c r="AV678" s="2">
        <v>4.6924999999999999</v>
      </c>
      <c r="AW678" s="3">
        <v>45254</v>
      </c>
      <c r="AX678" s="2">
        <v>4.5225</v>
      </c>
      <c r="AY678" s="3">
        <v>45254</v>
      </c>
      <c r="AZ678" s="2">
        <v>4.4175000000000004</v>
      </c>
      <c r="BB678" s="3">
        <v>45198</v>
      </c>
      <c r="BC678" s="1">
        <v>7</v>
      </c>
      <c r="BD678" s="3">
        <v>45216</v>
      </c>
      <c r="BE678" s="1">
        <v>7.03</v>
      </c>
      <c r="BF678" s="3">
        <v>45254</v>
      </c>
      <c r="BG678" s="1">
        <v>6.9</v>
      </c>
      <c r="BH678" s="3">
        <v>45254</v>
      </c>
      <c r="BI678" s="1">
        <v>6.8449999999999998</v>
      </c>
      <c r="BJ678" s="3">
        <v>45254</v>
      </c>
      <c r="BK678" s="1">
        <v>6.4249999999999998</v>
      </c>
      <c r="BL678" s="3">
        <v>45254</v>
      </c>
      <c r="BM678" s="1">
        <v>5.5</v>
      </c>
      <c r="BN678" s="3">
        <v>45254</v>
      </c>
      <c r="BO678" s="1">
        <v>4.5549999999999997</v>
      </c>
      <c r="BP678" s="3">
        <v>45254</v>
      </c>
      <c r="BQ678" s="1">
        <v>4.03</v>
      </c>
      <c r="BR678" s="3">
        <v>45254</v>
      </c>
      <c r="BS678" s="1">
        <v>3.8650000000000002</v>
      </c>
      <c r="BT678" s="3">
        <v>45254</v>
      </c>
      <c r="BU678" s="1">
        <v>3.8050000000000002</v>
      </c>
      <c r="BV678" s="3">
        <v>45254</v>
      </c>
      <c r="BW678" s="1">
        <v>3.7949999999999999</v>
      </c>
      <c r="BY678" s="3">
        <v>45216</v>
      </c>
      <c r="BZ678" s="1">
        <v>13</v>
      </c>
      <c r="CA678" s="3">
        <v>45204</v>
      </c>
      <c r="CB678" s="1">
        <v>12.2</v>
      </c>
      <c r="CC678" s="3">
        <v>45254</v>
      </c>
      <c r="CD678" s="1">
        <v>10.08</v>
      </c>
      <c r="CE678" s="3">
        <v>45254</v>
      </c>
      <c r="CF678" s="1">
        <v>9.76</v>
      </c>
      <c r="CG678" s="3">
        <v>45254</v>
      </c>
      <c r="CH678" s="1">
        <v>9.14</v>
      </c>
      <c r="CI678" s="3">
        <v>45254</v>
      </c>
      <c r="CJ678" s="1">
        <v>7.55</v>
      </c>
      <c r="CK678" s="3">
        <v>45254</v>
      </c>
      <c r="CL678" s="1">
        <v>6.85</v>
      </c>
      <c r="CM678" s="3">
        <v>45254</v>
      </c>
      <c r="CN678" s="1">
        <v>6.2949999999999999</v>
      </c>
      <c r="CO678" s="3">
        <v>45246</v>
      </c>
      <c r="CP678" s="1">
        <v>6.0650000000000004</v>
      </c>
      <c r="CQ678" s="3">
        <v>45246</v>
      </c>
      <c r="CR678" s="1">
        <v>5.8849999999999998</v>
      </c>
      <c r="CS678" s="3">
        <v>45246</v>
      </c>
      <c r="CT678" s="1">
        <v>5.83</v>
      </c>
    </row>
    <row r="679" spans="31:98" x14ac:dyDescent="0.2">
      <c r="AE679" s="3">
        <v>45245</v>
      </c>
      <c r="AF679" s="1">
        <v>5.75</v>
      </c>
      <c r="AG679" s="3">
        <v>45212</v>
      </c>
      <c r="AH679" s="1">
        <v>5.68</v>
      </c>
      <c r="AI679" s="3">
        <v>45253</v>
      </c>
      <c r="AJ679" s="2">
        <v>5.8259999999999996</v>
      </c>
      <c r="AK679" s="3">
        <v>45253</v>
      </c>
      <c r="AL679" s="2">
        <v>5.7949999999999999</v>
      </c>
      <c r="AM679" s="3">
        <v>45253</v>
      </c>
      <c r="AN679" s="2">
        <v>5.7850000000000001</v>
      </c>
      <c r="AO679" s="3">
        <v>45253</v>
      </c>
      <c r="AP679" s="2">
        <v>5.51</v>
      </c>
      <c r="AQ679" s="3">
        <v>45253</v>
      </c>
      <c r="AR679" s="2">
        <v>5.21</v>
      </c>
      <c r="AS679" s="3">
        <v>45253</v>
      </c>
      <c r="AT679" s="2">
        <v>4.8849999999999998</v>
      </c>
      <c r="AU679" s="3">
        <v>45253</v>
      </c>
      <c r="AV679" s="2">
        <v>4.63</v>
      </c>
      <c r="AW679" s="3">
        <v>45253</v>
      </c>
      <c r="AX679" s="2">
        <v>4.4550000000000001</v>
      </c>
      <c r="AY679" s="3">
        <v>45253</v>
      </c>
      <c r="AZ679" s="2">
        <v>4.34</v>
      </c>
      <c r="BB679" s="3">
        <v>45196</v>
      </c>
      <c r="BC679" s="1">
        <v>7</v>
      </c>
      <c r="BD679" s="3">
        <v>45215</v>
      </c>
      <c r="BE679" s="1">
        <v>7.04</v>
      </c>
      <c r="BF679" s="3">
        <v>45253</v>
      </c>
      <c r="BG679" s="1">
        <v>7.02</v>
      </c>
      <c r="BH679" s="3">
        <v>45253</v>
      </c>
      <c r="BI679" s="1">
        <v>6.875</v>
      </c>
      <c r="BJ679" s="3">
        <v>45253</v>
      </c>
      <c r="BK679" s="1">
        <v>6.4349999999999996</v>
      </c>
      <c r="BL679" s="3">
        <v>45253</v>
      </c>
      <c r="BM679" s="1">
        <v>5.47</v>
      </c>
      <c r="BN679" s="3">
        <v>45253</v>
      </c>
      <c r="BO679" s="1">
        <v>4.5599999999999996</v>
      </c>
      <c r="BP679" s="3">
        <v>45253</v>
      </c>
      <c r="BQ679" s="1">
        <v>4.07</v>
      </c>
      <c r="BR679" s="3">
        <v>45253</v>
      </c>
      <c r="BS679" s="1">
        <v>3.92</v>
      </c>
      <c r="BT679" s="3">
        <v>45253</v>
      </c>
      <c r="BU679" s="1">
        <v>3.88</v>
      </c>
      <c r="BV679" s="3">
        <v>45253</v>
      </c>
      <c r="BW679" s="1">
        <v>3.8479999999999999</v>
      </c>
      <c r="BY679" s="3">
        <v>45215</v>
      </c>
      <c r="BZ679" s="1">
        <v>13</v>
      </c>
      <c r="CA679" s="3">
        <v>45203</v>
      </c>
      <c r="CB679" s="1">
        <v>12.21</v>
      </c>
      <c r="CC679" s="3">
        <v>45253</v>
      </c>
      <c r="CD679" s="1">
        <v>10.07</v>
      </c>
      <c r="CE679" s="3">
        <v>45253</v>
      </c>
      <c r="CF679" s="1">
        <v>9.75</v>
      </c>
      <c r="CG679" s="3">
        <v>45253</v>
      </c>
      <c r="CH679" s="1">
        <v>9.14</v>
      </c>
      <c r="CI679" s="3">
        <v>45253</v>
      </c>
      <c r="CJ679" s="1">
        <v>7.61</v>
      </c>
      <c r="CK679" s="3">
        <v>45253</v>
      </c>
      <c r="CL679" s="1">
        <v>6.86</v>
      </c>
      <c r="CM679" s="3">
        <v>45253</v>
      </c>
      <c r="CN679" s="1">
        <v>6.2750000000000004</v>
      </c>
      <c r="CO679" s="3">
        <v>45245</v>
      </c>
      <c r="CP679" s="1">
        <v>6.2850000000000001</v>
      </c>
      <c r="CQ679" s="3">
        <v>45245</v>
      </c>
      <c r="CR679" s="1">
        <v>6.1050000000000004</v>
      </c>
      <c r="CS679" s="3">
        <v>45245</v>
      </c>
      <c r="CT679" s="1">
        <v>6.05</v>
      </c>
    </row>
    <row r="680" spans="31:98" x14ac:dyDescent="0.2">
      <c r="AE680" s="3">
        <v>45244</v>
      </c>
      <c r="AF680" s="1">
        <v>5.75</v>
      </c>
      <c r="AG680" s="3">
        <v>45211</v>
      </c>
      <c r="AH680" s="1">
        <v>5.7</v>
      </c>
      <c r="AI680" s="3">
        <v>45252</v>
      </c>
      <c r="AJ680" s="2">
        <v>5.8274999999999997</v>
      </c>
      <c r="AK680" s="3">
        <v>45252</v>
      </c>
      <c r="AL680" s="2">
        <v>5.8049999999999997</v>
      </c>
      <c r="AM680" s="3">
        <v>45252</v>
      </c>
      <c r="AN680" s="2">
        <v>5.7649999999999997</v>
      </c>
      <c r="AO680" s="3">
        <v>45252</v>
      </c>
      <c r="AP680" s="2">
        <v>5.4474999999999998</v>
      </c>
      <c r="AQ680" s="3">
        <v>45252</v>
      </c>
      <c r="AR680" s="2">
        <v>5.1124999999999998</v>
      </c>
      <c r="AS680" s="3">
        <v>45252</v>
      </c>
      <c r="AT680" s="2">
        <v>4.7625000000000002</v>
      </c>
      <c r="AU680" s="3">
        <v>45252</v>
      </c>
      <c r="AV680" s="2">
        <v>4.4974999999999996</v>
      </c>
      <c r="AW680" s="3">
        <v>45252</v>
      </c>
      <c r="AX680" s="2">
        <v>4.2824999999999998</v>
      </c>
      <c r="AY680" s="3">
        <v>45252</v>
      </c>
      <c r="AZ680" s="2">
        <v>4.1749999999999998</v>
      </c>
      <c r="BB680" s="3">
        <v>45195</v>
      </c>
      <c r="BC680" s="1">
        <v>7</v>
      </c>
      <c r="BD680" s="3">
        <v>45212</v>
      </c>
      <c r="BE680" s="1">
        <v>7.04</v>
      </c>
      <c r="BF680" s="3">
        <v>45252</v>
      </c>
      <c r="BG680" s="1">
        <v>7.03</v>
      </c>
      <c r="BH680" s="3">
        <v>45252</v>
      </c>
      <c r="BI680" s="1">
        <v>6.875</v>
      </c>
      <c r="BJ680" s="3">
        <v>45252</v>
      </c>
      <c r="BK680" s="1">
        <v>6.4349999999999996</v>
      </c>
      <c r="BL680" s="3">
        <v>45252</v>
      </c>
      <c r="BM680" s="1">
        <v>5.415</v>
      </c>
      <c r="BN680" s="3">
        <v>45252</v>
      </c>
      <c r="BO680" s="1">
        <v>4.4800000000000004</v>
      </c>
      <c r="BP680" s="3">
        <v>45252</v>
      </c>
      <c r="BQ680" s="1">
        <v>4</v>
      </c>
      <c r="BR680" s="3">
        <v>45252</v>
      </c>
      <c r="BS680" s="1">
        <v>3.8650000000000002</v>
      </c>
      <c r="BT680" s="3">
        <v>45252</v>
      </c>
      <c r="BU680" s="1">
        <v>3.8180000000000001</v>
      </c>
      <c r="BV680" s="3">
        <v>45252</v>
      </c>
      <c r="BW680" s="1">
        <v>3.7629999999999999</v>
      </c>
      <c r="BY680" s="3">
        <v>45212</v>
      </c>
      <c r="BZ680" s="1">
        <v>13</v>
      </c>
      <c r="CA680" s="3">
        <v>45202</v>
      </c>
      <c r="CB680" s="1">
        <v>12.22</v>
      </c>
      <c r="CC680" s="3">
        <v>45252</v>
      </c>
      <c r="CD680" s="1">
        <v>10.119999999999999</v>
      </c>
      <c r="CE680" s="3">
        <v>45252</v>
      </c>
      <c r="CF680" s="1">
        <v>9.84</v>
      </c>
      <c r="CG680" s="3">
        <v>45252</v>
      </c>
      <c r="CH680" s="1">
        <v>9.26</v>
      </c>
      <c r="CI680" s="3">
        <v>45252</v>
      </c>
      <c r="CJ680" s="1">
        <v>7.59</v>
      </c>
      <c r="CK680" s="3">
        <v>45252</v>
      </c>
      <c r="CL680" s="1">
        <v>6.79</v>
      </c>
      <c r="CM680" s="3">
        <v>45252</v>
      </c>
      <c r="CN680" s="1">
        <v>6.335</v>
      </c>
      <c r="CO680" s="3">
        <v>45244</v>
      </c>
      <c r="CP680" s="1">
        <v>6.29</v>
      </c>
      <c r="CQ680" s="3">
        <v>45244</v>
      </c>
      <c r="CR680" s="1">
        <v>6.11</v>
      </c>
      <c r="CS680" s="3">
        <v>45244</v>
      </c>
      <c r="CT680" s="1">
        <v>6.0549999999999997</v>
      </c>
    </row>
    <row r="681" spans="31:98" x14ac:dyDescent="0.2">
      <c r="AE681" s="3">
        <v>45243</v>
      </c>
      <c r="AF681" s="1">
        <v>5.75</v>
      </c>
      <c r="AG681" s="3">
        <v>45210</v>
      </c>
      <c r="AH681" s="1">
        <v>5.68</v>
      </c>
      <c r="AI681" s="3">
        <v>45251</v>
      </c>
      <c r="AJ681" s="2">
        <v>5.8140000000000001</v>
      </c>
      <c r="AK681" s="3">
        <v>45251</v>
      </c>
      <c r="AL681" s="2">
        <v>5.7774999999999999</v>
      </c>
      <c r="AM681" s="3">
        <v>45251</v>
      </c>
      <c r="AN681" s="2">
        <v>5.7324999999999999</v>
      </c>
      <c r="AO681" s="3">
        <v>45251</v>
      </c>
      <c r="AP681" s="2">
        <v>5.415</v>
      </c>
      <c r="AQ681" s="3">
        <v>45251</v>
      </c>
      <c r="AR681" s="2">
        <v>5.0599999999999996</v>
      </c>
      <c r="AS681" s="3">
        <v>45251</v>
      </c>
      <c r="AT681" s="2">
        <v>4.7249999999999996</v>
      </c>
      <c r="AU681" s="3">
        <v>45251</v>
      </c>
      <c r="AV681" s="2">
        <v>4.4550000000000001</v>
      </c>
      <c r="AW681" s="3">
        <v>45251</v>
      </c>
      <c r="AX681" s="2">
        <v>4.2350000000000003</v>
      </c>
      <c r="AY681" s="3">
        <v>45251</v>
      </c>
      <c r="AZ681" s="2">
        <v>4.1050000000000004</v>
      </c>
      <c r="BB681" s="3">
        <v>45194</v>
      </c>
      <c r="BC681" s="1">
        <v>7</v>
      </c>
      <c r="BD681" s="3">
        <v>45211</v>
      </c>
      <c r="BE681" s="1">
        <v>7.05</v>
      </c>
      <c r="BF681" s="3">
        <v>45251</v>
      </c>
      <c r="BG681" s="1">
        <v>6.9950000000000001</v>
      </c>
      <c r="BH681" s="3">
        <v>45251</v>
      </c>
      <c r="BI681" s="1">
        <v>6.8</v>
      </c>
      <c r="BJ681" s="3">
        <v>45251</v>
      </c>
      <c r="BK681" s="1">
        <v>6.3550000000000004</v>
      </c>
      <c r="BL681" s="3">
        <v>45251</v>
      </c>
      <c r="BM681" s="1">
        <v>5.3150000000000004</v>
      </c>
      <c r="BN681" s="3">
        <v>45251</v>
      </c>
      <c r="BO681" s="1">
        <v>4.32</v>
      </c>
      <c r="BP681" s="3">
        <v>45251</v>
      </c>
      <c r="BQ681" s="1">
        <v>3.83</v>
      </c>
      <c r="BR681" s="3">
        <v>45251</v>
      </c>
      <c r="BS681" s="1">
        <v>3.73</v>
      </c>
      <c r="BT681" s="3">
        <v>45251</v>
      </c>
      <c r="BU681" s="1">
        <v>3.645</v>
      </c>
      <c r="BV681" s="3">
        <v>45251</v>
      </c>
      <c r="BW681" s="1">
        <v>3.58</v>
      </c>
      <c r="BY681" s="3">
        <v>45211</v>
      </c>
      <c r="BZ681" s="1">
        <v>13</v>
      </c>
      <c r="CA681" s="3">
        <v>45201</v>
      </c>
      <c r="CB681" s="1">
        <v>12.24</v>
      </c>
      <c r="CC681" s="3">
        <v>45251</v>
      </c>
      <c r="CD681" s="1">
        <v>10.06</v>
      </c>
      <c r="CE681" s="3">
        <v>45251</v>
      </c>
      <c r="CF681" s="1">
        <v>9.67</v>
      </c>
      <c r="CG681" s="3">
        <v>45251</v>
      </c>
      <c r="CH681" s="1">
        <v>9.0500000000000007</v>
      </c>
      <c r="CI681" s="3">
        <v>45251</v>
      </c>
      <c r="CJ681" s="1">
        <v>7.53</v>
      </c>
      <c r="CK681" s="3">
        <v>45251</v>
      </c>
      <c r="CL681" s="1">
        <v>6.57</v>
      </c>
      <c r="CM681" s="3">
        <v>45251</v>
      </c>
      <c r="CN681" s="1">
        <v>6.0449999999999999</v>
      </c>
      <c r="CO681" s="3">
        <v>45243</v>
      </c>
      <c r="CP681" s="1">
        <v>6.54</v>
      </c>
      <c r="CQ681" s="3">
        <v>45243</v>
      </c>
      <c r="CR681" s="1">
        <v>6.3250000000000002</v>
      </c>
      <c r="CS681" s="3">
        <v>45243</v>
      </c>
      <c r="CT681" s="1">
        <v>6.1050000000000004</v>
      </c>
    </row>
    <row r="682" spans="31:98" x14ac:dyDescent="0.2">
      <c r="AE682" s="3">
        <v>45240</v>
      </c>
      <c r="AF682" s="1">
        <v>5.75</v>
      </c>
      <c r="AG682" s="3">
        <v>45209</v>
      </c>
      <c r="AH682" s="1">
        <v>5.7</v>
      </c>
      <c r="AI682" s="3">
        <v>45250</v>
      </c>
      <c r="AJ682" s="2">
        <v>5.8159999999999998</v>
      </c>
      <c r="AK682" s="3">
        <v>45250</v>
      </c>
      <c r="AL682" s="2">
        <v>5.7725</v>
      </c>
      <c r="AM682" s="3">
        <v>45250</v>
      </c>
      <c r="AN682" s="2">
        <v>5.7175000000000002</v>
      </c>
      <c r="AO682" s="3">
        <v>45250</v>
      </c>
      <c r="AP682" s="2">
        <v>5.41</v>
      </c>
      <c r="AQ682" s="3">
        <v>45250</v>
      </c>
      <c r="AR682" s="2">
        <v>5.0824999999999996</v>
      </c>
      <c r="AS682" s="3">
        <v>45250</v>
      </c>
      <c r="AT682" s="2">
        <v>4.7474999999999996</v>
      </c>
      <c r="AU682" s="3">
        <v>45250</v>
      </c>
      <c r="AV682" s="2">
        <v>4.4800000000000004</v>
      </c>
      <c r="AW682" s="3">
        <v>45250</v>
      </c>
      <c r="AX682" s="2">
        <v>4.26</v>
      </c>
      <c r="AY682" s="3">
        <v>45250</v>
      </c>
      <c r="AZ682" s="2">
        <v>4.1449999999999996</v>
      </c>
      <c r="BB682" s="3">
        <v>45191</v>
      </c>
      <c r="BC682" s="1">
        <v>7</v>
      </c>
      <c r="BD682" s="3">
        <v>45210</v>
      </c>
      <c r="BE682" s="1">
        <v>7.05</v>
      </c>
      <c r="BF682" s="3">
        <v>45250</v>
      </c>
      <c r="BG682" s="1">
        <v>7.01</v>
      </c>
      <c r="BH682" s="3">
        <v>45250</v>
      </c>
      <c r="BI682" s="1">
        <v>6.81</v>
      </c>
      <c r="BJ682" s="3">
        <v>45250</v>
      </c>
      <c r="BK682" s="1">
        <v>6.3550000000000004</v>
      </c>
      <c r="BL682" s="3">
        <v>45250</v>
      </c>
      <c r="BM682" s="1">
        <v>5.3150000000000004</v>
      </c>
      <c r="BN682" s="3">
        <v>45250</v>
      </c>
      <c r="BO682" s="1">
        <v>4.3049999999999997</v>
      </c>
      <c r="BP682" s="3">
        <v>45250</v>
      </c>
      <c r="BQ682" s="1">
        <v>3.8050000000000002</v>
      </c>
      <c r="BR682" s="3">
        <v>45250</v>
      </c>
      <c r="BS682" s="1">
        <v>3.698</v>
      </c>
      <c r="BT682" s="3">
        <v>45250</v>
      </c>
      <c r="BU682" s="1">
        <v>3.6179999999999999</v>
      </c>
      <c r="BV682" s="3">
        <v>45250</v>
      </c>
      <c r="BW682" s="1">
        <v>3.5979999999999999</v>
      </c>
      <c r="BY682" s="3">
        <v>45210</v>
      </c>
      <c r="BZ682" s="1">
        <v>13</v>
      </c>
      <c r="CA682" s="3">
        <v>45198</v>
      </c>
      <c r="CB682" s="1">
        <v>12.27</v>
      </c>
      <c r="CC682" s="3">
        <v>45250</v>
      </c>
      <c r="CD682" s="1">
        <v>10.130000000000001</v>
      </c>
      <c r="CE682" s="3">
        <v>45250</v>
      </c>
      <c r="CF682" s="1">
        <v>9.64</v>
      </c>
      <c r="CG682" s="3">
        <v>45250</v>
      </c>
      <c r="CH682" s="1">
        <v>9.0299999999999994</v>
      </c>
      <c r="CI682" s="3">
        <v>45250</v>
      </c>
      <c r="CJ682" s="1">
        <v>7.57</v>
      </c>
      <c r="CK682" s="3">
        <v>45250</v>
      </c>
      <c r="CL682" s="1">
        <v>6.63</v>
      </c>
      <c r="CM682" s="3">
        <v>45250</v>
      </c>
      <c r="CN682" s="1">
        <v>5.94</v>
      </c>
      <c r="CO682" s="3">
        <v>45240</v>
      </c>
      <c r="CP682" s="1">
        <v>6.415</v>
      </c>
      <c r="CQ682" s="3">
        <v>45240</v>
      </c>
      <c r="CR682" s="1">
        <v>6.24</v>
      </c>
      <c r="CS682" s="3">
        <v>45240</v>
      </c>
      <c r="CT682" s="1">
        <v>5.98</v>
      </c>
    </row>
    <row r="683" spans="31:98" x14ac:dyDescent="0.2">
      <c r="AE683" s="3">
        <v>45239</v>
      </c>
      <c r="AF683" s="1">
        <v>5.75</v>
      </c>
      <c r="AG683" s="3">
        <v>45208</v>
      </c>
      <c r="AH683" s="1">
        <v>5.69</v>
      </c>
      <c r="AI683" s="3">
        <v>45247</v>
      </c>
      <c r="AJ683" s="2">
        <v>5.8013000000000003</v>
      </c>
      <c r="AK683" s="3">
        <v>45247</v>
      </c>
      <c r="AL683" s="2">
        <v>5.75</v>
      </c>
      <c r="AM683" s="3">
        <v>45247</v>
      </c>
      <c r="AN683" s="2">
        <v>5.71</v>
      </c>
      <c r="AO683" s="3">
        <v>45247</v>
      </c>
      <c r="AP683" s="2">
        <v>5.3724999999999996</v>
      </c>
      <c r="AQ683" s="3">
        <v>45247</v>
      </c>
      <c r="AR683" s="2">
        <v>5.0199999999999996</v>
      </c>
      <c r="AS683" s="3">
        <v>45247</v>
      </c>
      <c r="AT683" s="2">
        <v>4.6875</v>
      </c>
      <c r="AU683" s="3">
        <v>45247</v>
      </c>
      <c r="AV683" s="2">
        <v>4.4450000000000003</v>
      </c>
      <c r="AW683" s="3">
        <v>45247</v>
      </c>
      <c r="AX683" s="2">
        <v>4.26</v>
      </c>
      <c r="AY683" s="3">
        <v>45247</v>
      </c>
      <c r="AZ683" s="2">
        <v>4.18</v>
      </c>
      <c r="BB683" s="3">
        <v>45190</v>
      </c>
      <c r="BC683" s="1">
        <v>7</v>
      </c>
      <c r="BD683" s="3">
        <v>45209</v>
      </c>
      <c r="BE683" s="1">
        <v>7.06</v>
      </c>
      <c r="BF683" s="3">
        <v>45247</v>
      </c>
      <c r="BG683" s="1">
        <v>7.02</v>
      </c>
      <c r="BH683" s="3">
        <v>45247</v>
      </c>
      <c r="BI683" s="1">
        <v>6.84</v>
      </c>
      <c r="BJ683" s="3">
        <v>45247</v>
      </c>
      <c r="BK683" s="1">
        <v>6.38</v>
      </c>
      <c r="BL683" s="3">
        <v>45247</v>
      </c>
      <c r="BM683" s="1">
        <v>5.3330000000000002</v>
      </c>
      <c r="BN683" s="3">
        <v>45247</v>
      </c>
      <c r="BO683" s="1">
        <v>4.34</v>
      </c>
      <c r="BP683" s="3">
        <v>45247</v>
      </c>
      <c r="BQ683" s="1">
        <v>3.8</v>
      </c>
      <c r="BR683" s="3">
        <v>45247</v>
      </c>
      <c r="BS683" s="1">
        <v>3.6949999999999998</v>
      </c>
      <c r="BT683" s="3">
        <v>45247</v>
      </c>
      <c r="BU683" s="1">
        <v>3.633</v>
      </c>
      <c r="BV683" s="3">
        <v>45247</v>
      </c>
      <c r="BW683" s="1">
        <v>3.6179999999999999</v>
      </c>
      <c r="BY683" s="3">
        <v>45209</v>
      </c>
      <c r="BZ683" s="1">
        <v>13</v>
      </c>
      <c r="CA683" s="3">
        <v>45197</v>
      </c>
      <c r="CB683" s="1">
        <v>12.29</v>
      </c>
      <c r="CC683" s="3">
        <v>45247</v>
      </c>
      <c r="CD683" s="1">
        <v>10.39</v>
      </c>
      <c r="CE683" s="3">
        <v>45247</v>
      </c>
      <c r="CF683" s="1">
        <v>9.7100000000000009</v>
      </c>
      <c r="CG683" s="3">
        <v>45247</v>
      </c>
      <c r="CH683" s="1">
        <v>9.15</v>
      </c>
      <c r="CI683" s="3">
        <v>45247</v>
      </c>
      <c r="CJ683" s="1">
        <v>7.72</v>
      </c>
      <c r="CK683" s="3">
        <v>45247</v>
      </c>
      <c r="CL683" s="1">
        <v>6.82</v>
      </c>
      <c r="CM683" s="3">
        <v>45247</v>
      </c>
      <c r="CN683" s="1">
        <v>6.125</v>
      </c>
      <c r="CO683" s="3">
        <v>45239</v>
      </c>
      <c r="CP683" s="1">
        <v>6.5549999999999997</v>
      </c>
      <c r="CQ683" s="3">
        <v>45239</v>
      </c>
      <c r="CR683" s="1">
        <v>6.375</v>
      </c>
      <c r="CS683" s="3">
        <v>45239</v>
      </c>
      <c r="CT683" s="1">
        <v>6.1150000000000002</v>
      </c>
    </row>
    <row r="684" spans="31:98" x14ac:dyDescent="0.2">
      <c r="AE684" s="3">
        <v>45238</v>
      </c>
      <c r="AF684" s="1">
        <v>5.75</v>
      </c>
      <c r="AG684" s="3">
        <v>45205</v>
      </c>
      <c r="AH684" s="1">
        <v>5.7</v>
      </c>
      <c r="AI684" s="3">
        <v>45246</v>
      </c>
      <c r="AJ684" s="2">
        <v>5.7910000000000004</v>
      </c>
      <c r="AK684" s="3">
        <v>45246</v>
      </c>
      <c r="AL684" s="2">
        <v>5.72</v>
      </c>
      <c r="AM684" s="3">
        <v>45246</v>
      </c>
      <c r="AN684" s="2">
        <v>5.6449999999999996</v>
      </c>
      <c r="AO684" s="3">
        <v>45246</v>
      </c>
      <c r="AP684" s="2">
        <v>5.2949999999999999</v>
      </c>
      <c r="AQ684" s="3">
        <v>45246</v>
      </c>
      <c r="AR684" s="2">
        <v>4.9375</v>
      </c>
      <c r="AS684" s="3">
        <v>45246</v>
      </c>
      <c r="AT684" s="2">
        <v>4.63</v>
      </c>
      <c r="AU684" s="3">
        <v>45246</v>
      </c>
      <c r="AV684" s="2">
        <v>4.3975</v>
      </c>
      <c r="AW684" s="3">
        <v>45246</v>
      </c>
      <c r="AX684" s="2">
        <v>4.2275</v>
      </c>
      <c r="AY684" s="3">
        <v>45246</v>
      </c>
      <c r="AZ684" s="2">
        <v>4.1449999999999996</v>
      </c>
      <c r="BB684" s="3">
        <v>45189</v>
      </c>
      <c r="BC684" s="1">
        <v>7</v>
      </c>
      <c r="BD684" s="3">
        <v>45208</v>
      </c>
      <c r="BE684" s="1">
        <v>7.07</v>
      </c>
      <c r="BF684" s="3">
        <v>45246</v>
      </c>
      <c r="BG684" s="1">
        <v>7.02</v>
      </c>
      <c r="BH684" s="3">
        <v>45246</v>
      </c>
      <c r="BI684" s="1">
        <v>6.84</v>
      </c>
      <c r="BJ684" s="3">
        <v>45246</v>
      </c>
      <c r="BK684" s="1">
        <v>6.38</v>
      </c>
      <c r="BL684" s="3">
        <v>45246</v>
      </c>
      <c r="BM684" s="1">
        <v>5.3330000000000002</v>
      </c>
      <c r="BN684" s="3">
        <v>45246</v>
      </c>
      <c r="BO684" s="1">
        <v>4.32</v>
      </c>
      <c r="BP684" s="3">
        <v>45246</v>
      </c>
      <c r="BQ684" s="1">
        <v>3.8</v>
      </c>
      <c r="BR684" s="3">
        <v>45246</v>
      </c>
      <c r="BS684" s="1">
        <v>3.6949999999999998</v>
      </c>
      <c r="BT684" s="3">
        <v>45246</v>
      </c>
      <c r="BU684" s="1">
        <v>3.633</v>
      </c>
      <c r="BV684" s="3">
        <v>45246</v>
      </c>
      <c r="BW684" s="1">
        <v>3.6179999999999999</v>
      </c>
      <c r="BY684" s="3">
        <v>45208</v>
      </c>
      <c r="BZ684" s="1">
        <v>13</v>
      </c>
      <c r="CA684" s="3">
        <v>45196</v>
      </c>
      <c r="CB684" s="1">
        <v>12.31</v>
      </c>
      <c r="CC684" s="3">
        <v>45246</v>
      </c>
      <c r="CD684" s="1">
        <v>10.42</v>
      </c>
      <c r="CE684" s="3">
        <v>45246</v>
      </c>
      <c r="CF684" s="1">
        <v>9.75</v>
      </c>
      <c r="CG684" s="3">
        <v>45246</v>
      </c>
      <c r="CH684" s="1">
        <v>9.17</v>
      </c>
      <c r="CI684" s="3">
        <v>45246</v>
      </c>
      <c r="CJ684" s="1">
        <v>7.71</v>
      </c>
      <c r="CK684" s="3">
        <v>45246</v>
      </c>
      <c r="CL684" s="1">
        <v>6.79</v>
      </c>
      <c r="CM684" s="3">
        <v>45246</v>
      </c>
      <c r="CN684" s="1">
        <v>6.165</v>
      </c>
      <c r="CO684" s="3">
        <v>45238</v>
      </c>
      <c r="CP684" s="1">
        <v>6.49</v>
      </c>
      <c r="CQ684" s="3">
        <v>45238</v>
      </c>
      <c r="CR684" s="1">
        <v>6.3</v>
      </c>
      <c r="CS684" s="3">
        <v>45238</v>
      </c>
      <c r="CT684" s="1">
        <v>6.0549999999999997</v>
      </c>
    </row>
    <row r="685" spans="31:98" x14ac:dyDescent="0.2">
      <c r="AE685" s="3">
        <v>45237</v>
      </c>
      <c r="AF685" s="1">
        <v>5.75</v>
      </c>
      <c r="AG685" s="3">
        <v>45204</v>
      </c>
      <c r="AH685" s="1">
        <v>5.7</v>
      </c>
      <c r="AI685" s="3">
        <v>45245</v>
      </c>
      <c r="AJ685" s="2">
        <v>5.8014999999999999</v>
      </c>
      <c r="AK685" s="3">
        <v>45245</v>
      </c>
      <c r="AL685" s="2">
        <v>5.7249999999999996</v>
      </c>
      <c r="AM685" s="3">
        <v>45245</v>
      </c>
      <c r="AN685" s="2">
        <v>5.66</v>
      </c>
      <c r="AO685" s="3">
        <v>45245</v>
      </c>
      <c r="AP685" s="2">
        <v>5.32</v>
      </c>
      <c r="AQ685" s="3">
        <v>45245</v>
      </c>
      <c r="AR685" s="2">
        <v>4.9800000000000004</v>
      </c>
      <c r="AS685" s="3">
        <v>45245</v>
      </c>
      <c r="AT685" s="2">
        <v>4.7</v>
      </c>
      <c r="AU685" s="3">
        <v>45245</v>
      </c>
      <c r="AV685" s="2">
        <v>4.4800000000000004</v>
      </c>
      <c r="AW685" s="3">
        <v>45245</v>
      </c>
      <c r="AX685" s="2">
        <v>4.32</v>
      </c>
      <c r="AY685" s="3">
        <v>45245</v>
      </c>
      <c r="AZ685" s="2">
        <v>4.2450000000000001</v>
      </c>
      <c r="BB685" s="3">
        <v>45188</v>
      </c>
      <c r="BC685" s="1">
        <v>7</v>
      </c>
      <c r="BD685" s="3">
        <v>45205</v>
      </c>
      <c r="BE685" s="1">
        <v>7.08</v>
      </c>
      <c r="BF685" s="3">
        <v>45245</v>
      </c>
      <c r="BG685" s="1">
        <v>7.0350000000000001</v>
      </c>
      <c r="BH685" s="3">
        <v>45245</v>
      </c>
      <c r="BI685" s="1">
        <v>6.81</v>
      </c>
      <c r="BJ685" s="3">
        <v>45245</v>
      </c>
      <c r="BK685" s="1">
        <v>6.39</v>
      </c>
      <c r="BL685" s="3">
        <v>45245</v>
      </c>
      <c r="BM685" s="1">
        <v>5.37</v>
      </c>
      <c r="BN685" s="3">
        <v>45245</v>
      </c>
      <c r="BO685" s="1">
        <v>4.4000000000000004</v>
      </c>
      <c r="BP685" s="3">
        <v>45245</v>
      </c>
      <c r="BQ685" s="1">
        <v>3.91</v>
      </c>
      <c r="BR685" s="3">
        <v>45245</v>
      </c>
      <c r="BS685" s="1">
        <v>3.8050000000000002</v>
      </c>
      <c r="BT685" s="3">
        <v>45245</v>
      </c>
      <c r="BU685" s="1">
        <v>3.75</v>
      </c>
      <c r="BV685" s="3">
        <v>45245</v>
      </c>
      <c r="BW685" s="1">
        <v>3.7349999999999999</v>
      </c>
      <c r="BY685" s="3">
        <v>45205</v>
      </c>
      <c r="BZ685" s="1">
        <v>13</v>
      </c>
      <c r="CA685" s="3">
        <v>45195</v>
      </c>
      <c r="CB685" s="1">
        <v>12.51</v>
      </c>
      <c r="CC685" s="3">
        <v>45245</v>
      </c>
      <c r="CD685" s="1">
        <v>10.52</v>
      </c>
      <c r="CE685" s="3">
        <v>45245</v>
      </c>
      <c r="CF685" s="1">
        <v>9.8800000000000008</v>
      </c>
      <c r="CG685" s="3">
        <v>45245</v>
      </c>
      <c r="CH685" s="1">
        <v>9.35</v>
      </c>
      <c r="CI685" s="3">
        <v>45245</v>
      </c>
      <c r="CJ685" s="1">
        <v>8</v>
      </c>
      <c r="CK685" s="3">
        <v>45245</v>
      </c>
      <c r="CL685" s="1">
        <v>7.12</v>
      </c>
      <c r="CM685" s="3">
        <v>45245</v>
      </c>
      <c r="CN685" s="1">
        <v>6.3849999999999998</v>
      </c>
      <c r="CO685" s="3">
        <v>45237</v>
      </c>
      <c r="CP685" s="1">
        <v>6.4050000000000002</v>
      </c>
      <c r="CQ685" s="3">
        <v>45237</v>
      </c>
      <c r="CR685" s="1">
        <v>6.1749999999999998</v>
      </c>
      <c r="CS685" s="3">
        <v>45237</v>
      </c>
      <c r="CT685" s="1">
        <v>5.96</v>
      </c>
    </row>
    <row r="686" spans="31:98" x14ac:dyDescent="0.2">
      <c r="AE686" s="3">
        <v>45236</v>
      </c>
      <c r="AF686" s="1">
        <v>5.75</v>
      </c>
      <c r="AG686" s="3">
        <v>45203</v>
      </c>
      <c r="AH686" s="1">
        <v>5.72</v>
      </c>
      <c r="AI686" s="3">
        <v>45244</v>
      </c>
      <c r="AJ686" s="2">
        <v>5.7774999999999999</v>
      </c>
      <c r="AK686" s="3">
        <v>45244</v>
      </c>
      <c r="AL686" s="2">
        <v>5.7050000000000001</v>
      </c>
      <c r="AM686" s="3">
        <v>45244</v>
      </c>
      <c r="AN686" s="2">
        <v>5.625</v>
      </c>
      <c r="AO686" s="3">
        <v>45244</v>
      </c>
      <c r="AP686" s="2">
        <v>5.2750000000000004</v>
      </c>
      <c r="AQ686" s="3">
        <v>45244</v>
      </c>
      <c r="AR686" s="2">
        <v>4.93</v>
      </c>
      <c r="AS686" s="3">
        <v>45244</v>
      </c>
      <c r="AT686" s="2">
        <v>4.6449999999999996</v>
      </c>
      <c r="AU686" s="3">
        <v>45244</v>
      </c>
      <c r="AV686" s="2">
        <v>4.43</v>
      </c>
      <c r="AW686" s="3">
        <v>45244</v>
      </c>
      <c r="AX686" s="2">
        <v>4.2774999999999999</v>
      </c>
      <c r="AY686" s="3">
        <v>45244</v>
      </c>
      <c r="AZ686" s="2">
        <v>4.2024999999999997</v>
      </c>
      <c r="BB686" s="3">
        <v>45187</v>
      </c>
      <c r="BC686" s="1">
        <v>7</v>
      </c>
      <c r="BD686" s="3">
        <v>45204</v>
      </c>
      <c r="BE686" s="1">
        <v>7.09</v>
      </c>
      <c r="BF686" s="3">
        <v>45244</v>
      </c>
      <c r="BG686" s="1">
        <v>7.0250000000000004</v>
      </c>
      <c r="BH686" s="3">
        <v>45244</v>
      </c>
      <c r="BI686" s="1">
        <v>6.81</v>
      </c>
      <c r="BJ686" s="3">
        <v>45244</v>
      </c>
      <c r="BK686" s="1">
        <v>6.41</v>
      </c>
      <c r="BL686" s="3">
        <v>45244</v>
      </c>
      <c r="BM686" s="1">
        <v>5.39</v>
      </c>
      <c r="BN686" s="3">
        <v>45244</v>
      </c>
      <c r="BO686" s="1">
        <v>4.41</v>
      </c>
      <c r="BP686" s="3">
        <v>45244</v>
      </c>
      <c r="BQ686" s="1">
        <v>3.94</v>
      </c>
      <c r="BR686" s="3">
        <v>45244</v>
      </c>
      <c r="BS686" s="1">
        <v>3.81</v>
      </c>
      <c r="BT686" s="3">
        <v>45244</v>
      </c>
      <c r="BU686" s="1">
        <v>3.7530000000000001</v>
      </c>
      <c r="BV686" s="3">
        <v>45244</v>
      </c>
      <c r="BW686" s="1">
        <v>3.7149999999999999</v>
      </c>
      <c r="BY686" s="3">
        <v>45204</v>
      </c>
      <c r="BZ686" s="1">
        <v>13</v>
      </c>
      <c r="CA686" s="3">
        <v>45194</v>
      </c>
      <c r="CB686" s="1">
        <v>12.58</v>
      </c>
      <c r="CC686" s="3">
        <v>45244</v>
      </c>
      <c r="CD686" s="1">
        <v>10.48</v>
      </c>
      <c r="CE686" s="3">
        <v>45244</v>
      </c>
      <c r="CF686" s="1">
        <v>9.91</v>
      </c>
      <c r="CG686" s="3">
        <v>45244</v>
      </c>
      <c r="CH686" s="1">
        <v>9.36</v>
      </c>
      <c r="CI686" s="3">
        <v>45244</v>
      </c>
      <c r="CJ686" s="1">
        <v>8.01</v>
      </c>
      <c r="CK686" s="3">
        <v>45244</v>
      </c>
      <c r="CL686" s="1">
        <v>7.11</v>
      </c>
      <c r="CM686" s="3">
        <v>45244</v>
      </c>
      <c r="CN686" s="1">
        <v>6.3849999999999998</v>
      </c>
      <c r="CO686" s="3">
        <v>45236</v>
      </c>
      <c r="CP686" s="1">
        <v>6.4349999999999996</v>
      </c>
      <c r="CQ686" s="3">
        <v>45236</v>
      </c>
      <c r="CR686" s="1">
        <v>6.2050000000000001</v>
      </c>
      <c r="CS686" s="3">
        <v>45236</v>
      </c>
      <c r="CT686" s="1">
        <v>5.99</v>
      </c>
    </row>
    <row r="687" spans="31:98" x14ac:dyDescent="0.2">
      <c r="AE687" s="3">
        <v>45233</v>
      </c>
      <c r="AF687" s="1">
        <v>5.75</v>
      </c>
      <c r="AG687" s="3">
        <v>45202</v>
      </c>
      <c r="AH687" s="1">
        <v>5.73</v>
      </c>
      <c r="AI687" s="3">
        <v>45243</v>
      </c>
      <c r="AJ687" s="2">
        <v>5.8</v>
      </c>
      <c r="AK687" s="3">
        <v>45243</v>
      </c>
      <c r="AL687" s="2">
        <v>5.7625000000000002</v>
      </c>
      <c r="AM687" s="3">
        <v>45243</v>
      </c>
      <c r="AN687" s="2">
        <v>5.6849999999999996</v>
      </c>
      <c r="AO687" s="3">
        <v>45243</v>
      </c>
      <c r="AP687" s="2">
        <v>5.3875000000000002</v>
      </c>
      <c r="AQ687" s="3">
        <v>45243</v>
      </c>
      <c r="AR687" s="2">
        <v>5.0750000000000002</v>
      </c>
      <c r="AS687" s="3">
        <v>45243</v>
      </c>
      <c r="AT687" s="2">
        <v>4.82</v>
      </c>
      <c r="AU687" s="3">
        <v>45243</v>
      </c>
      <c r="AV687" s="2">
        <v>4.62</v>
      </c>
      <c r="AW687" s="3">
        <v>45243</v>
      </c>
      <c r="AX687" s="2">
        <v>4.47</v>
      </c>
      <c r="AY687" s="3">
        <v>45243</v>
      </c>
      <c r="AZ687" s="2">
        <v>4.41</v>
      </c>
      <c r="BB687" s="3">
        <v>45184</v>
      </c>
      <c r="BC687" s="1">
        <v>7</v>
      </c>
      <c r="BD687" s="3">
        <v>45203</v>
      </c>
      <c r="BE687" s="1">
        <v>7.09</v>
      </c>
      <c r="BF687" s="3">
        <v>45243</v>
      </c>
      <c r="BG687" s="1">
        <v>7.03</v>
      </c>
      <c r="BH687" s="3">
        <v>45243</v>
      </c>
      <c r="BI687" s="1">
        <v>6.89</v>
      </c>
      <c r="BJ687" s="3">
        <v>45243</v>
      </c>
      <c r="BK687" s="1">
        <v>6.57</v>
      </c>
      <c r="BL687" s="3">
        <v>45243</v>
      </c>
      <c r="BM687" s="1">
        <v>5.56</v>
      </c>
      <c r="BN687" s="3">
        <v>45243</v>
      </c>
      <c r="BO687" s="1">
        <v>4.5549999999999997</v>
      </c>
      <c r="BP687" s="3">
        <v>45243</v>
      </c>
      <c r="BQ687" s="1">
        <v>4.07</v>
      </c>
      <c r="BR687" s="3">
        <v>45243</v>
      </c>
      <c r="BS687" s="1">
        <v>3.95</v>
      </c>
      <c r="BT687" s="3">
        <v>45243</v>
      </c>
      <c r="BU687" s="1">
        <v>3.89</v>
      </c>
      <c r="BV687" s="3">
        <v>45243</v>
      </c>
      <c r="BW687" s="1">
        <v>3.86</v>
      </c>
      <c r="BY687" s="3">
        <v>45203</v>
      </c>
      <c r="BZ687" s="1">
        <v>13</v>
      </c>
      <c r="CA687" s="3">
        <v>45191</v>
      </c>
      <c r="CB687" s="1">
        <v>12.62</v>
      </c>
      <c r="CC687" s="3">
        <v>45243</v>
      </c>
      <c r="CD687" s="1">
        <v>10.56</v>
      </c>
      <c r="CE687" s="3">
        <v>45243</v>
      </c>
      <c r="CF687" s="1">
        <v>10.039999999999999</v>
      </c>
      <c r="CG687" s="3">
        <v>45243</v>
      </c>
      <c r="CH687" s="1">
        <v>9.5299999999999994</v>
      </c>
      <c r="CI687" s="3">
        <v>45243</v>
      </c>
      <c r="CJ687" s="1">
        <v>8.1300000000000008</v>
      </c>
      <c r="CK687" s="3">
        <v>45243</v>
      </c>
      <c r="CL687" s="1">
        <v>7.23</v>
      </c>
      <c r="CM687" s="3">
        <v>45243</v>
      </c>
      <c r="CN687" s="1">
        <v>6.63</v>
      </c>
      <c r="CO687" s="3">
        <v>45233</v>
      </c>
      <c r="CP687" s="1">
        <v>6.2850000000000001</v>
      </c>
      <c r="CQ687" s="3">
        <v>45233</v>
      </c>
      <c r="CR687" s="1">
        <v>6.0549999999999997</v>
      </c>
      <c r="CS687" s="3">
        <v>45233</v>
      </c>
      <c r="CT687" s="1">
        <v>5.8550000000000004</v>
      </c>
    </row>
    <row r="688" spans="31:98" x14ac:dyDescent="0.2">
      <c r="AE688" s="3">
        <v>45232</v>
      </c>
      <c r="AF688" s="1">
        <v>5.75</v>
      </c>
      <c r="AG688" s="3">
        <v>45201</v>
      </c>
      <c r="AH688" s="1">
        <v>5.74</v>
      </c>
      <c r="AI688" s="3">
        <v>45240</v>
      </c>
      <c r="AJ688" s="2">
        <v>5.7424999999999997</v>
      </c>
      <c r="AK688" s="3">
        <v>45240</v>
      </c>
      <c r="AL688" s="2">
        <v>5.6924999999999999</v>
      </c>
      <c r="AM688" s="3">
        <v>45240</v>
      </c>
      <c r="AN688" s="2">
        <v>5.62</v>
      </c>
      <c r="AO688" s="3">
        <v>45240</v>
      </c>
      <c r="AP688" s="2">
        <v>5.3250000000000002</v>
      </c>
      <c r="AQ688" s="3">
        <v>45240</v>
      </c>
      <c r="AR688" s="2">
        <v>5.0075000000000003</v>
      </c>
      <c r="AS688" s="3">
        <v>45240</v>
      </c>
      <c r="AT688" s="2">
        <v>4.7575000000000003</v>
      </c>
      <c r="AU688" s="3">
        <v>45240</v>
      </c>
      <c r="AV688" s="2">
        <v>4.5724999999999998</v>
      </c>
      <c r="AW688" s="3">
        <v>45240</v>
      </c>
      <c r="AX688" s="2">
        <v>4.4124999999999996</v>
      </c>
      <c r="AY688" s="3">
        <v>45240</v>
      </c>
      <c r="AZ688" s="2">
        <v>4.3425000000000002</v>
      </c>
      <c r="BB688" s="3">
        <v>45183</v>
      </c>
      <c r="BC688" s="1">
        <v>7</v>
      </c>
      <c r="BD688" s="3">
        <v>45202</v>
      </c>
      <c r="BE688" s="1">
        <v>7.09</v>
      </c>
      <c r="BF688" s="3">
        <v>45240</v>
      </c>
      <c r="BG688" s="1">
        <v>7.03</v>
      </c>
      <c r="BH688" s="3">
        <v>45240</v>
      </c>
      <c r="BI688" s="1">
        <v>6.8550000000000004</v>
      </c>
      <c r="BJ688" s="3">
        <v>45240</v>
      </c>
      <c r="BK688" s="1">
        <v>6.53</v>
      </c>
      <c r="BL688" s="3">
        <v>45240</v>
      </c>
      <c r="BM688" s="1">
        <v>5.4850000000000003</v>
      </c>
      <c r="BN688" s="3">
        <v>45240</v>
      </c>
      <c r="BO688" s="1">
        <v>4.45</v>
      </c>
      <c r="BP688" s="3">
        <v>45240</v>
      </c>
      <c r="BQ688" s="1">
        <v>4.0149999999999997</v>
      </c>
      <c r="BR688" s="3">
        <v>45240</v>
      </c>
      <c r="BS688" s="1">
        <v>3.8679999999999999</v>
      </c>
      <c r="BT688" s="3">
        <v>45240</v>
      </c>
      <c r="BU688" s="1">
        <v>3.82</v>
      </c>
      <c r="BV688" s="3">
        <v>45240</v>
      </c>
      <c r="BW688" s="1">
        <v>3.7930000000000001</v>
      </c>
      <c r="BY688" s="3">
        <v>45202</v>
      </c>
      <c r="BZ688" s="1">
        <v>13</v>
      </c>
      <c r="CA688" s="3">
        <v>45190</v>
      </c>
      <c r="CB688" s="1">
        <v>12.66</v>
      </c>
      <c r="CC688" s="3">
        <v>45240</v>
      </c>
      <c r="CD688" s="1">
        <v>10.52</v>
      </c>
      <c r="CE688" s="3">
        <v>45240</v>
      </c>
      <c r="CF688" s="1">
        <v>10</v>
      </c>
      <c r="CG688" s="3">
        <v>45240</v>
      </c>
      <c r="CH688" s="1">
        <v>9.5</v>
      </c>
      <c r="CI688" s="3">
        <v>45240</v>
      </c>
      <c r="CJ688" s="1">
        <v>8.1</v>
      </c>
      <c r="CK688" s="3">
        <v>45240</v>
      </c>
      <c r="CL688" s="1">
        <v>7.2</v>
      </c>
      <c r="CM688" s="3">
        <v>45240</v>
      </c>
      <c r="CN688" s="1">
        <v>6.46</v>
      </c>
      <c r="CO688" s="3">
        <v>45232</v>
      </c>
      <c r="CP688" s="1">
        <v>6.375</v>
      </c>
      <c r="CQ688" s="3">
        <v>45232</v>
      </c>
      <c r="CR688" s="1">
        <v>6.14</v>
      </c>
      <c r="CS688" s="3">
        <v>45232</v>
      </c>
      <c r="CT688" s="1">
        <v>5.9450000000000003</v>
      </c>
    </row>
    <row r="689" spans="31:98" x14ac:dyDescent="0.2">
      <c r="AE689" s="3">
        <v>45231</v>
      </c>
      <c r="AF689" s="1">
        <v>5.75</v>
      </c>
      <c r="AG689" s="3">
        <v>45198</v>
      </c>
      <c r="AH689" s="1">
        <v>5.77</v>
      </c>
      <c r="AI689" s="3">
        <v>45239</v>
      </c>
      <c r="AJ689" s="2">
        <v>5.7370000000000001</v>
      </c>
      <c r="AK689" s="3">
        <v>45239</v>
      </c>
      <c r="AL689" s="2">
        <v>5.7050000000000001</v>
      </c>
      <c r="AM689" s="3">
        <v>45239</v>
      </c>
      <c r="AN689" s="2">
        <v>5.665</v>
      </c>
      <c r="AO689" s="3">
        <v>45239</v>
      </c>
      <c r="AP689" s="2">
        <v>5.35</v>
      </c>
      <c r="AQ689" s="3">
        <v>45239</v>
      </c>
      <c r="AR689" s="2">
        <v>5.0175000000000001</v>
      </c>
      <c r="AS689" s="3">
        <v>45239</v>
      </c>
      <c r="AT689" s="2">
        <v>4.7575000000000003</v>
      </c>
      <c r="AU689" s="3">
        <v>45239</v>
      </c>
      <c r="AV689" s="2">
        <v>4.5525000000000002</v>
      </c>
      <c r="AW689" s="3">
        <v>45239</v>
      </c>
      <c r="AX689" s="2">
        <v>4.3925000000000001</v>
      </c>
      <c r="AY689" s="3">
        <v>45239</v>
      </c>
      <c r="AZ689" s="2">
        <v>4.3250000000000002</v>
      </c>
      <c r="BB689" s="3">
        <v>45182</v>
      </c>
      <c r="BC689" s="1">
        <v>7</v>
      </c>
      <c r="BD689" s="3">
        <v>45201</v>
      </c>
      <c r="BE689" s="1">
        <v>7.09</v>
      </c>
      <c r="BF689" s="3">
        <v>45239</v>
      </c>
      <c r="BG689" s="1">
        <v>7.04</v>
      </c>
      <c r="BH689" s="3">
        <v>45239</v>
      </c>
      <c r="BI689" s="1">
        <v>6.88</v>
      </c>
      <c r="BJ689" s="3">
        <v>45239</v>
      </c>
      <c r="BK689" s="1">
        <v>6.5549999999999997</v>
      </c>
      <c r="BL689" s="3">
        <v>45239</v>
      </c>
      <c r="BM689" s="1">
        <v>5.51</v>
      </c>
      <c r="BN689" s="3">
        <v>45239</v>
      </c>
      <c r="BO689" s="1">
        <v>4.5629999999999997</v>
      </c>
      <c r="BP689" s="3">
        <v>45239</v>
      </c>
      <c r="BQ689" s="1">
        <v>4.13</v>
      </c>
      <c r="BR689" s="3">
        <v>45239</v>
      </c>
      <c r="BS689" s="1">
        <v>3.95</v>
      </c>
      <c r="BT689" s="3">
        <v>45239</v>
      </c>
      <c r="BU689" s="1">
        <v>3.8879999999999999</v>
      </c>
      <c r="BV689" s="3">
        <v>45239</v>
      </c>
      <c r="BW689" s="1">
        <v>3.863</v>
      </c>
      <c r="BY689" s="3">
        <v>45201</v>
      </c>
      <c r="BZ689" s="1">
        <v>13</v>
      </c>
      <c r="CA689" s="3">
        <v>45189</v>
      </c>
      <c r="CB689" s="1">
        <v>12.7</v>
      </c>
      <c r="CC689" s="3">
        <v>45239</v>
      </c>
      <c r="CD689" s="1">
        <v>10.65</v>
      </c>
      <c r="CE689" s="3">
        <v>45239</v>
      </c>
      <c r="CF689" s="1">
        <v>10.119999999999999</v>
      </c>
      <c r="CG689" s="3">
        <v>45239</v>
      </c>
      <c r="CH689" s="1">
        <v>9.6199999999999992</v>
      </c>
      <c r="CI689" s="3">
        <v>45239</v>
      </c>
      <c r="CJ689" s="1">
        <v>8.2200000000000006</v>
      </c>
      <c r="CK689" s="3">
        <v>45239</v>
      </c>
      <c r="CL689" s="1">
        <v>7.32</v>
      </c>
      <c r="CM689" s="3">
        <v>45239</v>
      </c>
      <c r="CN689" s="1">
        <v>6.665</v>
      </c>
      <c r="CO689" s="3">
        <v>45231</v>
      </c>
      <c r="CP689" s="1">
        <v>6.8449999999999998</v>
      </c>
      <c r="CQ689" s="3">
        <v>45231</v>
      </c>
      <c r="CR689" s="1">
        <v>6.57</v>
      </c>
      <c r="CS689" s="3">
        <v>45231</v>
      </c>
      <c r="CT689" s="1">
        <v>6.37</v>
      </c>
    </row>
    <row r="690" spans="31:98" x14ac:dyDescent="0.2">
      <c r="AE690" s="3">
        <v>45230</v>
      </c>
      <c r="AF690" s="1">
        <v>5.75</v>
      </c>
      <c r="AG690" s="3">
        <v>45197</v>
      </c>
      <c r="AH690" s="1">
        <v>5.78</v>
      </c>
      <c r="AI690" s="3">
        <v>45238</v>
      </c>
      <c r="AJ690" s="2">
        <v>5.6247999999999996</v>
      </c>
      <c r="AK690" s="3">
        <v>45238</v>
      </c>
      <c r="AL690" s="2">
        <v>5.5549999999999997</v>
      </c>
      <c r="AM690" s="3">
        <v>45238</v>
      </c>
      <c r="AN690" s="2">
        <v>5.4524999999999997</v>
      </c>
      <c r="AO690" s="3">
        <v>45238</v>
      </c>
      <c r="AP690" s="2">
        <v>5.1150000000000002</v>
      </c>
      <c r="AQ690" s="3">
        <v>45238</v>
      </c>
      <c r="AR690" s="2">
        <v>4.8600000000000003</v>
      </c>
      <c r="AS690" s="3">
        <v>45238</v>
      </c>
      <c r="AT690" s="2">
        <v>4.6349999999999998</v>
      </c>
      <c r="AU690" s="3">
        <v>45238</v>
      </c>
      <c r="AV690" s="2">
        <v>4.45</v>
      </c>
      <c r="AW690" s="3">
        <v>45238</v>
      </c>
      <c r="AX690" s="2">
        <v>4.32</v>
      </c>
      <c r="AY690" s="3">
        <v>45238</v>
      </c>
      <c r="AZ690" s="2">
        <v>4.2949999999999999</v>
      </c>
      <c r="BB690" s="3">
        <v>45181</v>
      </c>
      <c r="BC690" s="1">
        <v>7</v>
      </c>
      <c r="BD690" s="3">
        <v>45198</v>
      </c>
      <c r="BE690" s="1">
        <v>7.1</v>
      </c>
      <c r="BF690" s="3">
        <v>45238</v>
      </c>
      <c r="BG690" s="1">
        <v>7.0149999999999997</v>
      </c>
      <c r="BH690" s="3">
        <v>45238</v>
      </c>
      <c r="BI690" s="1">
        <v>6.84</v>
      </c>
      <c r="BJ690" s="3">
        <v>45238</v>
      </c>
      <c r="BK690" s="1">
        <v>6.46</v>
      </c>
      <c r="BL690" s="3">
        <v>45238</v>
      </c>
      <c r="BM690" s="1">
        <v>5.33</v>
      </c>
      <c r="BN690" s="3">
        <v>45238</v>
      </c>
      <c r="BO690" s="1">
        <v>4.3499999999999996</v>
      </c>
      <c r="BP690" s="3">
        <v>45238</v>
      </c>
      <c r="BQ690" s="1">
        <v>3.9449999999999998</v>
      </c>
      <c r="BR690" s="3">
        <v>45238</v>
      </c>
      <c r="BS690" s="1">
        <v>3.7850000000000001</v>
      </c>
      <c r="BT690" s="3">
        <v>45238</v>
      </c>
      <c r="BU690" s="1">
        <v>3.73</v>
      </c>
      <c r="BV690" s="3">
        <v>45238</v>
      </c>
      <c r="BW690" s="1">
        <v>3.71</v>
      </c>
      <c r="BY690" s="3">
        <v>45198</v>
      </c>
      <c r="BZ690" s="1">
        <v>13</v>
      </c>
      <c r="CA690" s="3">
        <v>45188</v>
      </c>
      <c r="CB690" s="1">
        <v>12.75</v>
      </c>
      <c r="CC690" s="3">
        <v>45238</v>
      </c>
      <c r="CD690" s="1">
        <v>10.64</v>
      </c>
      <c r="CE690" s="3">
        <v>45238</v>
      </c>
      <c r="CF690" s="1">
        <v>10.1</v>
      </c>
      <c r="CG690" s="3">
        <v>45238</v>
      </c>
      <c r="CH690" s="1">
        <v>9.6</v>
      </c>
      <c r="CI690" s="3">
        <v>45238</v>
      </c>
      <c r="CJ690" s="1">
        <v>8.1999999999999993</v>
      </c>
      <c r="CK690" s="3">
        <v>45238</v>
      </c>
      <c r="CL690" s="1">
        <v>7.3</v>
      </c>
      <c r="CM690" s="3">
        <v>45238</v>
      </c>
      <c r="CN690" s="1">
        <v>6.625</v>
      </c>
      <c r="CO690" s="3">
        <v>45230</v>
      </c>
      <c r="CP690" s="1">
        <v>6.8449999999999998</v>
      </c>
      <c r="CQ690" s="3">
        <v>45230</v>
      </c>
      <c r="CR690" s="1">
        <v>6.57</v>
      </c>
      <c r="CS690" s="3">
        <v>45230</v>
      </c>
      <c r="CT690" s="1">
        <v>6.37</v>
      </c>
    </row>
    <row r="691" spans="31:98" x14ac:dyDescent="0.2">
      <c r="AE691" s="3">
        <v>45229</v>
      </c>
      <c r="AF691" s="1">
        <v>5.75</v>
      </c>
      <c r="AG691" s="3">
        <v>45196</v>
      </c>
      <c r="AH691" s="1">
        <v>5.79</v>
      </c>
      <c r="AI691" s="3">
        <v>45237</v>
      </c>
      <c r="AJ691" s="2">
        <v>5.4604999999999997</v>
      </c>
      <c r="AK691" s="3">
        <v>45237</v>
      </c>
      <c r="AL691" s="2">
        <v>5.367</v>
      </c>
      <c r="AM691" s="3">
        <v>45237</v>
      </c>
      <c r="AN691" s="2">
        <v>5.2525000000000004</v>
      </c>
      <c r="AO691" s="3">
        <v>45237</v>
      </c>
      <c r="AP691" s="2">
        <v>4.8963000000000001</v>
      </c>
      <c r="AQ691" s="3">
        <v>45237</v>
      </c>
      <c r="AR691" s="2">
        <v>4.6224999999999996</v>
      </c>
      <c r="AS691" s="3">
        <v>45237</v>
      </c>
      <c r="AT691" s="2">
        <v>4.4249999999999998</v>
      </c>
      <c r="AU691" s="3">
        <v>45237</v>
      </c>
      <c r="AV691" s="2">
        <v>4.2649999999999997</v>
      </c>
      <c r="AW691" s="3">
        <v>45237</v>
      </c>
      <c r="AX691" s="2">
        <v>4.1725000000000003</v>
      </c>
      <c r="AY691" s="3">
        <v>45237</v>
      </c>
      <c r="AZ691" s="2">
        <v>4.1749999999999998</v>
      </c>
      <c r="BB691" s="3">
        <v>45180</v>
      </c>
      <c r="BC691" s="1">
        <v>7</v>
      </c>
      <c r="BD691" s="3">
        <v>45196</v>
      </c>
      <c r="BE691" s="1">
        <v>7.09</v>
      </c>
      <c r="BF691" s="3">
        <v>45237</v>
      </c>
      <c r="BG691" s="1">
        <v>7</v>
      </c>
      <c r="BH691" s="3">
        <v>45237</v>
      </c>
      <c r="BI691" s="1">
        <v>6.8</v>
      </c>
      <c r="BJ691" s="3">
        <v>45237</v>
      </c>
      <c r="BK691" s="1">
        <v>6.42</v>
      </c>
      <c r="BL691" s="3">
        <v>45237</v>
      </c>
      <c r="BM691" s="1">
        <v>5.26</v>
      </c>
      <c r="BN691" s="3">
        <v>45237</v>
      </c>
      <c r="BO691" s="1">
        <v>4.3600000000000003</v>
      </c>
      <c r="BP691" s="3">
        <v>45237</v>
      </c>
      <c r="BQ691" s="1">
        <v>3.8879999999999999</v>
      </c>
      <c r="BR691" s="3">
        <v>45237</v>
      </c>
      <c r="BS691" s="1">
        <v>3.7149999999999999</v>
      </c>
      <c r="BT691" s="3">
        <v>45237</v>
      </c>
      <c r="BU691" s="1">
        <v>3.63</v>
      </c>
      <c r="BV691" s="3">
        <v>45237</v>
      </c>
      <c r="BW691" s="1">
        <v>3.59</v>
      </c>
      <c r="BY691" s="3">
        <v>45197</v>
      </c>
      <c r="BZ691" s="1">
        <v>13</v>
      </c>
      <c r="CA691" s="3">
        <v>45187</v>
      </c>
      <c r="CB691" s="1">
        <v>12.78</v>
      </c>
      <c r="CC691" s="3">
        <v>45237</v>
      </c>
      <c r="CD691" s="1">
        <v>10.67</v>
      </c>
      <c r="CE691" s="3">
        <v>45237</v>
      </c>
      <c r="CF691" s="1">
        <v>10.14</v>
      </c>
      <c r="CG691" s="3">
        <v>45237</v>
      </c>
      <c r="CH691" s="1">
        <v>9.65</v>
      </c>
      <c r="CI691" s="3">
        <v>45237</v>
      </c>
      <c r="CJ691" s="1">
        <v>8.3000000000000007</v>
      </c>
      <c r="CK691" s="3">
        <v>45237</v>
      </c>
      <c r="CL691" s="1">
        <v>7.26</v>
      </c>
      <c r="CM691" s="3">
        <v>45237</v>
      </c>
      <c r="CN691" s="1">
        <v>6.59</v>
      </c>
      <c r="CO691" s="3">
        <v>45229</v>
      </c>
      <c r="CP691" s="1">
        <v>6.915</v>
      </c>
      <c r="CQ691" s="3">
        <v>45229</v>
      </c>
      <c r="CR691" s="1">
        <v>6.64</v>
      </c>
      <c r="CS691" s="3">
        <v>45229</v>
      </c>
      <c r="CT691" s="1">
        <v>6.44</v>
      </c>
    </row>
    <row r="692" spans="31:98" x14ac:dyDescent="0.2">
      <c r="AE692" s="3">
        <v>45226</v>
      </c>
      <c r="AF692" s="1">
        <v>5.75</v>
      </c>
      <c r="AG692" s="3">
        <v>45195</v>
      </c>
      <c r="AH692" s="1">
        <v>5.8</v>
      </c>
      <c r="AI692" s="3">
        <v>45236</v>
      </c>
      <c r="AJ692" s="2">
        <v>5.4960000000000004</v>
      </c>
      <c r="AK692" s="3">
        <v>45236</v>
      </c>
      <c r="AL692" s="2">
        <v>5.38</v>
      </c>
      <c r="AM692" s="3">
        <v>45236</v>
      </c>
      <c r="AN692" s="2">
        <v>5.26</v>
      </c>
      <c r="AO692" s="3">
        <v>45236</v>
      </c>
      <c r="AP692" s="2">
        <v>4.8899999999999997</v>
      </c>
      <c r="AQ692" s="3">
        <v>45236</v>
      </c>
      <c r="AR692" s="2">
        <v>4.6325000000000003</v>
      </c>
      <c r="AS692" s="3">
        <v>45236</v>
      </c>
      <c r="AT692" s="2">
        <v>4.4450000000000003</v>
      </c>
      <c r="AU692" s="3">
        <v>45236</v>
      </c>
      <c r="AV692" s="2">
        <v>4.2750000000000004</v>
      </c>
      <c r="AW692" s="3">
        <v>45236</v>
      </c>
      <c r="AX692" s="2">
        <v>4.1825000000000001</v>
      </c>
      <c r="AY692" s="3">
        <v>45236</v>
      </c>
      <c r="AZ692" s="2">
        <v>4.1849999999999996</v>
      </c>
      <c r="BB692" s="3">
        <v>45177</v>
      </c>
      <c r="BC692" s="1">
        <v>7</v>
      </c>
      <c r="BD692" s="3">
        <v>45195</v>
      </c>
      <c r="BE692" s="1">
        <v>7.09</v>
      </c>
      <c r="BF692" s="3">
        <v>45236</v>
      </c>
      <c r="BG692" s="1">
        <v>6.99</v>
      </c>
      <c r="BH692" s="3">
        <v>45236</v>
      </c>
      <c r="BI692" s="1">
        <v>6.78</v>
      </c>
      <c r="BJ692" s="3">
        <v>45236</v>
      </c>
      <c r="BK692" s="1">
        <v>6.36</v>
      </c>
      <c r="BL692" s="3">
        <v>45236</v>
      </c>
      <c r="BM692" s="1">
        <v>5.28</v>
      </c>
      <c r="BN692" s="3">
        <v>45236</v>
      </c>
      <c r="BO692" s="1">
        <v>4.4400000000000004</v>
      </c>
      <c r="BP692" s="3">
        <v>45236</v>
      </c>
      <c r="BQ692" s="1">
        <v>3.97</v>
      </c>
      <c r="BR692" s="3">
        <v>45236</v>
      </c>
      <c r="BS692" s="1">
        <v>3.79</v>
      </c>
      <c r="BT692" s="3">
        <v>45236</v>
      </c>
      <c r="BU692" s="1">
        <v>3.7</v>
      </c>
      <c r="BV692" s="3">
        <v>45236</v>
      </c>
      <c r="BW692" s="1">
        <v>3.65</v>
      </c>
      <c r="BY692" s="3">
        <v>45196</v>
      </c>
      <c r="BZ692" s="1">
        <v>13</v>
      </c>
      <c r="CA692" s="3">
        <v>45184</v>
      </c>
      <c r="CB692" s="1">
        <v>12.82</v>
      </c>
      <c r="CC692" s="3">
        <v>45236</v>
      </c>
      <c r="CD692" s="1">
        <v>10.67</v>
      </c>
      <c r="CE692" s="3">
        <v>45236</v>
      </c>
      <c r="CF692" s="1">
        <v>10.16</v>
      </c>
      <c r="CG692" s="3">
        <v>45236</v>
      </c>
      <c r="CH692" s="1">
        <v>9.68</v>
      </c>
      <c r="CI692" s="3">
        <v>45236</v>
      </c>
      <c r="CJ692" s="1">
        <v>8.33</v>
      </c>
      <c r="CK692" s="3">
        <v>45236</v>
      </c>
      <c r="CL692" s="1">
        <v>7.29</v>
      </c>
      <c r="CM692" s="3">
        <v>45236</v>
      </c>
      <c r="CN692" s="1">
        <v>6.62</v>
      </c>
      <c r="CO692" s="3">
        <v>45226</v>
      </c>
      <c r="CP692" s="1">
        <v>6.93</v>
      </c>
      <c r="CQ692" s="3">
        <v>45226</v>
      </c>
      <c r="CR692" s="1">
        <v>6.6550000000000002</v>
      </c>
      <c r="CS692" s="3">
        <v>45226</v>
      </c>
      <c r="CT692" s="1">
        <v>6.4550000000000001</v>
      </c>
    </row>
    <row r="693" spans="31:98" x14ac:dyDescent="0.2">
      <c r="AE693" s="3">
        <v>45225</v>
      </c>
      <c r="AF693" s="1">
        <v>5.75</v>
      </c>
      <c r="AG693" s="3">
        <v>45194</v>
      </c>
      <c r="AH693" s="1">
        <v>5.79</v>
      </c>
      <c r="AI693" s="3">
        <v>45233</v>
      </c>
      <c r="AJ693" s="2">
        <v>5.4829999999999997</v>
      </c>
      <c r="AK693" s="3">
        <v>45233</v>
      </c>
      <c r="AL693" s="2">
        <v>5.3449999999999998</v>
      </c>
      <c r="AM693" s="3">
        <v>45233</v>
      </c>
      <c r="AN693" s="2">
        <v>5.21</v>
      </c>
      <c r="AO693" s="3">
        <v>45233</v>
      </c>
      <c r="AP693" s="2">
        <v>4.8375000000000004</v>
      </c>
      <c r="AQ693" s="3">
        <v>45233</v>
      </c>
      <c r="AR693" s="2">
        <v>4.5575000000000001</v>
      </c>
      <c r="AS693" s="3">
        <v>45233</v>
      </c>
      <c r="AT693" s="2">
        <v>4.3650000000000002</v>
      </c>
      <c r="AU693" s="3">
        <v>45233</v>
      </c>
      <c r="AV693" s="2">
        <v>4.2050000000000001</v>
      </c>
      <c r="AW693" s="3">
        <v>45233</v>
      </c>
      <c r="AX693" s="2">
        <v>4.085</v>
      </c>
      <c r="AY693" s="3">
        <v>45233</v>
      </c>
      <c r="AZ693" s="2">
        <v>4.085</v>
      </c>
      <c r="BB693" s="3">
        <v>45176</v>
      </c>
      <c r="BC693" s="1">
        <v>7</v>
      </c>
      <c r="BD693" s="3">
        <v>45194</v>
      </c>
      <c r="BE693" s="1">
        <v>7.09</v>
      </c>
      <c r="BF693" s="3">
        <v>45233</v>
      </c>
      <c r="BG693" s="1">
        <v>6.98</v>
      </c>
      <c r="BH693" s="3">
        <v>45233</v>
      </c>
      <c r="BI693" s="1">
        <v>6.74</v>
      </c>
      <c r="BJ693" s="3">
        <v>45233</v>
      </c>
      <c r="BK693" s="1">
        <v>6.31</v>
      </c>
      <c r="BL693" s="3">
        <v>45233</v>
      </c>
      <c r="BM693" s="1">
        <v>5.21</v>
      </c>
      <c r="BN693" s="3">
        <v>45233</v>
      </c>
      <c r="BO693" s="1">
        <v>4.3150000000000004</v>
      </c>
      <c r="BP693" s="3">
        <v>45233</v>
      </c>
      <c r="BQ693" s="1">
        <v>3.8250000000000002</v>
      </c>
      <c r="BR693" s="3">
        <v>45233</v>
      </c>
      <c r="BS693" s="1">
        <v>3.66</v>
      </c>
      <c r="BT693" s="3">
        <v>45233</v>
      </c>
      <c r="BU693" s="1">
        <v>3.57</v>
      </c>
      <c r="BV693" s="3">
        <v>45233</v>
      </c>
      <c r="BW693" s="1">
        <v>3.508</v>
      </c>
      <c r="BY693" s="3">
        <v>45195</v>
      </c>
      <c r="BZ693" s="1">
        <v>13</v>
      </c>
      <c r="CA693" s="3">
        <v>45183</v>
      </c>
      <c r="CB693" s="1">
        <v>12.88</v>
      </c>
      <c r="CC693" s="3">
        <v>45233</v>
      </c>
      <c r="CD693" s="1">
        <v>10.67</v>
      </c>
      <c r="CE693" s="3">
        <v>45233</v>
      </c>
      <c r="CF693" s="1">
        <v>10.130000000000001</v>
      </c>
      <c r="CG693" s="3">
        <v>45233</v>
      </c>
      <c r="CH693" s="1">
        <v>9.61</v>
      </c>
      <c r="CI693" s="3">
        <v>45233</v>
      </c>
      <c r="CJ693" s="1">
        <v>8.17</v>
      </c>
      <c r="CK693" s="3">
        <v>45233</v>
      </c>
      <c r="CL693" s="1">
        <v>7.09</v>
      </c>
      <c r="CM693" s="3">
        <v>45233</v>
      </c>
      <c r="CN693" s="1">
        <v>6.5</v>
      </c>
      <c r="CO693" s="3">
        <v>45225</v>
      </c>
      <c r="CP693" s="1">
        <v>7.2450000000000001</v>
      </c>
      <c r="CQ693" s="3">
        <v>45225</v>
      </c>
      <c r="CR693" s="1">
        <v>6.9349999999999996</v>
      </c>
      <c r="CS693" s="3">
        <v>45225</v>
      </c>
      <c r="CT693" s="1">
        <v>6.67</v>
      </c>
    </row>
    <row r="694" spans="31:98" x14ac:dyDescent="0.2">
      <c r="AE694" s="3">
        <v>45224</v>
      </c>
      <c r="AF694" s="1">
        <v>5.75</v>
      </c>
      <c r="AG694" s="3">
        <v>45191</v>
      </c>
      <c r="AH694" s="1">
        <v>5.79</v>
      </c>
      <c r="AI694" s="3">
        <v>45232</v>
      </c>
      <c r="AJ694" s="2">
        <v>5.5</v>
      </c>
      <c r="AK694" s="3">
        <v>45232</v>
      </c>
      <c r="AL694" s="2">
        <v>5.37</v>
      </c>
      <c r="AM694" s="3">
        <v>45232</v>
      </c>
      <c r="AN694" s="2">
        <v>5.2350000000000003</v>
      </c>
      <c r="AO694" s="3">
        <v>45232</v>
      </c>
      <c r="AP694" s="2">
        <v>4.8525</v>
      </c>
      <c r="AQ694" s="3">
        <v>45232</v>
      </c>
      <c r="AR694" s="2">
        <v>4.5599999999999996</v>
      </c>
      <c r="AS694" s="3">
        <v>45232</v>
      </c>
      <c r="AT694" s="2">
        <v>4.37</v>
      </c>
      <c r="AU694" s="3">
        <v>45232</v>
      </c>
      <c r="AV694" s="2">
        <v>4.2300000000000004</v>
      </c>
      <c r="AW694" s="3">
        <v>45232</v>
      </c>
      <c r="AX694" s="2">
        <v>4.1550000000000002</v>
      </c>
      <c r="AY694" s="3">
        <v>45232</v>
      </c>
      <c r="AZ694" s="2">
        <v>4.165</v>
      </c>
      <c r="BB694" s="3">
        <v>45175</v>
      </c>
      <c r="BC694" s="1">
        <v>7</v>
      </c>
      <c r="BD694" s="3">
        <v>45191</v>
      </c>
      <c r="BE694" s="1">
        <v>7.09</v>
      </c>
      <c r="BF694" s="3">
        <v>45232</v>
      </c>
      <c r="BG694" s="1">
        <v>6.9249999999999998</v>
      </c>
      <c r="BH694" s="3">
        <v>45232</v>
      </c>
      <c r="BI694" s="1">
        <v>6.68</v>
      </c>
      <c r="BJ694" s="3">
        <v>45232</v>
      </c>
      <c r="BK694" s="1">
        <v>6.36</v>
      </c>
      <c r="BL694" s="3">
        <v>45232</v>
      </c>
      <c r="BM694" s="1">
        <v>5.42</v>
      </c>
      <c r="BN694" s="3">
        <v>45232</v>
      </c>
      <c r="BO694" s="1">
        <v>4.415</v>
      </c>
      <c r="BP694" s="3">
        <v>45232</v>
      </c>
      <c r="BQ694" s="1">
        <v>4.01</v>
      </c>
      <c r="BR694" s="3">
        <v>45232</v>
      </c>
      <c r="BS694" s="1">
        <v>3.88</v>
      </c>
      <c r="BT694" s="3">
        <v>45232</v>
      </c>
      <c r="BU694" s="1">
        <v>3.8029999999999999</v>
      </c>
      <c r="BV694" s="3">
        <v>45232</v>
      </c>
      <c r="BW694" s="1">
        <v>3.75</v>
      </c>
      <c r="BY694" s="3">
        <v>45194</v>
      </c>
      <c r="BZ694" s="1">
        <v>13</v>
      </c>
      <c r="CA694" s="3">
        <v>45182</v>
      </c>
      <c r="CB694" s="1">
        <v>12.93</v>
      </c>
      <c r="CC694" s="3">
        <v>45232</v>
      </c>
      <c r="CD694" s="1">
        <v>10.68</v>
      </c>
      <c r="CE694" s="3">
        <v>45232</v>
      </c>
      <c r="CF694" s="1">
        <v>10.15</v>
      </c>
      <c r="CG694" s="3">
        <v>45232</v>
      </c>
      <c r="CH694" s="1">
        <v>9.6300000000000008</v>
      </c>
      <c r="CI694" s="3">
        <v>45232</v>
      </c>
      <c r="CJ694" s="1">
        <v>8.25</v>
      </c>
      <c r="CK694" s="3">
        <v>45232</v>
      </c>
      <c r="CL694" s="1">
        <v>7.2</v>
      </c>
      <c r="CM694" s="3">
        <v>45232</v>
      </c>
      <c r="CN694" s="1">
        <v>6.6449999999999996</v>
      </c>
      <c r="CO694" s="3">
        <v>45224</v>
      </c>
      <c r="CP694" s="1">
        <v>7.13</v>
      </c>
      <c r="CQ694" s="3">
        <v>45224</v>
      </c>
      <c r="CR694" s="1">
        <v>6.8150000000000004</v>
      </c>
      <c r="CS694" s="3">
        <v>45224</v>
      </c>
      <c r="CT694" s="1">
        <v>6.55</v>
      </c>
    </row>
    <row r="695" spans="31:98" x14ac:dyDescent="0.2">
      <c r="AE695" s="3">
        <v>45223</v>
      </c>
      <c r="AF695" s="1">
        <v>5.75</v>
      </c>
      <c r="AG695" s="3">
        <v>45190</v>
      </c>
      <c r="AH695" s="1">
        <v>5.8</v>
      </c>
      <c r="AI695" s="3">
        <v>45231</v>
      </c>
      <c r="AJ695" s="2">
        <v>5.5057999999999998</v>
      </c>
      <c r="AK695" s="3">
        <v>45231</v>
      </c>
      <c r="AL695" s="2">
        <v>5.42</v>
      </c>
      <c r="AM695" s="3">
        <v>45231</v>
      </c>
      <c r="AN695" s="2">
        <v>5.29</v>
      </c>
      <c r="AO695" s="3">
        <v>45231</v>
      </c>
      <c r="AP695" s="2">
        <v>4.9000000000000004</v>
      </c>
      <c r="AQ695" s="3">
        <v>45231</v>
      </c>
      <c r="AR695" s="2">
        <v>4.6074999999999999</v>
      </c>
      <c r="AS695" s="3">
        <v>45231</v>
      </c>
      <c r="AT695" s="2">
        <v>4.3975</v>
      </c>
      <c r="AU695" s="3">
        <v>45231</v>
      </c>
      <c r="AV695" s="2">
        <v>4.2525000000000004</v>
      </c>
      <c r="AW695" s="3">
        <v>45231</v>
      </c>
      <c r="AX695" s="2">
        <v>4.1749999999999998</v>
      </c>
      <c r="AY695" s="3">
        <v>45231</v>
      </c>
      <c r="AZ695" s="2">
        <v>4.1825000000000001</v>
      </c>
      <c r="BB695" s="3">
        <v>45174</v>
      </c>
      <c r="BC695" s="1">
        <v>7</v>
      </c>
      <c r="BD695" s="3">
        <v>45190</v>
      </c>
      <c r="BE695" s="1">
        <v>7.09</v>
      </c>
      <c r="BF695" s="3">
        <v>45231</v>
      </c>
      <c r="BG695" s="1">
        <v>6.74</v>
      </c>
      <c r="BH695" s="3">
        <v>45231</v>
      </c>
      <c r="BI695" s="1">
        <v>6.48</v>
      </c>
      <c r="BJ695" s="3">
        <v>45231</v>
      </c>
      <c r="BK695" s="1">
        <v>6.32</v>
      </c>
      <c r="BL695" s="3">
        <v>45231</v>
      </c>
      <c r="BM695" s="1">
        <v>5.32</v>
      </c>
      <c r="BN695" s="3">
        <v>45231</v>
      </c>
      <c r="BO695" s="1">
        <v>4.4000000000000004</v>
      </c>
      <c r="BP695" s="3">
        <v>45231</v>
      </c>
      <c r="BQ695" s="1">
        <v>3.9249999999999998</v>
      </c>
      <c r="BR695" s="3">
        <v>45231</v>
      </c>
      <c r="BS695" s="1">
        <v>3.7530000000000001</v>
      </c>
      <c r="BT695" s="3">
        <v>45231</v>
      </c>
      <c r="BU695" s="1">
        <v>3.6829999999999998</v>
      </c>
      <c r="BV695" s="3">
        <v>45231</v>
      </c>
      <c r="BW695" s="1">
        <v>3.6629999999999998</v>
      </c>
      <c r="BY695" s="3">
        <v>45191</v>
      </c>
      <c r="BZ695" s="1">
        <v>13</v>
      </c>
      <c r="CA695" s="3">
        <v>45181</v>
      </c>
      <c r="CB695" s="1">
        <v>12.97</v>
      </c>
      <c r="CC695" s="3">
        <v>45231</v>
      </c>
      <c r="CD695" s="1">
        <v>10.7</v>
      </c>
      <c r="CE695" s="3">
        <v>45231</v>
      </c>
      <c r="CF695" s="1">
        <v>10.199999999999999</v>
      </c>
      <c r="CG695" s="3">
        <v>45231</v>
      </c>
      <c r="CH695" s="1">
        <v>9.75</v>
      </c>
      <c r="CI695" s="3">
        <v>45231</v>
      </c>
      <c r="CJ695" s="1">
        <v>8.4499999999999993</v>
      </c>
      <c r="CK695" s="3">
        <v>45231</v>
      </c>
      <c r="CL695" s="1">
        <v>7.4</v>
      </c>
      <c r="CM695" s="3">
        <v>45231</v>
      </c>
      <c r="CN695" s="1">
        <v>6.9450000000000003</v>
      </c>
      <c r="CO695" s="3">
        <v>45223</v>
      </c>
      <c r="CP695" s="1">
        <v>7.0750000000000002</v>
      </c>
      <c r="CQ695" s="3">
        <v>45223</v>
      </c>
      <c r="CR695" s="1">
        <v>6.7549999999999999</v>
      </c>
      <c r="CS695" s="3">
        <v>45223</v>
      </c>
      <c r="CT695" s="1">
        <v>6.48</v>
      </c>
    </row>
    <row r="696" spans="31:98" x14ac:dyDescent="0.2">
      <c r="AE696" s="3">
        <v>45222</v>
      </c>
      <c r="AF696" s="1">
        <v>5.75</v>
      </c>
      <c r="AG696" s="3">
        <v>45189</v>
      </c>
      <c r="AH696" s="1">
        <v>5.8</v>
      </c>
      <c r="AI696" s="3">
        <v>45230</v>
      </c>
      <c r="AJ696" s="2">
        <v>5.5315000000000003</v>
      </c>
      <c r="AK696" s="3">
        <v>45230</v>
      </c>
      <c r="AL696" s="2">
        <v>5.42</v>
      </c>
      <c r="AM696" s="3">
        <v>45230</v>
      </c>
      <c r="AN696" s="2">
        <v>5.29</v>
      </c>
      <c r="AO696" s="3">
        <v>45230</v>
      </c>
      <c r="AP696" s="2">
        <v>4.9000000000000004</v>
      </c>
      <c r="AQ696" s="3">
        <v>45230</v>
      </c>
      <c r="AR696" s="2">
        <v>4.6074999999999999</v>
      </c>
      <c r="AS696" s="3">
        <v>45230</v>
      </c>
      <c r="AT696" s="2">
        <v>4.3975</v>
      </c>
      <c r="AU696" s="3">
        <v>45230</v>
      </c>
      <c r="AV696" s="2">
        <v>4.2525000000000004</v>
      </c>
      <c r="AW696" s="3">
        <v>45230</v>
      </c>
      <c r="AX696" s="2">
        <v>4.1749999999999998</v>
      </c>
      <c r="AY696" s="3">
        <v>45230</v>
      </c>
      <c r="AZ696" s="2">
        <v>4.1825000000000001</v>
      </c>
      <c r="BB696" s="3">
        <v>45173</v>
      </c>
      <c r="BC696" s="1">
        <v>7</v>
      </c>
      <c r="BD696" s="3">
        <v>45189</v>
      </c>
      <c r="BE696" s="1">
        <v>7.09</v>
      </c>
      <c r="BF696" s="3">
        <v>45230</v>
      </c>
      <c r="BG696" s="1">
        <v>6.7549999999999999</v>
      </c>
      <c r="BH696" s="3">
        <v>45230</v>
      </c>
      <c r="BI696" s="1">
        <v>6.4649999999999999</v>
      </c>
      <c r="BJ696" s="3">
        <v>45230</v>
      </c>
      <c r="BK696" s="1">
        <v>6.31</v>
      </c>
      <c r="BL696" s="3">
        <v>45230</v>
      </c>
      <c r="BM696" s="1">
        <v>5.32</v>
      </c>
      <c r="BN696" s="3">
        <v>45230</v>
      </c>
      <c r="BO696" s="1">
        <v>4.38</v>
      </c>
      <c r="BP696" s="3">
        <v>45230</v>
      </c>
      <c r="BQ696" s="1">
        <v>3.92</v>
      </c>
      <c r="BR696" s="3">
        <v>45230</v>
      </c>
      <c r="BS696" s="1">
        <v>3.76</v>
      </c>
      <c r="BT696" s="3">
        <v>45230</v>
      </c>
      <c r="BU696" s="1">
        <v>3.7</v>
      </c>
      <c r="BV696" s="3">
        <v>45230</v>
      </c>
      <c r="BW696" s="1">
        <v>3.6850000000000001</v>
      </c>
      <c r="BY696" s="3">
        <v>45190</v>
      </c>
      <c r="BZ696" s="1">
        <v>13</v>
      </c>
      <c r="CA696" s="3">
        <v>45180</v>
      </c>
      <c r="CB696" s="1">
        <v>13</v>
      </c>
      <c r="CC696" s="3">
        <v>45230</v>
      </c>
      <c r="CD696" s="1">
        <v>10.7</v>
      </c>
      <c r="CE696" s="3">
        <v>45230</v>
      </c>
      <c r="CF696" s="1">
        <v>10.199999999999999</v>
      </c>
      <c r="CG696" s="3">
        <v>45230</v>
      </c>
      <c r="CH696" s="1">
        <v>9.75</v>
      </c>
      <c r="CI696" s="3">
        <v>45230</v>
      </c>
      <c r="CJ696" s="1">
        <v>8.4499999999999993</v>
      </c>
      <c r="CK696" s="3">
        <v>45230</v>
      </c>
      <c r="CL696" s="1">
        <v>7.4</v>
      </c>
      <c r="CM696" s="3">
        <v>45230</v>
      </c>
      <c r="CN696" s="1">
        <v>6.9450000000000003</v>
      </c>
      <c r="CO696" s="3">
        <v>45222</v>
      </c>
      <c r="CP696" s="1">
        <v>7.22</v>
      </c>
      <c r="CQ696" s="3">
        <v>45222</v>
      </c>
      <c r="CR696" s="1">
        <v>7.02</v>
      </c>
      <c r="CS696" s="3">
        <v>45222</v>
      </c>
      <c r="CT696" s="1">
        <v>6.82</v>
      </c>
    </row>
    <row r="697" spans="31:98" x14ac:dyDescent="0.2">
      <c r="AE697" s="3">
        <v>45219</v>
      </c>
      <c r="AF697" s="1">
        <v>5.75</v>
      </c>
      <c r="AG697" s="3">
        <v>45188</v>
      </c>
      <c r="AH697" s="1">
        <v>5.8</v>
      </c>
      <c r="AI697" s="3">
        <v>45229</v>
      </c>
      <c r="AJ697" s="2">
        <v>5.532</v>
      </c>
      <c r="AK697" s="3">
        <v>45229</v>
      </c>
      <c r="AL697" s="2">
        <v>5.43</v>
      </c>
      <c r="AM697" s="3">
        <v>45229</v>
      </c>
      <c r="AN697" s="2">
        <v>5.3049999999999997</v>
      </c>
      <c r="AO697" s="3">
        <v>45229</v>
      </c>
      <c r="AP697" s="2">
        <v>4.915</v>
      </c>
      <c r="AQ697" s="3">
        <v>45229</v>
      </c>
      <c r="AR697" s="2">
        <v>4.6425000000000001</v>
      </c>
      <c r="AS697" s="3">
        <v>45229</v>
      </c>
      <c r="AT697" s="2">
        <v>4.4325000000000001</v>
      </c>
      <c r="AU697" s="3">
        <v>45229</v>
      </c>
      <c r="AV697" s="2">
        <v>4.2874999999999996</v>
      </c>
      <c r="AW697" s="3">
        <v>45229</v>
      </c>
      <c r="AX697" s="2">
        <v>4.2</v>
      </c>
      <c r="AY697" s="3">
        <v>45229</v>
      </c>
      <c r="AZ697" s="2">
        <v>4.2074999999999996</v>
      </c>
      <c r="BB697" s="3">
        <v>45170</v>
      </c>
      <c r="BC697" s="1">
        <v>7</v>
      </c>
      <c r="BD697" s="3">
        <v>45188</v>
      </c>
      <c r="BE697" s="1">
        <v>7.09</v>
      </c>
      <c r="BF697" s="3">
        <v>45229</v>
      </c>
      <c r="BG697" s="1">
        <v>6.7850000000000001</v>
      </c>
      <c r="BH697" s="3">
        <v>45229</v>
      </c>
      <c r="BI697" s="1">
        <v>6.52</v>
      </c>
      <c r="BJ697" s="3">
        <v>45229</v>
      </c>
      <c r="BK697" s="1">
        <v>6.4</v>
      </c>
      <c r="BL697" s="3">
        <v>45229</v>
      </c>
      <c r="BM697" s="1">
        <v>5.45</v>
      </c>
      <c r="BN697" s="3">
        <v>45229</v>
      </c>
      <c r="BO697" s="1">
        <v>4.5049999999999999</v>
      </c>
      <c r="BP697" s="3">
        <v>45229</v>
      </c>
      <c r="BQ697" s="1">
        <v>4.0599999999999996</v>
      </c>
      <c r="BR697" s="3">
        <v>45229</v>
      </c>
      <c r="BS697" s="1">
        <v>3.895</v>
      </c>
      <c r="BT697" s="3">
        <v>45229</v>
      </c>
      <c r="BU697" s="1">
        <v>3.835</v>
      </c>
      <c r="BV697" s="3">
        <v>45229</v>
      </c>
      <c r="BW697" s="1">
        <v>3.81</v>
      </c>
      <c r="BY697" s="3">
        <v>45189</v>
      </c>
      <c r="BZ697" s="1">
        <v>13</v>
      </c>
      <c r="CA697" s="3">
        <v>45177</v>
      </c>
      <c r="CB697" s="1">
        <v>13.04</v>
      </c>
      <c r="CC697" s="3">
        <v>45229</v>
      </c>
      <c r="CD697" s="1">
        <v>10.73</v>
      </c>
      <c r="CE697" s="3">
        <v>45229</v>
      </c>
      <c r="CF697" s="1">
        <v>10.23</v>
      </c>
      <c r="CG697" s="3">
        <v>45229</v>
      </c>
      <c r="CH697" s="1">
        <v>9.7899999999999991</v>
      </c>
      <c r="CI697" s="3">
        <v>45229</v>
      </c>
      <c r="CJ697" s="1">
        <v>8.49</v>
      </c>
      <c r="CK697" s="3">
        <v>45229</v>
      </c>
      <c r="CL697" s="1">
        <v>7.44</v>
      </c>
      <c r="CM697" s="3">
        <v>45229</v>
      </c>
      <c r="CN697" s="1">
        <v>7.0149999999999997</v>
      </c>
      <c r="CO697" s="3">
        <v>45219</v>
      </c>
      <c r="CP697" s="1">
        <v>7.2149999999999999</v>
      </c>
      <c r="CQ697" s="3">
        <v>45219</v>
      </c>
      <c r="CR697" s="1">
        <v>6.89</v>
      </c>
      <c r="CS697" s="3">
        <v>45219</v>
      </c>
      <c r="CT697" s="1">
        <v>6.61</v>
      </c>
    </row>
    <row r="698" spans="31:98" x14ac:dyDescent="0.2">
      <c r="AE698" s="3">
        <v>45218</v>
      </c>
      <c r="AF698" s="1">
        <v>5.75</v>
      </c>
      <c r="AG698" s="3">
        <v>45187</v>
      </c>
      <c r="AH698" s="1">
        <v>5.81</v>
      </c>
      <c r="AI698" s="3">
        <v>45226</v>
      </c>
      <c r="AJ698" s="2">
        <v>5.5365000000000002</v>
      </c>
      <c r="AK698" s="3">
        <v>45226</v>
      </c>
      <c r="AL698" s="2">
        <v>5.4349999999999996</v>
      </c>
      <c r="AM698" s="3">
        <v>45226</v>
      </c>
      <c r="AN698" s="2">
        <v>5.3150000000000004</v>
      </c>
      <c r="AO698" s="3">
        <v>45226</v>
      </c>
      <c r="AP698" s="2">
        <v>4.93</v>
      </c>
      <c r="AQ698" s="3">
        <v>45226</v>
      </c>
      <c r="AR698" s="2">
        <v>4.6749999999999998</v>
      </c>
      <c r="AS698" s="3">
        <v>45226</v>
      </c>
      <c r="AT698" s="2">
        <v>4.4349999999999996</v>
      </c>
      <c r="AU698" s="3">
        <v>45226</v>
      </c>
      <c r="AV698" s="2">
        <v>4.3</v>
      </c>
      <c r="AW698" s="3">
        <v>45226</v>
      </c>
      <c r="AX698" s="2">
        <v>4.2125000000000004</v>
      </c>
      <c r="AY698" s="3">
        <v>45226</v>
      </c>
      <c r="AZ698" s="2">
        <v>4.22</v>
      </c>
      <c r="BB698" s="3">
        <v>45169</v>
      </c>
      <c r="BC698" s="1">
        <v>7</v>
      </c>
      <c r="BD698" s="3">
        <v>45187</v>
      </c>
      <c r="BE698" s="1">
        <v>7.08</v>
      </c>
      <c r="BF698" s="3">
        <v>45226</v>
      </c>
      <c r="BG698" s="1">
        <v>6.81</v>
      </c>
      <c r="BH698" s="3">
        <v>45226</v>
      </c>
      <c r="BI698" s="1">
        <v>6.53</v>
      </c>
      <c r="BJ698" s="3">
        <v>45226</v>
      </c>
      <c r="BK698" s="1">
        <v>6.4</v>
      </c>
      <c r="BL698" s="3">
        <v>45226</v>
      </c>
      <c r="BM698" s="1">
        <v>5.43</v>
      </c>
      <c r="BN698" s="3">
        <v>45226</v>
      </c>
      <c r="BO698" s="1">
        <v>4.4749999999999996</v>
      </c>
      <c r="BP698" s="3">
        <v>45226</v>
      </c>
      <c r="BQ698" s="1">
        <v>4.05</v>
      </c>
      <c r="BR698" s="3">
        <v>45226</v>
      </c>
      <c r="BS698" s="1">
        <v>3.89</v>
      </c>
      <c r="BT698" s="3">
        <v>45226</v>
      </c>
      <c r="BU698" s="1">
        <v>3.83</v>
      </c>
      <c r="BV698" s="3">
        <v>45226</v>
      </c>
      <c r="BW698" s="1">
        <v>3.8</v>
      </c>
      <c r="BY698" s="3">
        <v>45188</v>
      </c>
      <c r="BZ698" s="1">
        <v>13</v>
      </c>
      <c r="CA698" s="3">
        <v>45176</v>
      </c>
      <c r="CB698" s="1">
        <v>13.09</v>
      </c>
      <c r="CC698" s="3">
        <v>45226</v>
      </c>
      <c r="CD698" s="1">
        <v>10.77</v>
      </c>
      <c r="CE698" s="3">
        <v>45226</v>
      </c>
      <c r="CF698" s="1">
        <v>10.25</v>
      </c>
      <c r="CG698" s="3">
        <v>45226</v>
      </c>
      <c r="CH698" s="1">
        <v>9.83</v>
      </c>
      <c r="CI698" s="3">
        <v>45226</v>
      </c>
      <c r="CJ698" s="1">
        <v>8.5299999999999994</v>
      </c>
      <c r="CK698" s="3">
        <v>45226</v>
      </c>
      <c r="CL698" s="1">
        <v>7.48</v>
      </c>
      <c r="CM698" s="3">
        <v>45226</v>
      </c>
      <c r="CN698" s="1">
        <v>7.03</v>
      </c>
      <c r="CO698" s="3">
        <v>45218</v>
      </c>
      <c r="CP698" s="1">
        <v>6.9349999999999996</v>
      </c>
      <c r="CQ698" s="3">
        <v>45218</v>
      </c>
      <c r="CR698" s="1">
        <v>6.585</v>
      </c>
      <c r="CS698" s="3">
        <v>45218</v>
      </c>
      <c r="CT698" s="1">
        <v>6.57</v>
      </c>
    </row>
    <row r="699" spans="31:98" x14ac:dyDescent="0.2">
      <c r="AE699" s="3">
        <v>45217</v>
      </c>
      <c r="AF699" s="1">
        <v>5.75</v>
      </c>
      <c r="AG699" s="3">
        <v>45184</v>
      </c>
      <c r="AH699" s="1">
        <v>5.8</v>
      </c>
      <c r="AI699" s="3">
        <v>45225</v>
      </c>
      <c r="AJ699" s="2">
        <v>5.5382999999999996</v>
      </c>
      <c r="AK699" s="3">
        <v>45225</v>
      </c>
      <c r="AL699" s="2">
        <v>5.4325000000000001</v>
      </c>
      <c r="AM699" s="3">
        <v>45225</v>
      </c>
      <c r="AN699" s="2">
        <v>5.3274999999999997</v>
      </c>
      <c r="AO699" s="3">
        <v>45225</v>
      </c>
      <c r="AP699" s="2">
        <v>4.97</v>
      </c>
      <c r="AQ699" s="3">
        <v>45225</v>
      </c>
      <c r="AR699" s="2">
        <v>4.7249999999999996</v>
      </c>
      <c r="AS699" s="3">
        <v>45225</v>
      </c>
      <c r="AT699" s="2">
        <v>4.4625000000000004</v>
      </c>
      <c r="AU699" s="3">
        <v>45225</v>
      </c>
      <c r="AV699" s="2">
        <v>4.3125</v>
      </c>
      <c r="AW699" s="3">
        <v>45225</v>
      </c>
      <c r="AX699" s="2">
        <v>4.26</v>
      </c>
      <c r="AY699" s="3">
        <v>45225</v>
      </c>
      <c r="AZ699" s="2">
        <v>4.2725</v>
      </c>
      <c r="BB699" s="3">
        <v>45168</v>
      </c>
      <c r="BC699" s="1">
        <v>7</v>
      </c>
      <c r="BD699" s="3">
        <v>45184</v>
      </c>
      <c r="BE699" s="1">
        <v>7.08</v>
      </c>
      <c r="BF699" s="3">
        <v>45225</v>
      </c>
      <c r="BG699" s="1">
        <v>6.81</v>
      </c>
      <c r="BH699" s="3">
        <v>45225</v>
      </c>
      <c r="BI699" s="1">
        <v>6.61</v>
      </c>
      <c r="BJ699" s="3">
        <v>45225</v>
      </c>
      <c r="BK699" s="1">
        <v>6.44</v>
      </c>
      <c r="BL699" s="3">
        <v>45225</v>
      </c>
      <c r="BM699" s="1">
        <v>5.4850000000000003</v>
      </c>
      <c r="BN699" s="3">
        <v>45225</v>
      </c>
      <c r="BO699" s="1">
        <v>4.54</v>
      </c>
      <c r="BP699" s="3">
        <v>45225</v>
      </c>
      <c r="BQ699" s="1">
        <v>4.05</v>
      </c>
      <c r="BR699" s="3">
        <v>45225</v>
      </c>
      <c r="BS699" s="1">
        <v>3.895</v>
      </c>
      <c r="BT699" s="3">
        <v>45225</v>
      </c>
      <c r="BU699" s="1">
        <v>3.83</v>
      </c>
      <c r="BV699" s="3">
        <v>45225</v>
      </c>
      <c r="BW699" s="1">
        <v>3.7949999999999999</v>
      </c>
      <c r="BY699" s="3">
        <v>45187</v>
      </c>
      <c r="BZ699" s="1">
        <v>13</v>
      </c>
      <c r="CA699" s="3">
        <v>45175</v>
      </c>
      <c r="CB699" s="1">
        <v>13.12</v>
      </c>
      <c r="CC699" s="3">
        <v>45225</v>
      </c>
      <c r="CD699" s="1">
        <v>10.81</v>
      </c>
      <c r="CE699" s="3">
        <v>45225</v>
      </c>
      <c r="CF699" s="1">
        <v>10.28</v>
      </c>
      <c r="CG699" s="3">
        <v>45225</v>
      </c>
      <c r="CH699" s="1">
        <v>9.85</v>
      </c>
      <c r="CI699" s="3">
        <v>45225</v>
      </c>
      <c r="CJ699" s="1">
        <v>8.5500000000000007</v>
      </c>
      <c r="CK699" s="3">
        <v>45225</v>
      </c>
      <c r="CL699" s="1">
        <v>7.53</v>
      </c>
      <c r="CM699" s="3">
        <v>45225</v>
      </c>
      <c r="CN699" s="1">
        <v>7.4050000000000002</v>
      </c>
      <c r="CO699" s="3">
        <v>45217</v>
      </c>
      <c r="CP699" s="1">
        <v>6.89</v>
      </c>
      <c r="CQ699" s="3">
        <v>45217</v>
      </c>
      <c r="CR699" s="1">
        <v>6.5049999999999999</v>
      </c>
      <c r="CS699" s="3">
        <v>45217</v>
      </c>
      <c r="CT699" s="1">
        <v>6.47</v>
      </c>
    </row>
    <row r="700" spans="31:98" x14ac:dyDescent="0.2">
      <c r="AE700" s="3">
        <v>45216</v>
      </c>
      <c r="AF700" s="1">
        <v>5.75</v>
      </c>
      <c r="AG700" s="3">
        <v>45183</v>
      </c>
      <c r="AH700" s="1">
        <v>5.81</v>
      </c>
      <c r="AI700" s="3">
        <v>45224</v>
      </c>
      <c r="AJ700" s="2">
        <v>5.5495000000000001</v>
      </c>
      <c r="AK700" s="3">
        <v>45224</v>
      </c>
      <c r="AL700" s="2">
        <v>5.4625000000000004</v>
      </c>
      <c r="AM700" s="3">
        <v>45224</v>
      </c>
      <c r="AN700" s="2">
        <v>5.33</v>
      </c>
      <c r="AO700" s="3">
        <v>45224</v>
      </c>
      <c r="AP700" s="2">
        <v>4.9800000000000004</v>
      </c>
      <c r="AQ700" s="3">
        <v>45224</v>
      </c>
      <c r="AR700" s="2">
        <v>4.7374999999999998</v>
      </c>
      <c r="AS700" s="3">
        <v>45224</v>
      </c>
      <c r="AT700" s="2">
        <v>4.4675000000000002</v>
      </c>
      <c r="AU700" s="3">
        <v>45224</v>
      </c>
      <c r="AV700" s="2">
        <v>4.3150000000000004</v>
      </c>
      <c r="AW700" s="3">
        <v>45224</v>
      </c>
      <c r="AX700" s="2">
        <v>4.2625000000000002</v>
      </c>
      <c r="AY700" s="3">
        <v>45224</v>
      </c>
      <c r="AZ700" s="2">
        <v>4.2649999999999997</v>
      </c>
      <c r="BB700" s="3">
        <v>45167</v>
      </c>
      <c r="BC700" s="1">
        <v>7</v>
      </c>
      <c r="BD700" s="3">
        <v>45183</v>
      </c>
      <c r="BE700" s="1">
        <v>7.08</v>
      </c>
      <c r="BF700" s="3">
        <v>45224</v>
      </c>
      <c r="BG700" s="1">
        <v>6.81</v>
      </c>
      <c r="BH700" s="3">
        <v>45224</v>
      </c>
      <c r="BI700" s="1">
        <v>6.74</v>
      </c>
      <c r="BJ700" s="3">
        <v>45224</v>
      </c>
      <c r="BK700" s="1">
        <v>6.46</v>
      </c>
      <c r="BL700" s="3">
        <v>45224</v>
      </c>
      <c r="BM700" s="1">
        <v>5.52</v>
      </c>
      <c r="BN700" s="3">
        <v>45224</v>
      </c>
      <c r="BO700" s="1">
        <v>4.625</v>
      </c>
      <c r="BP700" s="3">
        <v>45224</v>
      </c>
      <c r="BQ700" s="1">
        <v>4.07</v>
      </c>
      <c r="BR700" s="3">
        <v>45224</v>
      </c>
      <c r="BS700" s="1">
        <v>3.91</v>
      </c>
      <c r="BT700" s="3">
        <v>45224</v>
      </c>
      <c r="BU700" s="1">
        <v>3.85</v>
      </c>
      <c r="BV700" s="3">
        <v>45224</v>
      </c>
      <c r="BW700" s="1">
        <v>3.8180000000000001</v>
      </c>
      <c r="BY700" s="3">
        <v>45184</v>
      </c>
      <c r="BZ700" s="1">
        <v>13</v>
      </c>
      <c r="CA700" s="3">
        <v>45174</v>
      </c>
      <c r="CB700" s="1">
        <v>13.15</v>
      </c>
      <c r="CC700" s="3">
        <v>45224</v>
      </c>
      <c r="CD700" s="1">
        <v>10.77</v>
      </c>
      <c r="CE700" s="3">
        <v>45224</v>
      </c>
      <c r="CF700" s="1">
        <v>10.26</v>
      </c>
      <c r="CG700" s="3">
        <v>45224</v>
      </c>
      <c r="CH700" s="1">
        <v>9.85</v>
      </c>
      <c r="CI700" s="3">
        <v>45224</v>
      </c>
      <c r="CJ700" s="1">
        <v>8.57</v>
      </c>
      <c r="CK700" s="3">
        <v>45224</v>
      </c>
      <c r="CL700" s="1">
        <v>7.47</v>
      </c>
      <c r="CM700" s="3">
        <v>45224</v>
      </c>
      <c r="CN700" s="1">
        <v>7.29</v>
      </c>
      <c r="CO700" s="3">
        <v>45216</v>
      </c>
      <c r="CP700" s="1">
        <v>6.76</v>
      </c>
      <c r="CQ700" s="3">
        <v>45216</v>
      </c>
      <c r="CR700" s="1">
        <v>6.5149999999999997</v>
      </c>
      <c r="CS700" s="3">
        <v>45216</v>
      </c>
      <c r="CT700" s="1">
        <v>6.34</v>
      </c>
    </row>
    <row r="701" spans="31:98" x14ac:dyDescent="0.2">
      <c r="AE701" s="3">
        <v>45215</v>
      </c>
      <c r="AF701" s="1">
        <v>5.75</v>
      </c>
      <c r="AG701" s="3">
        <v>45182</v>
      </c>
      <c r="AH701" s="1">
        <v>5.84</v>
      </c>
      <c r="AI701" s="3">
        <v>45223</v>
      </c>
      <c r="AJ701" s="2">
        <v>5.5505000000000004</v>
      </c>
      <c r="AK701" s="3">
        <v>45223</v>
      </c>
      <c r="AL701" s="2">
        <v>5.4749999999999996</v>
      </c>
      <c r="AM701" s="3">
        <v>45223</v>
      </c>
      <c r="AN701" s="2">
        <v>5.3724999999999996</v>
      </c>
      <c r="AO701" s="3">
        <v>45223</v>
      </c>
      <c r="AP701" s="2">
        <v>5.0274999999999999</v>
      </c>
      <c r="AQ701" s="3">
        <v>45223</v>
      </c>
      <c r="AR701" s="2">
        <v>4.82</v>
      </c>
      <c r="AS701" s="3">
        <v>45223</v>
      </c>
      <c r="AT701" s="2">
        <v>4.55</v>
      </c>
      <c r="AU701" s="3">
        <v>45223</v>
      </c>
      <c r="AV701" s="2">
        <v>4.3899999999999997</v>
      </c>
      <c r="AW701" s="3">
        <v>45223</v>
      </c>
      <c r="AX701" s="2">
        <v>4.335</v>
      </c>
      <c r="AY701" s="3">
        <v>45223</v>
      </c>
      <c r="AZ701" s="2">
        <v>4.3425000000000002</v>
      </c>
      <c r="BB701" s="3">
        <v>45166</v>
      </c>
      <c r="BC701" s="1">
        <v>7</v>
      </c>
      <c r="BD701" s="3">
        <v>45182</v>
      </c>
      <c r="BE701" s="1">
        <v>7.08</v>
      </c>
      <c r="BF701" s="3">
        <v>45223</v>
      </c>
      <c r="BG701" s="1">
        <v>6.8</v>
      </c>
      <c r="BH701" s="3">
        <v>45223</v>
      </c>
      <c r="BI701" s="1">
        <v>6.6950000000000003</v>
      </c>
      <c r="BJ701" s="3">
        <v>45223</v>
      </c>
      <c r="BK701" s="1">
        <v>6.4</v>
      </c>
      <c r="BL701" s="3">
        <v>45223</v>
      </c>
      <c r="BM701" s="1">
        <v>5.5</v>
      </c>
      <c r="BN701" s="3">
        <v>45223</v>
      </c>
      <c r="BO701" s="1">
        <v>4.58</v>
      </c>
      <c r="BP701" s="3">
        <v>45223</v>
      </c>
      <c r="BQ701" s="1">
        <v>4.08</v>
      </c>
      <c r="BR701" s="3">
        <v>45223</v>
      </c>
      <c r="BS701" s="1">
        <v>3.9350000000000001</v>
      </c>
      <c r="BT701" s="3">
        <v>45223</v>
      </c>
      <c r="BU701" s="1">
        <v>3.875</v>
      </c>
      <c r="BV701" s="3">
        <v>45223</v>
      </c>
      <c r="BW701" s="1">
        <v>3.84</v>
      </c>
      <c r="BY701" s="3">
        <v>45183</v>
      </c>
      <c r="BZ701" s="1">
        <v>13</v>
      </c>
      <c r="CA701" s="3">
        <v>45173</v>
      </c>
      <c r="CB701" s="1">
        <v>13.19</v>
      </c>
      <c r="CC701" s="3">
        <v>45223</v>
      </c>
      <c r="CD701" s="1">
        <v>10.94</v>
      </c>
      <c r="CE701" s="3">
        <v>45223</v>
      </c>
      <c r="CF701" s="1">
        <v>10.36</v>
      </c>
      <c r="CG701" s="3">
        <v>45223</v>
      </c>
      <c r="CH701" s="1">
        <v>9.9700000000000006</v>
      </c>
      <c r="CI701" s="3">
        <v>45223</v>
      </c>
      <c r="CJ701" s="1">
        <v>8.69</v>
      </c>
      <c r="CK701" s="3">
        <v>45223</v>
      </c>
      <c r="CL701" s="1">
        <v>7.59</v>
      </c>
      <c r="CM701" s="3">
        <v>45223</v>
      </c>
      <c r="CN701" s="1">
        <v>7.2549999999999999</v>
      </c>
      <c r="CO701" s="3">
        <v>45215</v>
      </c>
      <c r="CP701" s="1">
        <v>6.7750000000000004</v>
      </c>
      <c r="CQ701" s="3">
        <v>45215</v>
      </c>
      <c r="CR701" s="1">
        <v>6.51</v>
      </c>
      <c r="CS701" s="3">
        <v>45215</v>
      </c>
      <c r="CT701" s="1">
        <v>6.335</v>
      </c>
    </row>
    <row r="702" spans="31:98" x14ac:dyDescent="0.2">
      <c r="AE702" s="3">
        <v>45212</v>
      </c>
      <c r="AF702" s="1">
        <v>5.75</v>
      </c>
      <c r="AG702" s="3">
        <v>45181</v>
      </c>
      <c r="AH702" s="1">
        <v>5.89</v>
      </c>
      <c r="AI702" s="3">
        <v>45222</v>
      </c>
      <c r="AJ702" s="2">
        <v>5.5614999999999997</v>
      </c>
      <c r="AK702" s="3">
        <v>45222</v>
      </c>
      <c r="AL702" s="2">
        <v>5.4950000000000001</v>
      </c>
      <c r="AM702" s="3">
        <v>45222</v>
      </c>
      <c r="AN702" s="2">
        <v>5.3949999999999996</v>
      </c>
      <c r="AO702" s="3">
        <v>45222</v>
      </c>
      <c r="AP702" s="2">
        <v>5.085</v>
      </c>
      <c r="AQ702" s="3">
        <v>45222</v>
      </c>
      <c r="AR702" s="2">
        <v>4.8949999999999996</v>
      </c>
      <c r="AS702" s="3">
        <v>45222</v>
      </c>
      <c r="AT702" s="2">
        <v>4.6749999999999998</v>
      </c>
      <c r="AU702" s="3">
        <v>45222</v>
      </c>
      <c r="AV702" s="2">
        <v>4.5324999999999998</v>
      </c>
      <c r="AW702" s="3">
        <v>45222</v>
      </c>
      <c r="AX702" s="2">
        <v>4.4625000000000004</v>
      </c>
      <c r="AY702" s="3">
        <v>45222</v>
      </c>
      <c r="AZ702" s="2">
        <v>4.4874999999999998</v>
      </c>
      <c r="BB702" s="3">
        <v>45163</v>
      </c>
      <c r="BC702" s="1">
        <v>7</v>
      </c>
      <c r="BD702" s="3">
        <v>45181</v>
      </c>
      <c r="BE702" s="1">
        <v>7.08</v>
      </c>
      <c r="BF702" s="3">
        <v>45222</v>
      </c>
      <c r="BG702" s="1">
        <v>6.8250000000000002</v>
      </c>
      <c r="BH702" s="3">
        <v>45222</v>
      </c>
      <c r="BI702" s="1">
        <v>6.73</v>
      </c>
      <c r="BJ702" s="3">
        <v>45222</v>
      </c>
      <c r="BK702" s="1">
        <v>6.45</v>
      </c>
      <c r="BL702" s="3">
        <v>45222</v>
      </c>
      <c r="BM702" s="1">
        <v>5.55</v>
      </c>
      <c r="BN702" s="3">
        <v>45222</v>
      </c>
      <c r="BO702" s="1">
        <v>4.673</v>
      </c>
      <c r="BP702" s="3">
        <v>45222</v>
      </c>
      <c r="BQ702" s="1">
        <v>4.218</v>
      </c>
      <c r="BR702" s="3">
        <v>45222</v>
      </c>
      <c r="BS702" s="1">
        <v>4.0599999999999996</v>
      </c>
      <c r="BT702" s="3">
        <v>45222</v>
      </c>
      <c r="BU702" s="1">
        <v>4.0030000000000001</v>
      </c>
      <c r="BV702" s="3">
        <v>45222</v>
      </c>
      <c r="BW702" s="1">
        <v>3.9729999999999999</v>
      </c>
      <c r="BY702" s="3">
        <v>45182</v>
      </c>
      <c r="BZ702" s="1">
        <v>13</v>
      </c>
      <c r="CA702" s="3">
        <v>45170</v>
      </c>
      <c r="CB702" s="1">
        <v>13.22</v>
      </c>
      <c r="CC702" s="3">
        <v>45222</v>
      </c>
      <c r="CD702" s="1">
        <v>11</v>
      </c>
      <c r="CE702" s="3">
        <v>45222</v>
      </c>
      <c r="CF702" s="1">
        <v>10.5</v>
      </c>
      <c r="CG702" s="3">
        <v>45222</v>
      </c>
      <c r="CH702" s="1">
        <v>10.34</v>
      </c>
      <c r="CI702" s="3">
        <v>45222</v>
      </c>
      <c r="CJ702" s="1">
        <v>9</v>
      </c>
      <c r="CK702" s="3">
        <v>45222</v>
      </c>
      <c r="CL702" s="1">
        <v>7.85</v>
      </c>
      <c r="CM702" s="3">
        <v>45222</v>
      </c>
      <c r="CN702" s="1">
        <v>7.44</v>
      </c>
      <c r="CO702" s="3">
        <v>45212</v>
      </c>
      <c r="CP702" s="1">
        <v>6.665</v>
      </c>
      <c r="CQ702" s="3">
        <v>45212</v>
      </c>
      <c r="CR702" s="1">
        <v>6.3949999999999996</v>
      </c>
      <c r="CS702" s="3">
        <v>45212</v>
      </c>
      <c r="CT702" s="1">
        <v>6.22</v>
      </c>
    </row>
    <row r="703" spans="31:98" x14ac:dyDescent="0.2">
      <c r="AE703" s="3">
        <v>45211</v>
      </c>
      <c r="AF703" s="1">
        <v>5.75</v>
      </c>
      <c r="AG703" s="3">
        <v>45180</v>
      </c>
      <c r="AH703" s="1">
        <v>5.96</v>
      </c>
      <c r="AI703" s="3">
        <v>45219</v>
      </c>
      <c r="AJ703" s="2">
        <v>5.57</v>
      </c>
      <c r="AK703" s="3">
        <v>45219</v>
      </c>
      <c r="AL703" s="2">
        <v>5.5</v>
      </c>
      <c r="AM703" s="3">
        <v>45219</v>
      </c>
      <c r="AN703" s="2">
        <v>5.4175000000000004</v>
      </c>
      <c r="AO703" s="3">
        <v>45219</v>
      </c>
      <c r="AP703" s="2">
        <v>5.14</v>
      </c>
      <c r="AQ703" s="3">
        <v>45219</v>
      </c>
      <c r="AR703" s="2">
        <v>4.92</v>
      </c>
      <c r="AS703" s="3">
        <v>45219</v>
      </c>
      <c r="AT703" s="2">
        <v>4.6449999999999996</v>
      </c>
      <c r="AU703" s="3">
        <v>45219</v>
      </c>
      <c r="AV703" s="2">
        <v>4.4874999999999998</v>
      </c>
      <c r="AW703" s="3">
        <v>45219</v>
      </c>
      <c r="AX703" s="2">
        <v>4.3925000000000001</v>
      </c>
      <c r="AY703" s="3">
        <v>45219</v>
      </c>
      <c r="AZ703" s="2">
        <v>4.3975</v>
      </c>
      <c r="BB703" s="3">
        <v>45162</v>
      </c>
      <c r="BC703" s="1">
        <v>7</v>
      </c>
      <c r="BD703" s="3">
        <v>45180</v>
      </c>
      <c r="BE703" s="1">
        <v>7.09</v>
      </c>
      <c r="BF703" s="3">
        <v>45219</v>
      </c>
      <c r="BG703" s="1">
        <v>6.8250000000000002</v>
      </c>
      <c r="BH703" s="3">
        <v>45219</v>
      </c>
      <c r="BI703" s="1">
        <v>6.7380000000000004</v>
      </c>
      <c r="BJ703" s="3">
        <v>45219</v>
      </c>
      <c r="BK703" s="1">
        <v>6.4249999999999998</v>
      </c>
      <c r="BL703" s="3">
        <v>45219</v>
      </c>
      <c r="BM703" s="1">
        <v>5.5330000000000004</v>
      </c>
      <c r="BN703" s="3">
        <v>45219</v>
      </c>
      <c r="BO703" s="1">
        <v>4.6349999999999998</v>
      </c>
      <c r="BP703" s="3">
        <v>45219</v>
      </c>
      <c r="BQ703" s="1">
        <v>4.1630000000000003</v>
      </c>
      <c r="BR703" s="3">
        <v>45219</v>
      </c>
      <c r="BS703" s="1">
        <v>3.9950000000000001</v>
      </c>
      <c r="BT703" s="3">
        <v>45219</v>
      </c>
      <c r="BU703" s="1">
        <v>3.93</v>
      </c>
      <c r="BV703" s="3">
        <v>45219</v>
      </c>
      <c r="BW703" s="1">
        <v>3.8980000000000001</v>
      </c>
      <c r="BY703" s="3">
        <v>45181</v>
      </c>
      <c r="BZ703" s="1">
        <v>13</v>
      </c>
      <c r="CA703" s="3">
        <v>45169</v>
      </c>
      <c r="CB703" s="1">
        <v>13.24</v>
      </c>
      <c r="CC703" s="3">
        <v>45219</v>
      </c>
      <c r="CD703" s="1">
        <v>11</v>
      </c>
      <c r="CE703" s="3">
        <v>45219</v>
      </c>
      <c r="CF703" s="1">
        <v>10.5</v>
      </c>
      <c r="CG703" s="3">
        <v>45219</v>
      </c>
      <c r="CH703" s="1">
        <v>10.34</v>
      </c>
      <c r="CI703" s="3">
        <v>45219</v>
      </c>
      <c r="CJ703" s="1">
        <v>9</v>
      </c>
      <c r="CK703" s="3">
        <v>45219</v>
      </c>
      <c r="CL703" s="1">
        <v>7.85</v>
      </c>
      <c r="CM703" s="3">
        <v>45219</v>
      </c>
      <c r="CN703" s="1">
        <v>7.4</v>
      </c>
      <c r="CO703" s="3">
        <v>45211</v>
      </c>
      <c r="CP703" s="1">
        <v>6.6449999999999996</v>
      </c>
      <c r="CQ703" s="3">
        <v>45211</v>
      </c>
      <c r="CR703" s="1">
        <v>6.38</v>
      </c>
      <c r="CS703" s="3">
        <v>45211</v>
      </c>
      <c r="CT703" s="1">
        <v>6.2050000000000001</v>
      </c>
    </row>
    <row r="704" spans="31:98" x14ac:dyDescent="0.2">
      <c r="AE704" s="3">
        <v>45210</v>
      </c>
      <c r="AF704" s="1">
        <v>5.75</v>
      </c>
      <c r="AG704" s="3">
        <v>45177</v>
      </c>
      <c r="AH704" s="1">
        <v>6.01</v>
      </c>
      <c r="AI704" s="3">
        <v>45218</v>
      </c>
      <c r="AJ704" s="2">
        <v>5.5655000000000001</v>
      </c>
      <c r="AK704" s="3">
        <v>45218</v>
      </c>
      <c r="AL704" s="2">
        <v>5.4950000000000001</v>
      </c>
      <c r="AM704" s="3">
        <v>45218</v>
      </c>
      <c r="AN704" s="2">
        <v>5.4</v>
      </c>
      <c r="AO704" s="3">
        <v>45218</v>
      </c>
      <c r="AP704" s="2">
        <v>5.1150000000000002</v>
      </c>
      <c r="AQ704" s="3">
        <v>45218</v>
      </c>
      <c r="AR704" s="2">
        <v>4.8899999999999997</v>
      </c>
      <c r="AS704" s="3">
        <v>45218</v>
      </c>
      <c r="AT704" s="2">
        <v>4.62</v>
      </c>
      <c r="AU704" s="3">
        <v>45218</v>
      </c>
      <c r="AV704" s="2">
        <v>4.46</v>
      </c>
      <c r="AW704" s="3">
        <v>45218</v>
      </c>
      <c r="AX704" s="2">
        <v>4.32</v>
      </c>
      <c r="AY704" s="3">
        <v>45218</v>
      </c>
      <c r="AZ704" s="2">
        <v>4.32</v>
      </c>
      <c r="BB704" s="3">
        <v>45161</v>
      </c>
      <c r="BC704" s="1">
        <v>7</v>
      </c>
      <c r="BD704" s="3">
        <v>45177</v>
      </c>
      <c r="BE704" s="1">
        <v>7.09</v>
      </c>
      <c r="BF704" s="3">
        <v>45218</v>
      </c>
      <c r="BG704" s="1">
        <v>6.82</v>
      </c>
      <c r="BH704" s="3">
        <v>45218</v>
      </c>
      <c r="BI704" s="1">
        <v>6.7249999999999996</v>
      </c>
      <c r="BJ704" s="3">
        <v>45218</v>
      </c>
      <c r="BK704" s="1">
        <v>6.42</v>
      </c>
      <c r="BL704" s="3">
        <v>45218</v>
      </c>
      <c r="BM704" s="1">
        <v>5.5049999999999999</v>
      </c>
      <c r="BN704" s="3">
        <v>45218</v>
      </c>
      <c r="BO704" s="1">
        <v>4.62</v>
      </c>
      <c r="BP704" s="3">
        <v>45218</v>
      </c>
      <c r="BQ704" s="1">
        <v>4.16</v>
      </c>
      <c r="BR704" s="3">
        <v>45218</v>
      </c>
      <c r="BS704" s="1">
        <v>3.98</v>
      </c>
      <c r="BT704" s="3">
        <v>45218</v>
      </c>
      <c r="BU704" s="1">
        <v>3.93</v>
      </c>
      <c r="BV704" s="3">
        <v>45218</v>
      </c>
      <c r="BW704" s="1">
        <v>3.895</v>
      </c>
      <c r="BY704" s="3">
        <v>45180</v>
      </c>
      <c r="BZ704" s="1">
        <v>13</v>
      </c>
      <c r="CA704" s="3">
        <v>45168</v>
      </c>
      <c r="CB704" s="1">
        <v>13.29</v>
      </c>
      <c r="CC704" s="3">
        <v>45218</v>
      </c>
      <c r="CD704" s="1">
        <v>11.08</v>
      </c>
      <c r="CE704" s="3">
        <v>45218</v>
      </c>
      <c r="CF704" s="1">
        <v>10.53</v>
      </c>
      <c r="CG704" s="3">
        <v>45218</v>
      </c>
      <c r="CH704" s="1">
        <v>10.33</v>
      </c>
      <c r="CI704" s="3">
        <v>45218</v>
      </c>
      <c r="CJ704" s="1">
        <v>9.01</v>
      </c>
      <c r="CK704" s="3">
        <v>45218</v>
      </c>
      <c r="CL704" s="1">
        <v>7.81</v>
      </c>
      <c r="CM704" s="3">
        <v>45218</v>
      </c>
      <c r="CN704" s="1">
        <v>7.3650000000000002</v>
      </c>
      <c r="CO704" s="3">
        <v>45210</v>
      </c>
      <c r="CP704" s="1">
        <v>6.31</v>
      </c>
      <c r="CQ704" s="3">
        <v>45210</v>
      </c>
      <c r="CR704" s="1">
        <v>6.05</v>
      </c>
      <c r="CS704" s="3">
        <v>45210</v>
      </c>
      <c r="CT704" s="1">
        <v>5.875</v>
      </c>
    </row>
    <row r="705" spans="31:98" x14ac:dyDescent="0.2">
      <c r="AE705" s="3">
        <v>45209</v>
      </c>
      <c r="AF705" s="1">
        <v>5.75</v>
      </c>
      <c r="AG705" s="3">
        <v>45176</v>
      </c>
      <c r="AH705" s="1">
        <v>6.07</v>
      </c>
      <c r="AI705" s="3">
        <v>45217</v>
      </c>
      <c r="AJ705" s="2">
        <v>5.5750000000000002</v>
      </c>
      <c r="AK705" s="3">
        <v>45217</v>
      </c>
      <c r="AL705" s="2">
        <v>5.4850000000000003</v>
      </c>
      <c r="AM705" s="3">
        <v>45217</v>
      </c>
      <c r="AN705" s="2">
        <v>5.38</v>
      </c>
      <c r="AO705" s="3">
        <v>45217</v>
      </c>
      <c r="AP705" s="2">
        <v>5.085</v>
      </c>
      <c r="AQ705" s="3">
        <v>45217</v>
      </c>
      <c r="AR705" s="2">
        <v>4.7949999999999999</v>
      </c>
      <c r="AS705" s="3">
        <v>45217</v>
      </c>
      <c r="AT705" s="2">
        <v>4.5049999999999999</v>
      </c>
      <c r="AU705" s="3">
        <v>45217</v>
      </c>
      <c r="AV705" s="2">
        <v>4.335</v>
      </c>
      <c r="AW705" s="3">
        <v>45217</v>
      </c>
      <c r="AX705" s="2">
        <v>4.2149999999999999</v>
      </c>
      <c r="AY705" s="3">
        <v>45217</v>
      </c>
      <c r="AZ705" s="2">
        <v>4.22</v>
      </c>
      <c r="BB705" s="3">
        <v>45160</v>
      </c>
      <c r="BC705" s="1">
        <v>7</v>
      </c>
      <c r="BD705" s="3">
        <v>45176</v>
      </c>
      <c r="BE705" s="1">
        <v>7.09</v>
      </c>
      <c r="BF705" s="3">
        <v>45217</v>
      </c>
      <c r="BG705" s="1">
        <v>6.8</v>
      </c>
      <c r="BH705" s="3">
        <v>45217</v>
      </c>
      <c r="BI705" s="1">
        <v>6.6950000000000003</v>
      </c>
      <c r="BJ705" s="3">
        <v>45217</v>
      </c>
      <c r="BK705" s="1">
        <v>6.36</v>
      </c>
      <c r="BL705" s="3">
        <v>45217</v>
      </c>
      <c r="BM705" s="1">
        <v>5.42</v>
      </c>
      <c r="BN705" s="3">
        <v>45217</v>
      </c>
      <c r="BO705" s="1">
        <v>4.53</v>
      </c>
      <c r="BP705" s="3">
        <v>45217</v>
      </c>
      <c r="BQ705" s="1">
        <v>4.0549999999999997</v>
      </c>
      <c r="BR705" s="3">
        <v>45217</v>
      </c>
      <c r="BS705" s="1">
        <v>3.8780000000000001</v>
      </c>
      <c r="BT705" s="3">
        <v>45217</v>
      </c>
      <c r="BU705" s="1">
        <v>3.8050000000000002</v>
      </c>
      <c r="BV705" s="3">
        <v>45217</v>
      </c>
      <c r="BW705" s="1">
        <v>3.7749999999999999</v>
      </c>
      <c r="BY705" s="3">
        <v>45177</v>
      </c>
      <c r="BZ705" s="1">
        <v>13</v>
      </c>
      <c r="CA705" s="3">
        <v>45167</v>
      </c>
      <c r="CB705" s="1">
        <v>13.73</v>
      </c>
      <c r="CC705" s="3">
        <v>45217</v>
      </c>
      <c r="CD705" s="1">
        <v>11.3</v>
      </c>
      <c r="CE705" s="3">
        <v>45217</v>
      </c>
      <c r="CF705" s="1">
        <v>10.81</v>
      </c>
      <c r="CG705" s="3">
        <v>45217</v>
      </c>
      <c r="CH705" s="1">
        <v>10.35</v>
      </c>
      <c r="CI705" s="3">
        <v>45217</v>
      </c>
      <c r="CJ705" s="1">
        <v>9.0500000000000007</v>
      </c>
      <c r="CK705" s="3">
        <v>45217</v>
      </c>
      <c r="CL705" s="1">
        <v>7.8</v>
      </c>
      <c r="CM705" s="3">
        <v>45217</v>
      </c>
      <c r="CN705" s="1">
        <v>7.32</v>
      </c>
      <c r="CO705" s="3">
        <v>45209</v>
      </c>
      <c r="CP705" s="1">
        <v>6.8049999999999997</v>
      </c>
      <c r="CQ705" s="3">
        <v>45209</v>
      </c>
      <c r="CR705" s="1">
        <v>6.5549999999999997</v>
      </c>
      <c r="CS705" s="3">
        <v>45209</v>
      </c>
      <c r="CT705" s="1">
        <v>6.38</v>
      </c>
    </row>
    <row r="706" spans="31:98" x14ac:dyDescent="0.2">
      <c r="AE706" s="3">
        <v>45208</v>
      </c>
      <c r="AF706" s="1">
        <v>5.75</v>
      </c>
      <c r="AG706" s="3">
        <v>45175</v>
      </c>
      <c r="AH706" s="1">
        <v>6.6</v>
      </c>
      <c r="AI706" s="3">
        <v>45216</v>
      </c>
      <c r="AJ706" s="2">
        <v>5.5834999999999999</v>
      </c>
      <c r="AK706" s="3">
        <v>45216</v>
      </c>
      <c r="AL706" s="2">
        <v>5.48</v>
      </c>
      <c r="AM706" s="3">
        <v>45216</v>
      </c>
      <c r="AN706" s="2">
        <v>5.3849999999999998</v>
      </c>
      <c r="AO706" s="3">
        <v>45216</v>
      </c>
      <c r="AP706" s="2">
        <v>5.1025</v>
      </c>
      <c r="AQ706" s="3">
        <v>45216</v>
      </c>
      <c r="AR706" s="2">
        <v>4.8150000000000004</v>
      </c>
      <c r="AS706" s="3">
        <v>45216</v>
      </c>
      <c r="AT706" s="2">
        <v>4.5049999999999999</v>
      </c>
      <c r="AU706" s="3">
        <v>45216</v>
      </c>
      <c r="AV706" s="2">
        <v>4.3150000000000004</v>
      </c>
      <c r="AW706" s="3">
        <v>45216</v>
      </c>
      <c r="AX706" s="2">
        <v>4.1849999999999996</v>
      </c>
      <c r="AY706" s="3">
        <v>45216</v>
      </c>
      <c r="AZ706" s="2">
        <v>4.1900000000000004</v>
      </c>
      <c r="BB706" s="3">
        <v>45159</v>
      </c>
      <c r="BC706" s="1">
        <v>7</v>
      </c>
      <c r="BD706" s="3">
        <v>45175</v>
      </c>
      <c r="BE706" s="1">
        <v>7.1</v>
      </c>
      <c r="BF706" s="3">
        <v>45216</v>
      </c>
      <c r="BG706" s="1">
        <v>6.79</v>
      </c>
      <c r="BH706" s="3">
        <v>45216</v>
      </c>
      <c r="BI706" s="1">
        <v>6.69</v>
      </c>
      <c r="BJ706" s="3">
        <v>45216</v>
      </c>
      <c r="BK706" s="1">
        <v>6.36</v>
      </c>
      <c r="BL706" s="3">
        <v>45216</v>
      </c>
      <c r="BM706" s="1">
        <v>5.39</v>
      </c>
      <c r="BN706" s="3">
        <v>45216</v>
      </c>
      <c r="BO706" s="1">
        <v>4.4800000000000004</v>
      </c>
      <c r="BP706" s="3">
        <v>45216</v>
      </c>
      <c r="BQ706" s="1">
        <v>3.99</v>
      </c>
      <c r="BR706" s="3">
        <v>45216</v>
      </c>
      <c r="BS706" s="1">
        <v>3.7949999999999999</v>
      </c>
      <c r="BT706" s="3">
        <v>45216</v>
      </c>
      <c r="BU706" s="1">
        <v>3.7130000000000001</v>
      </c>
      <c r="BV706" s="3">
        <v>45216</v>
      </c>
      <c r="BW706" s="1">
        <v>3.66</v>
      </c>
      <c r="BY706" s="3">
        <v>45176</v>
      </c>
      <c r="BZ706" s="1">
        <v>13</v>
      </c>
      <c r="CA706" s="3">
        <v>45166</v>
      </c>
      <c r="CB706" s="1">
        <v>13.76</v>
      </c>
      <c r="CC706" s="3">
        <v>45216</v>
      </c>
      <c r="CD706" s="1">
        <v>11.24</v>
      </c>
      <c r="CE706" s="3">
        <v>45216</v>
      </c>
      <c r="CF706" s="1">
        <v>10.67</v>
      </c>
      <c r="CG706" s="3">
        <v>45216</v>
      </c>
      <c r="CH706" s="1">
        <v>10.24</v>
      </c>
      <c r="CI706" s="3">
        <v>45216</v>
      </c>
      <c r="CJ706" s="1">
        <v>8.93</v>
      </c>
      <c r="CK706" s="3">
        <v>45216</v>
      </c>
      <c r="CL706" s="1">
        <v>7.68</v>
      </c>
      <c r="CM706" s="3">
        <v>45216</v>
      </c>
      <c r="CN706" s="1">
        <v>7.21</v>
      </c>
      <c r="CO706" s="3">
        <v>45208</v>
      </c>
      <c r="CP706" s="1">
        <v>7.16</v>
      </c>
      <c r="CQ706" s="3">
        <v>45208</v>
      </c>
      <c r="CR706" s="1">
        <v>6.85</v>
      </c>
      <c r="CS706" s="3">
        <v>45208</v>
      </c>
      <c r="CT706" s="1">
        <v>6.67</v>
      </c>
    </row>
    <row r="707" spans="31:98" x14ac:dyDescent="0.2">
      <c r="AE707" s="3">
        <v>45205</v>
      </c>
      <c r="AF707" s="1">
        <v>5.75</v>
      </c>
      <c r="AG707" s="3">
        <v>45174</v>
      </c>
      <c r="AH707" s="1">
        <v>6.62</v>
      </c>
      <c r="AI707" s="3">
        <v>45215</v>
      </c>
      <c r="AJ707" s="2">
        <v>5.5925000000000002</v>
      </c>
      <c r="AK707" s="3">
        <v>45215</v>
      </c>
      <c r="AL707" s="2">
        <v>5.5</v>
      </c>
      <c r="AM707" s="3">
        <v>45215</v>
      </c>
      <c r="AN707" s="2">
        <v>5.4050000000000002</v>
      </c>
      <c r="AO707" s="3">
        <v>45215</v>
      </c>
      <c r="AP707" s="2">
        <v>5.1275000000000004</v>
      </c>
      <c r="AQ707" s="3">
        <v>45215</v>
      </c>
      <c r="AR707" s="2">
        <v>4.8624999999999998</v>
      </c>
      <c r="AS707" s="3">
        <v>45215</v>
      </c>
      <c r="AT707" s="2">
        <v>4.58</v>
      </c>
      <c r="AU707" s="3">
        <v>45215</v>
      </c>
      <c r="AV707" s="2">
        <v>4.3949999999999996</v>
      </c>
      <c r="AW707" s="3">
        <v>45215</v>
      </c>
      <c r="AX707" s="2">
        <v>4.2774999999999999</v>
      </c>
      <c r="AY707" s="3">
        <v>45215</v>
      </c>
      <c r="AZ707" s="2">
        <v>4.24</v>
      </c>
      <c r="BB707" s="3">
        <v>45156</v>
      </c>
      <c r="BC707" s="1">
        <v>7</v>
      </c>
      <c r="BD707" s="3">
        <v>45174</v>
      </c>
      <c r="BE707" s="1">
        <v>7.09</v>
      </c>
      <c r="BF707" s="3">
        <v>45215</v>
      </c>
      <c r="BG707" s="1">
        <v>6.8049999999999997</v>
      </c>
      <c r="BH707" s="3">
        <v>45215</v>
      </c>
      <c r="BI707" s="1">
        <v>6.7050000000000001</v>
      </c>
      <c r="BJ707" s="3">
        <v>45215</v>
      </c>
      <c r="BK707" s="1">
        <v>6.36</v>
      </c>
      <c r="BL707" s="3">
        <v>45215</v>
      </c>
      <c r="BM707" s="1">
        <v>5.39</v>
      </c>
      <c r="BN707" s="3">
        <v>45215</v>
      </c>
      <c r="BO707" s="1">
        <v>4.4850000000000003</v>
      </c>
      <c r="BP707" s="3">
        <v>45215</v>
      </c>
      <c r="BQ707" s="1">
        <v>3.9649999999999999</v>
      </c>
      <c r="BR707" s="3">
        <v>45215</v>
      </c>
      <c r="BS707" s="1">
        <v>3.8</v>
      </c>
      <c r="BT707" s="3">
        <v>45215</v>
      </c>
      <c r="BU707" s="1">
        <v>3.7250000000000001</v>
      </c>
      <c r="BV707" s="3">
        <v>45215</v>
      </c>
      <c r="BW707" s="1">
        <v>3.66</v>
      </c>
      <c r="BY707" s="3">
        <v>45175</v>
      </c>
      <c r="BZ707" s="1">
        <v>13</v>
      </c>
      <c r="CA707" s="3">
        <v>45163</v>
      </c>
      <c r="CB707" s="1">
        <v>13.8</v>
      </c>
      <c r="CC707" s="3">
        <v>45215</v>
      </c>
      <c r="CD707" s="1">
        <v>11.35</v>
      </c>
      <c r="CE707" s="3">
        <v>45215</v>
      </c>
      <c r="CF707" s="1">
        <v>10.82</v>
      </c>
      <c r="CG707" s="3">
        <v>45215</v>
      </c>
      <c r="CH707" s="1">
        <v>10.33</v>
      </c>
      <c r="CI707" s="3">
        <v>45215</v>
      </c>
      <c r="CJ707" s="1">
        <v>8.94</v>
      </c>
      <c r="CK707" s="3">
        <v>45215</v>
      </c>
      <c r="CL707" s="1">
        <v>7.69</v>
      </c>
      <c r="CM707" s="3">
        <v>45215</v>
      </c>
      <c r="CN707" s="1">
        <v>7.2249999999999996</v>
      </c>
      <c r="CO707" s="3">
        <v>45205</v>
      </c>
      <c r="CP707" s="1">
        <v>7.28</v>
      </c>
      <c r="CQ707" s="3">
        <v>45205</v>
      </c>
      <c r="CR707" s="1">
        <v>6.9649999999999999</v>
      </c>
      <c r="CS707" s="3">
        <v>45205</v>
      </c>
      <c r="CT707" s="1">
        <v>6.7850000000000001</v>
      </c>
    </row>
    <row r="708" spans="31:98" x14ac:dyDescent="0.2">
      <c r="AE708" s="3">
        <v>45204</v>
      </c>
      <c r="AF708" s="1">
        <v>5.75</v>
      </c>
      <c r="AG708" s="3">
        <v>45173</v>
      </c>
      <c r="AH708" s="1">
        <v>6.64</v>
      </c>
      <c r="AI708" s="3">
        <v>45212</v>
      </c>
      <c r="AJ708" s="2">
        <v>5.5305</v>
      </c>
      <c r="AK708" s="3">
        <v>45212</v>
      </c>
      <c r="AL708" s="2">
        <v>5.41</v>
      </c>
      <c r="AM708" s="3">
        <v>45212</v>
      </c>
      <c r="AN708" s="2">
        <v>5.2575000000000003</v>
      </c>
      <c r="AO708" s="3">
        <v>45212</v>
      </c>
      <c r="AP708" s="2">
        <v>4.9074999999999998</v>
      </c>
      <c r="AQ708" s="3">
        <v>45212</v>
      </c>
      <c r="AR708" s="2">
        <v>4.6224999999999996</v>
      </c>
      <c r="AS708" s="3">
        <v>45212</v>
      </c>
      <c r="AT708" s="2">
        <v>4.375</v>
      </c>
      <c r="AU708" s="3">
        <v>45212</v>
      </c>
      <c r="AV708" s="2">
        <v>4.2149999999999999</v>
      </c>
      <c r="AW708" s="3">
        <v>45212</v>
      </c>
      <c r="AX708" s="2">
        <v>4.1349999999999998</v>
      </c>
      <c r="AY708" s="3">
        <v>45212</v>
      </c>
      <c r="AZ708" s="2">
        <v>4.12</v>
      </c>
      <c r="BB708" s="3">
        <v>45155</v>
      </c>
      <c r="BC708" s="1">
        <v>7</v>
      </c>
      <c r="BD708" s="3">
        <v>45173</v>
      </c>
      <c r="BE708" s="1">
        <v>7.1</v>
      </c>
      <c r="BF708" s="3">
        <v>45212</v>
      </c>
      <c r="BG708" s="1">
        <v>6.8049999999999997</v>
      </c>
      <c r="BH708" s="3">
        <v>45212</v>
      </c>
      <c r="BI708" s="1">
        <v>6.7</v>
      </c>
      <c r="BJ708" s="3">
        <v>45212</v>
      </c>
      <c r="BK708" s="1">
        <v>6.35</v>
      </c>
      <c r="BL708" s="3">
        <v>45212</v>
      </c>
      <c r="BM708" s="1">
        <v>5.383</v>
      </c>
      <c r="BN708" s="3">
        <v>45212</v>
      </c>
      <c r="BO708" s="1">
        <v>4.4649999999999999</v>
      </c>
      <c r="BP708" s="3">
        <v>45212</v>
      </c>
      <c r="BQ708" s="1">
        <v>3.9550000000000001</v>
      </c>
      <c r="BR708" s="3">
        <v>45212</v>
      </c>
      <c r="BS708" s="1">
        <v>3.7879999999999998</v>
      </c>
      <c r="BT708" s="3">
        <v>45212</v>
      </c>
      <c r="BU708" s="1">
        <v>3.7080000000000002</v>
      </c>
      <c r="BV708" s="3">
        <v>45212</v>
      </c>
      <c r="BW708" s="1">
        <v>3.6379999999999999</v>
      </c>
      <c r="BY708" s="3">
        <v>45174</v>
      </c>
      <c r="BZ708" s="1">
        <v>13</v>
      </c>
      <c r="CA708" s="3">
        <v>45162</v>
      </c>
      <c r="CB708" s="1">
        <v>13.85</v>
      </c>
      <c r="CC708" s="3">
        <v>45212</v>
      </c>
      <c r="CD708" s="1">
        <v>11.35</v>
      </c>
      <c r="CE708" s="3">
        <v>45212</v>
      </c>
      <c r="CF708" s="1">
        <v>10.8</v>
      </c>
      <c r="CG708" s="3">
        <v>45212</v>
      </c>
      <c r="CH708" s="1">
        <v>10.27</v>
      </c>
      <c r="CI708" s="3">
        <v>45212</v>
      </c>
      <c r="CJ708" s="1">
        <v>8.8800000000000008</v>
      </c>
      <c r="CK708" s="3">
        <v>45212</v>
      </c>
      <c r="CL708" s="1">
        <v>7.63</v>
      </c>
      <c r="CM708" s="3">
        <v>45212</v>
      </c>
      <c r="CN708" s="1">
        <v>7.1150000000000002</v>
      </c>
      <c r="CO708" s="3">
        <v>45204</v>
      </c>
      <c r="CP708" s="1">
        <v>7.23</v>
      </c>
      <c r="CQ708" s="3">
        <v>45204</v>
      </c>
      <c r="CR708" s="1">
        <v>6.91</v>
      </c>
      <c r="CS708" s="3">
        <v>45204</v>
      </c>
      <c r="CT708" s="1">
        <v>6.73</v>
      </c>
    </row>
    <row r="709" spans="31:98" x14ac:dyDescent="0.2">
      <c r="AE709" s="3">
        <v>45203</v>
      </c>
      <c r="AF709" s="1">
        <v>5.75</v>
      </c>
      <c r="AG709" s="3">
        <v>45170</v>
      </c>
      <c r="AH709" s="1">
        <v>6.67</v>
      </c>
      <c r="AI709" s="3">
        <v>45211</v>
      </c>
      <c r="AJ709" s="2">
        <v>5.5274999999999999</v>
      </c>
      <c r="AK709" s="3">
        <v>45211</v>
      </c>
      <c r="AL709" s="2">
        <v>5.3650000000000002</v>
      </c>
      <c r="AM709" s="3">
        <v>45211</v>
      </c>
      <c r="AN709" s="2">
        <v>5.19</v>
      </c>
      <c r="AO709" s="3">
        <v>45211</v>
      </c>
      <c r="AP709" s="2">
        <v>4.8</v>
      </c>
      <c r="AQ709" s="3">
        <v>45211</v>
      </c>
      <c r="AR709" s="2">
        <v>4.5049999999999999</v>
      </c>
      <c r="AS709" s="3">
        <v>45211</v>
      </c>
      <c r="AT709" s="2">
        <v>4.2350000000000003</v>
      </c>
      <c r="AU709" s="3">
        <v>45211</v>
      </c>
      <c r="AV709" s="2">
        <v>4.08</v>
      </c>
      <c r="AW709" s="3">
        <v>45211</v>
      </c>
      <c r="AX709" s="2">
        <v>4</v>
      </c>
      <c r="AY709" s="3">
        <v>45211</v>
      </c>
      <c r="AZ709" s="2">
        <v>3.9849999999999999</v>
      </c>
      <c r="BB709" s="3">
        <v>45154</v>
      </c>
      <c r="BC709" s="1">
        <v>7</v>
      </c>
      <c r="BD709" s="3">
        <v>45170</v>
      </c>
      <c r="BE709" s="1">
        <v>7.1</v>
      </c>
      <c r="BF709" s="3">
        <v>45211</v>
      </c>
      <c r="BG709" s="1">
        <v>6.82</v>
      </c>
      <c r="BH709" s="3">
        <v>45211</v>
      </c>
      <c r="BI709" s="1">
        <v>6.72</v>
      </c>
      <c r="BJ709" s="3">
        <v>45211</v>
      </c>
      <c r="BK709" s="1">
        <v>6.3550000000000004</v>
      </c>
      <c r="BL709" s="3">
        <v>45211</v>
      </c>
      <c r="BM709" s="1">
        <v>5.37</v>
      </c>
      <c r="BN709" s="3">
        <v>45211</v>
      </c>
      <c r="BO709" s="1">
        <v>4.4749999999999996</v>
      </c>
      <c r="BP709" s="3">
        <v>45211</v>
      </c>
      <c r="BQ709" s="1">
        <v>3.9649999999999999</v>
      </c>
      <c r="BR709" s="3">
        <v>45211</v>
      </c>
      <c r="BS709" s="1">
        <v>3.8050000000000002</v>
      </c>
      <c r="BT709" s="3">
        <v>45211</v>
      </c>
      <c r="BU709" s="1">
        <v>3.71</v>
      </c>
      <c r="BV709" s="3">
        <v>45211</v>
      </c>
      <c r="BW709" s="1">
        <v>3.65</v>
      </c>
      <c r="BY709" s="3">
        <v>45173</v>
      </c>
      <c r="BZ709" s="1">
        <v>13</v>
      </c>
      <c r="CA709" s="3">
        <v>45161</v>
      </c>
      <c r="CB709" s="1">
        <v>13.9</v>
      </c>
      <c r="CC709" s="3">
        <v>45211</v>
      </c>
      <c r="CD709" s="1">
        <v>11.33</v>
      </c>
      <c r="CE709" s="3">
        <v>45211</v>
      </c>
      <c r="CF709" s="1">
        <v>10.77</v>
      </c>
      <c r="CG709" s="3">
        <v>45211</v>
      </c>
      <c r="CH709" s="1">
        <v>10.24</v>
      </c>
      <c r="CI709" s="3">
        <v>45211</v>
      </c>
      <c r="CJ709" s="1">
        <v>8.81</v>
      </c>
      <c r="CK709" s="3">
        <v>45211</v>
      </c>
      <c r="CL709" s="1">
        <v>7.56</v>
      </c>
      <c r="CM709" s="3">
        <v>45211</v>
      </c>
      <c r="CN709" s="1">
        <v>7.09</v>
      </c>
      <c r="CO709" s="3">
        <v>45203</v>
      </c>
      <c r="CP709" s="1">
        <v>7.0750000000000002</v>
      </c>
      <c r="CQ709" s="3">
        <v>45203</v>
      </c>
      <c r="CR709" s="1">
        <v>6.75</v>
      </c>
      <c r="CS709" s="3">
        <v>45203</v>
      </c>
      <c r="CT709" s="1">
        <v>6.5650000000000004</v>
      </c>
    </row>
    <row r="710" spans="31:98" x14ac:dyDescent="0.2">
      <c r="AE710" s="3">
        <v>45202</v>
      </c>
      <c r="AF710" s="1">
        <v>6</v>
      </c>
      <c r="AG710" s="3">
        <v>45169</v>
      </c>
      <c r="AH710" s="1">
        <v>6.65</v>
      </c>
      <c r="AI710" s="3">
        <v>45210</v>
      </c>
      <c r="AJ710" s="2">
        <v>5.532</v>
      </c>
      <c r="AK710" s="3">
        <v>45210</v>
      </c>
      <c r="AL710" s="2">
        <v>5.335</v>
      </c>
      <c r="AM710" s="3">
        <v>45210</v>
      </c>
      <c r="AN710" s="2">
        <v>5.165</v>
      </c>
      <c r="AO710" s="3">
        <v>45210</v>
      </c>
      <c r="AP710" s="2">
        <v>4.7549999999999999</v>
      </c>
      <c r="AQ710" s="3">
        <v>45210</v>
      </c>
      <c r="AR710" s="2">
        <v>4.4550000000000001</v>
      </c>
      <c r="AS710" s="3">
        <v>45210</v>
      </c>
      <c r="AT710" s="2">
        <v>4.165</v>
      </c>
      <c r="AU710" s="3">
        <v>45210</v>
      </c>
      <c r="AV710" s="2">
        <v>4.0149999999999997</v>
      </c>
      <c r="AW710" s="3">
        <v>45210</v>
      </c>
      <c r="AX710" s="2">
        <v>3.9649999999999999</v>
      </c>
      <c r="AY710" s="3">
        <v>45210</v>
      </c>
      <c r="AZ710" s="2">
        <v>3.9649999999999999</v>
      </c>
      <c r="BB710" s="3">
        <v>45153</v>
      </c>
      <c r="BC710" s="1">
        <v>7</v>
      </c>
      <c r="BD710" s="3">
        <v>45169</v>
      </c>
      <c r="BE710" s="1">
        <v>7.1</v>
      </c>
      <c r="BF710" s="3">
        <v>45210</v>
      </c>
      <c r="BG710" s="1">
        <v>6.82</v>
      </c>
      <c r="BH710" s="3">
        <v>45210</v>
      </c>
      <c r="BI710" s="1">
        <v>6.7050000000000001</v>
      </c>
      <c r="BJ710" s="3">
        <v>45210</v>
      </c>
      <c r="BK710" s="1">
        <v>6.3</v>
      </c>
      <c r="BL710" s="3">
        <v>45210</v>
      </c>
      <c r="BM710" s="1">
        <v>5.2549999999999999</v>
      </c>
      <c r="BN710" s="3">
        <v>45210</v>
      </c>
      <c r="BO710" s="1">
        <v>4.3280000000000003</v>
      </c>
      <c r="BP710" s="3">
        <v>45210</v>
      </c>
      <c r="BQ710" s="1">
        <v>3.855</v>
      </c>
      <c r="BR710" s="3">
        <v>45210</v>
      </c>
      <c r="BS710" s="1">
        <v>3.71</v>
      </c>
      <c r="BT710" s="3">
        <v>45210</v>
      </c>
      <c r="BU710" s="1">
        <v>3.6429999999999998</v>
      </c>
      <c r="BV710" s="3">
        <v>45210</v>
      </c>
      <c r="BW710" s="1">
        <v>3.6150000000000002</v>
      </c>
      <c r="BY710" s="3">
        <v>45170</v>
      </c>
      <c r="BZ710" s="1">
        <v>13</v>
      </c>
      <c r="CA710" s="3">
        <v>45160</v>
      </c>
      <c r="CB710" s="1">
        <v>13.93</v>
      </c>
      <c r="CC710" s="3">
        <v>45210</v>
      </c>
      <c r="CD710" s="1">
        <v>11.34</v>
      </c>
      <c r="CE710" s="3">
        <v>45210</v>
      </c>
      <c r="CF710" s="1">
        <v>10.73</v>
      </c>
      <c r="CG710" s="3">
        <v>45210</v>
      </c>
      <c r="CH710" s="1">
        <v>10.1</v>
      </c>
      <c r="CI710" s="3">
        <v>45210</v>
      </c>
      <c r="CJ710" s="1">
        <v>8.67</v>
      </c>
      <c r="CK710" s="3">
        <v>45210</v>
      </c>
      <c r="CL710" s="1">
        <v>7.42</v>
      </c>
      <c r="CM710" s="3">
        <v>45210</v>
      </c>
      <c r="CN710" s="1">
        <v>6.76</v>
      </c>
      <c r="CO710" s="3">
        <v>45202</v>
      </c>
      <c r="CP710" s="1">
        <v>6.9649999999999999</v>
      </c>
      <c r="CQ710" s="3">
        <v>45202</v>
      </c>
      <c r="CR710" s="1">
        <v>6.63</v>
      </c>
      <c r="CS710" s="3">
        <v>45202</v>
      </c>
      <c r="CT710" s="1">
        <v>6.415</v>
      </c>
    </row>
    <row r="711" spans="31:98" x14ac:dyDescent="0.2">
      <c r="AE711" s="3">
        <v>45201</v>
      </c>
      <c r="AF711" s="1">
        <v>6</v>
      </c>
      <c r="AG711" s="3">
        <v>45168</v>
      </c>
      <c r="AH711" s="1">
        <v>6.67</v>
      </c>
      <c r="AI711" s="3">
        <v>45209</v>
      </c>
      <c r="AJ711" s="2">
        <v>5.5350000000000001</v>
      </c>
      <c r="AK711" s="3">
        <v>45209</v>
      </c>
      <c r="AL711" s="2">
        <v>5.32</v>
      </c>
      <c r="AM711" s="3">
        <v>45209</v>
      </c>
      <c r="AN711" s="2">
        <v>5.1449999999999996</v>
      </c>
      <c r="AO711" s="3">
        <v>45209</v>
      </c>
      <c r="AP711" s="2">
        <v>4.76</v>
      </c>
      <c r="AQ711" s="3">
        <v>45209</v>
      </c>
      <c r="AR711" s="2">
        <v>4.4550000000000001</v>
      </c>
      <c r="AS711" s="3">
        <v>45209</v>
      </c>
      <c r="AT711" s="2">
        <v>4.1550000000000002</v>
      </c>
      <c r="AU711" s="3">
        <v>45209</v>
      </c>
      <c r="AV711" s="2">
        <v>4</v>
      </c>
      <c r="AW711" s="3">
        <v>45209</v>
      </c>
      <c r="AX711" s="2">
        <v>3.9449999999999998</v>
      </c>
      <c r="AY711" s="3">
        <v>45209</v>
      </c>
      <c r="AZ711" s="2">
        <v>3.95</v>
      </c>
      <c r="BB711" s="3">
        <v>45152</v>
      </c>
      <c r="BC711" s="1">
        <v>7</v>
      </c>
      <c r="BD711" s="3">
        <v>45168</v>
      </c>
      <c r="BE711" s="1">
        <v>7.1</v>
      </c>
      <c r="BF711" s="3">
        <v>45209</v>
      </c>
      <c r="BG711" s="1">
        <v>6.8049999999999997</v>
      </c>
      <c r="BH711" s="3">
        <v>45209</v>
      </c>
      <c r="BI711" s="1">
        <v>6.7</v>
      </c>
      <c r="BJ711" s="3">
        <v>45209</v>
      </c>
      <c r="BK711" s="1">
        <v>6.3150000000000004</v>
      </c>
      <c r="BL711" s="3">
        <v>45209</v>
      </c>
      <c r="BM711" s="1">
        <v>5.2629999999999999</v>
      </c>
      <c r="BN711" s="3">
        <v>45209</v>
      </c>
      <c r="BO711" s="1">
        <v>4.3179999999999996</v>
      </c>
      <c r="BP711" s="3">
        <v>45209</v>
      </c>
      <c r="BQ711" s="1">
        <v>3.798</v>
      </c>
      <c r="BR711" s="3">
        <v>45209</v>
      </c>
      <c r="BS711" s="1">
        <v>3.625</v>
      </c>
      <c r="BT711" s="3">
        <v>45209</v>
      </c>
      <c r="BU711" s="1">
        <v>3.5179999999999998</v>
      </c>
      <c r="BV711" s="3">
        <v>45209</v>
      </c>
      <c r="BW711" s="1">
        <v>3.4849999999999999</v>
      </c>
      <c r="BY711" s="3">
        <v>45169</v>
      </c>
      <c r="BZ711" s="1">
        <v>13</v>
      </c>
      <c r="CA711" s="3">
        <v>45159</v>
      </c>
      <c r="CB711" s="1">
        <v>13.95</v>
      </c>
      <c r="CC711" s="3">
        <v>45209</v>
      </c>
      <c r="CD711" s="1">
        <v>11.38</v>
      </c>
      <c r="CE711" s="3">
        <v>45209</v>
      </c>
      <c r="CF711" s="1">
        <v>10.72</v>
      </c>
      <c r="CG711" s="3">
        <v>45209</v>
      </c>
      <c r="CH711" s="1">
        <v>10.199999999999999</v>
      </c>
      <c r="CI711" s="3">
        <v>45209</v>
      </c>
      <c r="CJ711" s="1">
        <v>8.82</v>
      </c>
      <c r="CK711" s="3">
        <v>45209</v>
      </c>
      <c r="CL711" s="1">
        <v>7.57</v>
      </c>
      <c r="CM711" s="3">
        <v>45209</v>
      </c>
      <c r="CN711" s="1">
        <v>7.12</v>
      </c>
      <c r="CO711" s="3">
        <v>45201</v>
      </c>
      <c r="CP711" s="1">
        <v>7.04</v>
      </c>
      <c r="CQ711" s="3">
        <v>45201</v>
      </c>
      <c r="CR711" s="1">
        <v>6.7050000000000001</v>
      </c>
      <c r="CS711" s="3">
        <v>45201</v>
      </c>
      <c r="CT711" s="1">
        <v>6.49</v>
      </c>
    </row>
    <row r="712" spans="31:98" x14ac:dyDescent="0.2">
      <c r="AE712" s="3">
        <v>45198</v>
      </c>
      <c r="AF712" s="1">
        <v>6</v>
      </c>
      <c r="AG712" s="3">
        <v>45167</v>
      </c>
      <c r="AH712" s="1">
        <v>6.66</v>
      </c>
      <c r="AI712" s="3">
        <v>45208</v>
      </c>
      <c r="AJ712" s="2">
        <v>5.5095000000000001</v>
      </c>
      <c r="AK712" s="3">
        <v>45208</v>
      </c>
      <c r="AL712" s="2">
        <v>5.26</v>
      </c>
      <c r="AM712" s="3">
        <v>45208</v>
      </c>
      <c r="AN712" s="2">
        <v>5.1050000000000004</v>
      </c>
      <c r="AO712" s="3">
        <v>45208</v>
      </c>
      <c r="AP712" s="2">
        <v>4.7</v>
      </c>
      <c r="AQ712" s="3">
        <v>45208</v>
      </c>
      <c r="AR712" s="2">
        <v>4.415</v>
      </c>
      <c r="AS712" s="3">
        <v>45208</v>
      </c>
      <c r="AT712" s="2">
        <v>4.1900000000000004</v>
      </c>
      <c r="AU712" s="3">
        <v>45208</v>
      </c>
      <c r="AV712" s="2">
        <v>4.08</v>
      </c>
      <c r="AW712" s="3">
        <v>45208</v>
      </c>
      <c r="AX712" s="2">
        <v>4.0250000000000004</v>
      </c>
      <c r="AY712" s="3">
        <v>45208</v>
      </c>
      <c r="AZ712" s="2">
        <v>4.0350000000000001</v>
      </c>
      <c r="BB712" s="3">
        <v>45149</v>
      </c>
      <c r="BC712" s="1">
        <v>7</v>
      </c>
      <c r="BD712" s="3">
        <v>45167</v>
      </c>
      <c r="BE712" s="1">
        <v>7.1</v>
      </c>
      <c r="BF712" s="3">
        <v>45208</v>
      </c>
      <c r="BG712" s="1">
        <v>6.9</v>
      </c>
      <c r="BH712" s="3">
        <v>45208</v>
      </c>
      <c r="BI712" s="1">
        <v>6.7949999999999999</v>
      </c>
      <c r="BJ712" s="3">
        <v>45208</v>
      </c>
      <c r="BK712" s="1">
        <v>6.48</v>
      </c>
      <c r="BL712" s="3">
        <v>45208</v>
      </c>
      <c r="BM712" s="1">
        <v>5.48</v>
      </c>
      <c r="BN712" s="3">
        <v>45208</v>
      </c>
      <c r="BO712" s="1">
        <v>4.57</v>
      </c>
      <c r="BP712" s="3">
        <v>45208</v>
      </c>
      <c r="BQ712" s="1">
        <v>3.98</v>
      </c>
      <c r="BR712" s="3">
        <v>45208</v>
      </c>
      <c r="BS712" s="1">
        <v>3.8079999999999998</v>
      </c>
      <c r="BT712" s="3">
        <v>45208</v>
      </c>
      <c r="BU712" s="1">
        <v>3.7349999999999999</v>
      </c>
      <c r="BV712" s="3">
        <v>45208</v>
      </c>
      <c r="BW712" s="1">
        <v>3.72</v>
      </c>
      <c r="BY712" s="3">
        <v>45168</v>
      </c>
      <c r="BZ712" s="1">
        <v>13</v>
      </c>
      <c r="CA712" s="3">
        <v>45156</v>
      </c>
      <c r="CB712" s="1">
        <v>13.98</v>
      </c>
      <c r="CC712" s="3">
        <v>45208</v>
      </c>
      <c r="CD712" s="1">
        <v>11.46</v>
      </c>
      <c r="CE712" s="3">
        <v>45208</v>
      </c>
      <c r="CF712" s="1">
        <v>10.92</v>
      </c>
      <c r="CG712" s="3">
        <v>45208</v>
      </c>
      <c r="CH712" s="1">
        <v>10.43</v>
      </c>
      <c r="CI712" s="3">
        <v>45208</v>
      </c>
      <c r="CJ712" s="1">
        <v>9.1300000000000008</v>
      </c>
      <c r="CK712" s="3">
        <v>45208</v>
      </c>
      <c r="CL712" s="1">
        <v>7.93</v>
      </c>
      <c r="CM712" s="3">
        <v>45208</v>
      </c>
      <c r="CN712" s="1">
        <v>7.46</v>
      </c>
      <c r="CO712" s="3">
        <v>45198</v>
      </c>
      <c r="CP712" s="1">
        <v>7.0949999999999998</v>
      </c>
      <c r="CQ712" s="3">
        <v>45198</v>
      </c>
      <c r="CR712" s="1">
        <v>6.75</v>
      </c>
      <c r="CS712" s="3">
        <v>45198</v>
      </c>
      <c r="CT712" s="1">
        <v>6.5350000000000001</v>
      </c>
    </row>
    <row r="713" spans="31:98" x14ac:dyDescent="0.2">
      <c r="AE713" s="3">
        <v>45197</v>
      </c>
      <c r="AF713" s="1">
        <v>6</v>
      </c>
      <c r="AG713" s="3">
        <v>45166</v>
      </c>
      <c r="AH713" s="1">
        <v>6.66</v>
      </c>
      <c r="AI713" s="3">
        <v>45205</v>
      </c>
      <c r="AJ713" s="2">
        <v>5.5519999999999996</v>
      </c>
      <c r="AK713" s="3">
        <v>45205</v>
      </c>
      <c r="AL713" s="2">
        <v>5.3049999999999997</v>
      </c>
      <c r="AM713" s="3">
        <v>45205</v>
      </c>
      <c r="AN713" s="2">
        <v>5.13</v>
      </c>
      <c r="AO713" s="3">
        <v>45205</v>
      </c>
      <c r="AP713" s="2">
        <v>4.74</v>
      </c>
      <c r="AQ713" s="3">
        <v>45205</v>
      </c>
      <c r="AR713" s="2">
        <v>4.4800000000000004</v>
      </c>
      <c r="AS713" s="3">
        <v>45205</v>
      </c>
      <c r="AT713" s="2">
        <v>4.26</v>
      </c>
      <c r="AU713" s="3">
        <v>45205</v>
      </c>
      <c r="AV713" s="2">
        <v>4.1399999999999997</v>
      </c>
      <c r="AW713" s="3">
        <v>45205</v>
      </c>
      <c r="AX713" s="2">
        <v>4.08</v>
      </c>
      <c r="AY713" s="3">
        <v>45205</v>
      </c>
      <c r="AZ713" s="2">
        <v>4.0750000000000002</v>
      </c>
      <c r="BB713" s="3">
        <v>45148</v>
      </c>
      <c r="BC713" s="1">
        <v>7</v>
      </c>
      <c r="BD713" s="3">
        <v>45166</v>
      </c>
      <c r="BE713" s="1">
        <v>7.1</v>
      </c>
      <c r="BF713" s="3">
        <v>45205</v>
      </c>
      <c r="BG713" s="1">
        <v>6.92</v>
      </c>
      <c r="BH713" s="3">
        <v>45205</v>
      </c>
      <c r="BI713" s="1">
        <v>6.82</v>
      </c>
      <c r="BJ713" s="3">
        <v>45205</v>
      </c>
      <c r="BK713" s="1">
        <v>6.55</v>
      </c>
      <c r="BL713" s="3">
        <v>45205</v>
      </c>
      <c r="BM713" s="1">
        <v>5.57</v>
      </c>
      <c r="BN713" s="3">
        <v>45205</v>
      </c>
      <c r="BO713" s="1">
        <v>4.5999999999999996</v>
      </c>
      <c r="BP713" s="3">
        <v>45205</v>
      </c>
      <c r="BQ713" s="1">
        <v>4.0549999999999997</v>
      </c>
      <c r="BR713" s="3">
        <v>45205</v>
      </c>
      <c r="BS713" s="1">
        <v>3.8849999999999998</v>
      </c>
      <c r="BT713" s="3">
        <v>45205</v>
      </c>
      <c r="BU713" s="1">
        <v>3.835</v>
      </c>
      <c r="BV713" s="3">
        <v>45205</v>
      </c>
      <c r="BW713" s="1">
        <v>3.8149999999999999</v>
      </c>
      <c r="BY713" s="3">
        <v>45167</v>
      </c>
      <c r="BZ713" s="1">
        <v>13</v>
      </c>
      <c r="CA713" s="3">
        <v>45155</v>
      </c>
      <c r="CB713" s="1">
        <v>14</v>
      </c>
      <c r="CC713" s="3">
        <v>45205</v>
      </c>
      <c r="CD713" s="1">
        <v>11.47</v>
      </c>
      <c r="CE713" s="3">
        <v>45205</v>
      </c>
      <c r="CF713" s="1">
        <v>10.94</v>
      </c>
      <c r="CG713" s="3">
        <v>45205</v>
      </c>
      <c r="CH713" s="1">
        <v>10.46</v>
      </c>
      <c r="CI713" s="3">
        <v>45205</v>
      </c>
      <c r="CJ713" s="1">
        <v>9.17</v>
      </c>
      <c r="CK713" s="3">
        <v>45205</v>
      </c>
      <c r="CL713" s="1">
        <v>7.97</v>
      </c>
      <c r="CM713" s="3">
        <v>45205</v>
      </c>
      <c r="CN713" s="1">
        <v>7.58</v>
      </c>
      <c r="CO713" s="3">
        <v>45197</v>
      </c>
      <c r="CP713" s="1">
        <v>7.2350000000000003</v>
      </c>
      <c r="CQ713" s="3">
        <v>45197</v>
      </c>
      <c r="CR713" s="1">
        <v>6.88</v>
      </c>
      <c r="CS713" s="3">
        <v>45197</v>
      </c>
      <c r="CT713" s="1">
        <v>6.6550000000000002</v>
      </c>
    </row>
    <row r="714" spans="31:98" x14ac:dyDescent="0.2">
      <c r="AE714" s="3">
        <v>45196</v>
      </c>
      <c r="AF714" s="1">
        <v>6</v>
      </c>
      <c r="AG714" s="3">
        <v>45163</v>
      </c>
      <c r="AH714" s="1">
        <v>6.67</v>
      </c>
      <c r="AI714" s="3">
        <v>45204</v>
      </c>
      <c r="AJ714" s="2">
        <v>5.5339999999999998</v>
      </c>
      <c r="AK714" s="3">
        <v>45204</v>
      </c>
      <c r="AL714" s="2">
        <v>5.3</v>
      </c>
      <c r="AM714" s="3">
        <v>45204</v>
      </c>
      <c r="AN714" s="2">
        <v>5.15</v>
      </c>
      <c r="AO714" s="3">
        <v>45204</v>
      </c>
      <c r="AP714" s="2">
        <v>4.7350000000000003</v>
      </c>
      <c r="AQ714" s="3">
        <v>45204</v>
      </c>
      <c r="AR714" s="2">
        <v>4.5049999999999999</v>
      </c>
      <c r="AS714" s="3">
        <v>45204</v>
      </c>
      <c r="AT714" s="2">
        <v>4.32</v>
      </c>
      <c r="AU714" s="3">
        <v>45204</v>
      </c>
      <c r="AV714" s="2">
        <v>4.25</v>
      </c>
      <c r="AW714" s="3">
        <v>45204</v>
      </c>
      <c r="AX714" s="2">
        <v>4.2050000000000001</v>
      </c>
      <c r="AY714" s="3">
        <v>45204</v>
      </c>
      <c r="AZ714" s="2">
        <v>4.17</v>
      </c>
      <c r="BB714" s="3">
        <v>45147</v>
      </c>
      <c r="BC714" s="1">
        <v>7</v>
      </c>
      <c r="BD714" s="3">
        <v>45163</v>
      </c>
      <c r="BE714" s="1">
        <v>7.1</v>
      </c>
      <c r="BF714" s="3">
        <v>45204</v>
      </c>
      <c r="BG714" s="1">
        <v>6.97</v>
      </c>
      <c r="BH714" s="3">
        <v>45204</v>
      </c>
      <c r="BI714" s="1">
        <v>6.8849999999999998</v>
      </c>
      <c r="BJ714" s="3">
        <v>45204</v>
      </c>
      <c r="BK714" s="1">
        <v>6.66</v>
      </c>
      <c r="BL714" s="3">
        <v>45204</v>
      </c>
      <c r="BM714" s="1">
        <v>5.75</v>
      </c>
      <c r="BN714" s="3">
        <v>45204</v>
      </c>
      <c r="BO714" s="1">
        <v>4.8099999999999996</v>
      </c>
      <c r="BP714" s="3">
        <v>45204</v>
      </c>
      <c r="BQ714" s="1">
        <v>4.28</v>
      </c>
      <c r="BR714" s="3">
        <v>45204</v>
      </c>
      <c r="BS714" s="1">
        <v>4.0599999999999996</v>
      </c>
      <c r="BT714" s="3">
        <v>45204</v>
      </c>
      <c r="BU714" s="1">
        <v>3.97</v>
      </c>
      <c r="BV714" s="3">
        <v>45204</v>
      </c>
      <c r="BW714" s="1">
        <v>3.9</v>
      </c>
      <c r="BY714" s="3">
        <v>45163</v>
      </c>
      <c r="BZ714" s="1">
        <v>13</v>
      </c>
      <c r="CA714" s="3">
        <v>45154</v>
      </c>
      <c r="CB714" s="1">
        <v>14.02</v>
      </c>
      <c r="CC714" s="3">
        <v>45204</v>
      </c>
      <c r="CD714" s="1">
        <v>11.47</v>
      </c>
      <c r="CE714" s="3">
        <v>45204</v>
      </c>
      <c r="CF714" s="1">
        <v>10.9</v>
      </c>
      <c r="CG714" s="3">
        <v>45204</v>
      </c>
      <c r="CH714" s="1">
        <v>10.44</v>
      </c>
      <c r="CI714" s="3">
        <v>45204</v>
      </c>
      <c r="CJ714" s="1">
        <v>9.15</v>
      </c>
      <c r="CK714" s="3">
        <v>45204</v>
      </c>
      <c r="CL714" s="1">
        <v>7.95</v>
      </c>
      <c r="CM714" s="3">
        <v>45204</v>
      </c>
      <c r="CN714" s="1">
        <v>7.53</v>
      </c>
      <c r="CO714" s="3">
        <v>45196</v>
      </c>
      <c r="CP714" s="1">
        <v>6.9450000000000003</v>
      </c>
      <c r="CQ714" s="3">
        <v>45196</v>
      </c>
      <c r="CR714" s="1">
        <v>6.61</v>
      </c>
      <c r="CS714" s="3">
        <v>45196</v>
      </c>
      <c r="CT714" s="1">
        <v>6.415</v>
      </c>
    </row>
    <row r="715" spans="31:98" x14ac:dyDescent="0.2">
      <c r="AE715" s="3">
        <v>45195</v>
      </c>
      <c r="AF715" s="1">
        <v>6</v>
      </c>
      <c r="AG715" s="3">
        <v>45162</v>
      </c>
      <c r="AH715" s="1">
        <v>6.69</v>
      </c>
      <c r="AI715" s="3">
        <v>45203</v>
      </c>
      <c r="AJ715" s="2">
        <v>5.5519999999999996</v>
      </c>
      <c r="AK715" s="3">
        <v>45203</v>
      </c>
      <c r="AL715" s="2">
        <v>5.335</v>
      </c>
      <c r="AM715" s="3">
        <v>45203</v>
      </c>
      <c r="AN715" s="2">
        <v>5.13</v>
      </c>
      <c r="AO715" s="3">
        <v>45203</v>
      </c>
      <c r="AP715" s="2">
        <v>4.6550000000000002</v>
      </c>
      <c r="AQ715" s="3">
        <v>45203</v>
      </c>
      <c r="AR715" s="2">
        <v>4.46</v>
      </c>
      <c r="AS715" s="3">
        <v>45203</v>
      </c>
      <c r="AT715" s="2">
        <v>4.28</v>
      </c>
      <c r="AU715" s="3">
        <v>45203</v>
      </c>
      <c r="AV715" s="2">
        <v>4.2350000000000003</v>
      </c>
      <c r="AW715" s="3">
        <v>45203</v>
      </c>
      <c r="AX715" s="2">
        <v>4.2</v>
      </c>
      <c r="AY715" s="3">
        <v>45203</v>
      </c>
      <c r="AZ715" s="2">
        <v>4.1675000000000004</v>
      </c>
      <c r="BB715" s="3">
        <v>45146</v>
      </c>
      <c r="BC715" s="1">
        <v>7</v>
      </c>
      <c r="BD715" s="3">
        <v>45162</v>
      </c>
      <c r="BE715" s="1">
        <v>7.1</v>
      </c>
      <c r="BF715" s="3">
        <v>45203</v>
      </c>
      <c r="BG715" s="1">
        <v>7.04</v>
      </c>
      <c r="BH715" s="3">
        <v>45203</v>
      </c>
      <c r="BI715" s="1">
        <v>6.915</v>
      </c>
      <c r="BJ715" s="3">
        <v>45203</v>
      </c>
      <c r="BK715" s="1">
        <v>6.69</v>
      </c>
      <c r="BL715" s="3">
        <v>45203</v>
      </c>
      <c r="BM715" s="1">
        <v>5.7949999999999999</v>
      </c>
      <c r="BN715" s="3">
        <v>45203</v>
      </c>
      <c r="BO715" s="1">
        <v>4.93</v>
      </c>
      <c r="BP715" s="3">
        <v>45203</v>
      </c>
      <c r="BQ715" s="1">
        <v>4.3849999999999998</v>
      </c>
      <c r="BR715" s="3">
        <v>45203</v>
      </c>
      <c r="BS715" s="1">
        <v>4.18</v>
      </c>
      <c r="BT715" s="3">
        <v>45203</v>
      </c>
      <c r="BU715" s="1">
        <v>4.09</v>
      </c>
      <c r="BV715" s="3">
        <v>45203</v>
      </c>
      <c r="BW715" s="1">
        <v>3.97</v>
      </c>
      <c r="BY715" s="3">
        <v>45162</v>
      </c>
      <c r="BZ715" s="1">
        <v>13</v>
      </c>
      <c r="CA715" s="3">
        <v>45153</v>
      </c>
      <c r="CB715" s="1">
        <v>14.06</v>
      </c>
      <c r="CC715" s="3">
        <v>45203</v>
      </c>
      <c r="CD715" s="1">
        <v>11.48</v>
      </c>
      <c r="CE715" s="3">
        <v>45203</v>
      </c>
      <c r="CF715" s="1">
        <v>10.92</v>
      </c>
      <c r="CG715" s="3">
        <v>45203</v>
      </c>
      <c r="CH715" s="1">
        <v>10.45</v>
      </c>
      <c r="CI715" s="3">
        <v>45203</v>
      </c>
      <c r="CJ715" s="1">
        <v>9.1</v>
      </c>
      <c r="CK715" s="3">
        <v>45203</v>
      </c>
      <c r="CL715" s="1">
        <v>7.9</v>
      </c>
      <c r="CM715" s="3">
        <v>45203</v>
      </c>
      <c r="CN715" s="1">
        <v>7.38</v>
      </c>
      <c r="CO715" s="3">
        <v>45195</v>
      </c>
      <c r="CP715" s="1">
        <v>6.7450000000000001</v>
      </c>
      <c r="CQ715" s="3">
        <v>45195</v>
      </c>
      <c r="CR715" s="1">
        <v>6.41</v>
      </c>
      <c r="CS715" s="3">
        <v>45195</v>
      </c>
      <c r="CT715" s="1">
        <v>6.2149999999999999</v>
      </c>
    </row>
    <row r="716" spans="31:98" x14ac:dyDescent="0.2">
      <c r="AE716" s="3">
        <v>45194</v>
      </c>
      <c r="AF716" s="1">
        <v>6</v>
      </c>
      <c r="AG716" s="3">
        <v>45161</v>
      </c>
      <c r="AH716" s="1">
        <v>6.65</v>
      </c>
      <c r="AI716" s="3">
        <v>45202</v>
      </c>
      <c r="AJ716" s="2">
        <v>5.24</v>
      </c>
      <c r="AK716" s="3">
        <v>45202</v>
      </c>
      <c r="AL716" s="2">
        <v>5.0199999999999996</v>
      </c>
      <c r="AM716" s="3">
        <v>45202</v>
      </c>
      <c r="AN716" s="2">
        <v>4.8099999999999996</v>
      </c>
      <c r="AO716" s="3">
        <v>45202</v>
      </c>
      <c r="AP716" s="2">
        <v>4.3075000000000001</v>
      </c>
      <c r="AQ716" s="3">
        <v>45202</v>
      </c>
      <c r="AR716" s="2">
        <v>4.12</v>
      </c>
      <c r="AS716" s="3">
        <v>45202</v>
      </c>
      <c r="AT716" s="2">
        <v>3.98</v>
      </c>
      <c r="AU716" s="3">
        <v>45202</v>
      </c>
      <c r="AV716" s="2">
        <v>3.9750000000000001</v>
      </c>
      <c r="AW716" s="3">
        <v>45202</v>
      </c>
      <c r="AX716" s="2">
        <v>3.9849999999999999</v>
      </c>
      <c r="AY716" s="3">
        <v>45202</v>
      </c>
      <c r="AZ716" s="2">
        <v>4.0049999999999999</v>
      </c>
      <c r="BB716" s="3">
        <v>45145</v>
      </c>
      <c r="BC716" s="1">
        <v>7</v>
      </c>
      <c r="BD716" s="3">
        <v>45161</v>
      </c>
      <c r="BE716" s="1">
        <v>7.11</v>
      </c>
      <c r="BF716" s="3">
        <v>45202</v>
      </c>
      <c r="BG716" s="1">
        <v>7.04</v>
      </c>
      <c r="BH716" s="3">
        <v>45202</v>
      </c>
      <c r="BI716" s="1">
        <v>6.9</v>
      </c>
      <c r="BJ716" s="3">
        <v>45202</v>
      </c>
      <c r="BK716" s="1">
        <v>6.69</v>
      </c>
      <c r="BL716" s="3">
        <v>45202</v>
      </c>
      <c r="BM716" s="1">
        <v>5.7949999999999999</v>
      </c>
      <c r="BN716" s="3">
        <v>45202</v>
      </c>
      <c r="BO716" s="1">
        <v>4.9450000000000003</v>
      </c>
      <c r="BP716" s="3">
        <v>45202</v>
      </c>
      <c r="BQ716" s="1">
        <v>4.4630000000000001</v>
      </c>
      <c r="BR716" s="3">
        <v>45202</v>
      </c>
      <c r="BS716" s="1">
        <v>4.3280000000000003</v>
      </c>
      <c r="BT716" s="3">
        <v>45202</v>
      </c>
      <c r="BU716" s="1">
        <v>4.2350000000000003</v>
      </c>
      <c r="BV716" s="3">
        <v>45202</v>
      </c>
      <c r="BW716" s="1">
        <v>4.16</v>
      </c>
      <c r="BY716" s="3">
        <v>45161</v>
      </c>
      <c r="BZ716" s="1">
        <v>13</v>
      </c>
      <c r="CA716" s="3">
        <v>45152</v>
      </c>
      <c r="CB716" s="1">
        <v>14.1</v>
      </c>
      <c r="CC716" s="3">
        <v>45202</v>
      </c>
      <c r="CD716" s="1">
        <v>11.43</v>
      </c>
      <c r="CE716" s="3">
        <v>45202</v>
      </c>
      <c r="CF716" s="1">
        <v>10.83</v>
      </c>
      <c r="CG716" s="3">
        <v>45202</v>
      </c>
      <c r="CH716" s="1">
        <v>10.3</v>
      </c>
      <c r="CI716" s="3">
        <v>45202</v>
      </c>
      <c r="CJ716" s="1">
        <v>8.9700000000000006</v>
      </c>
      <c r="CK716" s="3">
        <v>45202</v>
      </c>
      <c r="CL716" s="1">
        <v>7.78</v>
      </c>
      <c r="CM716" s="3">
        <v>45202</v>
      </c>
      <c r="CN716" s="1">
        <v>7.2850000000000001</v>
      </c>
      <c r="CO716" s="3">
        <v>45194</v>
      </c>
      <c r="CP716" s="1">
        <v>6.59</v>
      </c>
      <c r="CQ716" s="3">
        <v>45194</v>
      </c>
      <c r="CR716" s="1">
        <v>6.2450000000000001</v>
      </c>
      <c r="CS716" s="3">
        <v>45194</v>
      </c>
      <c r="CT716" s="1">
        <v>6.04</v>
      </c>
    </row>
    <row r="717" spans="31:98" x14ac:dyDescent="0.2">
      <c r="AE717" s="3">
        <v>45191</v>
      </c>
      <c r="AF717" s="1">
        <v>6</v>
      </c>
      <c r="AG717" s="3">
        <v>45160</v>
      </c>
      <c r="AH717" s="1">
        <v>6.7</v>
      </c>
      <c r="AI717" s="3">
        <v>45201</v>
      </c>
      <c r="AJ717" s="2">
        <v>5.2270000000000003</v>
      </c>
      <c r="AK717" s="3">
        <v>45201</v>
      </c>
      <c r="AL717" s="2">
        <v>5.01</v>
      </c>
      <c r="AM717" s="3">
        <v>45201</v>
      </c>
      <c r="AN717" s="2">
        <v>4.79</v>
      </c>
      <c r="AO717" s="3">
        <v>45201</v>
      </c>
      <c r="AP717" s="2">
        <v>4.26</v>
      </c>
      <c r="AQ717" s="3">
        <v>45201</v>
      </c>
      <c r="AR717" s="2">
        <v>4.0549999999999997</v>
      </c>
      <c r="AS717" s="3">
        <v>45201</v>
      </c>
      <c r="AT717" s="2">
        <v>3.89</v>
      </c>
      <c r="AU717" s="3">
        <v>45201</v>
      </c>
      <c r="AV717" s="2">
        <v>3.9125000000000001</v>
      </c>
      <c r="AW717" s="3">
        <v>45201</v>
      </c>
      <c r="AX717" s="2">
        <v>3.9449999999999998</v>
      </c>
      <c r="AY717" s="3">
        <v>45201</v>
      </c>
      <c r="AZ717" s="2">
        <v>3.9925000000000002</v>
      </c>
      <c r="BB717" s="3">
        <v>45142</v>
      </c>
      <c r="BC717" s="1">
        <v>7</v>
      </c>
      <c r="BD717" s="3">
        <v>45160</v>
      </c>
      <c r="BE717" s="1">
        <v>7.11</v>
      </c>
      <c r="BF717" s="3">
        <v>45201</v>
      </c>
      <c r="BG717" s="1">
        <v>7.04</v>
      </c>
      <c r="BH717" s="3">
        <v>45201</v>
      </c>
      <c r="BI717" s="1">
        <v>6.92</v>
      </c>
      <c r="BJ717" s="3">
        <v>45201</v>
      </c>
      <c r="BK717" s="1">
        <v>6.665</v>
      </c>
      <c r="BL717" s="3">
        <v>45201</v>
      </c>
      <c r="BM717" s="1">
        <v>5.7549999999999999</v>
      </c>
      <c r="BN717" s="3">
        <v>45201</v>
      </c>
      <c r="BO717" s="1">
        <v>4.88</v>
      </c>
      <c r="BP717" s="3">
        <v>45201</v>
      </c>
      <c r="BQ717" s="1">
        <v>4.3079999999999998</v>
      </c>
      <c r="BR717" s="3">
        <v>45201</v>
      </c>
      <c r="BS717" s="1">
        <v>4.1779999999999999</v>
      </c>
      <c r="BT717" s="3">
        <v>45201</v>
      </c>
      <c r="BU717" s="1">
        <v>4.0949999999999998</v>
      </c>
      <c r="BV717" s="3">
        <v>45201</v>
      </c>
      <c r="BW717" s="1">
        <v>4.0149999999999997</v>
      </c>
      <c r="BY717" s="3">
        <v>45160</v>
      </c>
      <c r="BZ717" s="1">
        <v>13</v>
      </c>
      <c r="CA717" s="3">
        <v>45149</v>
      </c>
      <c r="CB717" s="1">
        <v>14.13</v>
      </c>
      <c r="CC717" s="3">
        <v>45201</v>
      </c>
      <c r="CD717" s="1">
        <v>11.46</v>
      </c>
      <c r="CE717" s="3">
        <v>45201</v>
      </c>
      <c r="CF717" s="1">
        <v>10.83</v>
      </c>
      <c r="CG717" s="3">
        <v>45201</v>
      </c>
      <c r="CH717" s="1">
        <v>10.32</v>
      </c>
      <c r="CI717" s="3">
        <v>45201</v>
      </c>
      <c r="CJ717" s="1">
        <v>9.0500000000000007</v>
      </c>
      <c r="CK717" s="3">
        <v>45201</v>
      </c>
      <c r="CL717" s="1">
        <v>7.85</v>
      </c>
      <c r="CM717" s="3">
        <v>45201</v>
      </c>
      <c r="CN717" s="1">
        <v>7.3650000000000002</v>
      </c>
      <c r="CO717" s="3">
        <v>45191</v>
      </c>
      <c r="CP717" s="1">
        <v>6.32</v>
      </c>
      <c r="CQ717" s="3">
        <v>45191</v>
      </c>
      <c r="CR717" s="1">
        <v>5.9749999999999996</v>
      </c>
      <c r="CS717" s="3">
        <v>45191</v>
      </c>
      <c r="CT717" s="1">
        <v>5.77</v>
      </c>
    </row>
    <row r="718" spans="31:98" x14ac:dyDescent="0.2">
      <c r="AE718" s="3">
        <v>45190</v>
      </c>
      <c r="AF718" s="1">
        <v>6</v>
      </c>
      <c r="AG718" s="3">
        <v>45159</v>
      </c>
      <c r="AH718" s="1">
        <v>6.68</v>
      </c>
      <c r="AI718" s="3">
        <v>45198</v>
      </c>
      <c r="AJ718" s="2">
        <v>5.2830000000000004</v>
      </c>
      <c r="AK718" s="3">
        <v>45198</v>
      </c>
      <c r="AL718" s="2">
        <v>5.0599999999999996</v>
      </c>
      <c r="AM718" s="3">
        <v>45198</v>
      </c>
      <c r="AN718" s="2">
        <v>4.8600000000000003</v>
      </c>
      <c r="AO718" s="3">
        <v>45198</v>
      </c>
      <c r="AP718" s="2">
        <v>4.2750000000000004</v>
      </c>
      <c r="AQ718" s="3">
        <v>45198</v>
      </c>
      <c r="AR718" s="2">
        <v>4.09</v>
      </c>
      <c r="AS718" s="3">
        <v>45198</v>
      </c>
      <c r="AT718" s="2">
        <v>3.9375</v>
      </c>
      <c r="AU718" s="3">
        <v>45198</v>
      </c>
      <c r="AV718" s="2">
        <v>3.9424999999999999</v>
      </c>
      <c r="AW718" s="3">
        <v>45198</v>
      </c>
      <c r="AX718" s="2">
        <v>3.97</v>
      </c>
      <c r="AY718" s="3">
        <v>45198</v>
      </c>
      <c r="AZ718" s="2">
        <v>4.0199999999999996</v>
      </c>
      <c r="BB718" s="3">
        <v>45141</v>
      </c>
      <c r="BC718" s="1">
        <v>7</v>
      </c>
      <c r="BD718" s="3">
        <v>45159</v>
      </c>
      <c r="BE718" s="1">
        <v>7.11</v>
      </c>
      <c r="BF718" s="3">
        <v>45198</v>
      </c>
      <c r="BG718" s="1">
        <v>7.03</v>
      </c>
      <c r="BH718" s="3">
        <v>45198</v>
      </c>
      <c r="BI718" s="1">
        <v>6.9050000000000002</v>
      </c>
      <c r="BJ718" s="3">
        <v>45198</v>
      </c>
      <c r="BK718" s="1">
        <v>6.67</v>
      </c>
      <c r="BL718" s="3">
        <v>45198</v>
      </c>
      <c r="BM718" s="1">
        <v>5.94</v>
      </c>
      <c r="BN718" s="3">
        <v>45198</v>
      </c>
      <c r="BO718" s="1">
        <v>4.8600000000000003</v>
      </c>
      <c r="BP718" s="3">
        <v>45198</v>
      </c>
      <c r="BQ718" s="1">
        <v>4.2649999999999997</v>
      </c>
      <c r="BR718" s="3">
        <v>45198</v>
      </c>
      <c r="BS718" s="1">
        <v>4.1280000000000001</v>
      </c>
      <c r="BT718" s="3">
        <v>45198</v>
      </c>
      <c r="BU718" s="1">
        <v>4.03</v>
      </c>
      <c r="BV718" s="3">
        <v>45198</v>
      </c>
      <c r="BW718" s="1">
        <v>3.9550000000000001</v>
      </c>
      <c r="BY718" s="3">
        <v>45159</v>
      </c>
      <c r="BZ718" s="1">
        <v>13</v>
      </c>
      <c r="CA718" s="3">
        <v>45148</v>
      </c>
      <c r="CB718" s="1">
        <v>14.17</v>
      </c>
      <c r="CC718" s="3">
        <v>45198</v>
      </c>
      <c r="CD718" s="1">
        <v>11.53</v>
      </c>
      <c r="CE718" s="3">
        <v>45198</v>
      </c>
      <c r="CF718" s="1">
        <v>10.93</v>
      </c>
      <c r="CG718" s="3">
        <v>45198</v>
      </c>
      <c r="CH718" s="1">
        <v>10.45</v>
      </c>
      <c r="CI718" s="3">
        <v>45198</v>
      </c>
      <c r="CJ718" s="1">
        <v>9.15</v>
      </c>
      <c r="CK718" s="3">
        <v>45198</v>
      </c>
      <c r="CL718" s="1">
        <v>7.95</v>
      </c>
      <c r="CM718" s="3">
        <v>45198</v>
      </c>
      <c r="CN718" s="1">
        <v>7.44</v>
      </c>
      <c r="CO718" s="3">
        <v>45190</v>
      </c>
      <c r="CP718" s="1">
        <v>6.4349999999999996</v>
      </c>
      <c r="CQ718" s="3">
        <v>45190</v>
      </c>
      <c r="CR718" s="1">
        <v>6.09</v>
      </c>
      <c r="CS718" s="3">
        <v>45190</v>
      </c>
      <c r="CT718" s="1">
        <v>5.89</v>
      </c>
    </row>
    <row r="719" spans="31:98" x14ac:dyDescent="0.2">
      <c r="AE719" s="3">
        <v>45189</v>
      </c>
      <c r="AF719" s="1">
        <v>6</v>
      </c>
      <c r="AG719" s="3">
        <v>45156</v>
      </c>
      <c r="AH719" s="1">
        <v>6.69</v>
      </c>
      <c r="AI719" s="3">
        <v>45197</v>
      </c>
      <c r="AJ719" s="2">
        <v>5.3215000000000003</v>
      </c>
      <c r="AK719" s="3">
        <v>45197</v>
      </c>
      <c r="AL719" s="2">
        <v>5.1124999999999998</v>
      </c>
      <c r="AM719" s="3">
        <v>45197</v>
      </c>
      <c r="AN719" s="2">
        <v>4.9024999999999999</v>
      </c>
      <c r="AO719" s="3">
        <v>45197</v>
      </c>
      <c r="AP719" s="2">
        <v>4.3674999999999997</v>
      </c>
      <c r="AQ719" s="3">
        <v>45197</v>
      </c>
      <c r="AR719" s="2">
        <v>4.1775000000000002</v>
      </c>
      <c r="AS719" s="3">
        <v>45197</v>
      </c>
      <c r="AT719" s="2">
        <v>4.0425000000000004</v>
      </c>
      <c r="AU719" s="3">
        <v>45197</v>
      </c>
      <c r="AV719" s="2">
        <v>4.0475000000000003</v>
      </c>
      <c r="AW719" s="3">
        <v>45197</v>
      </c>
      <c r="AX719" s="2">
        <v>4.0599999999999996</v>
      </c>
      <c r="AY719" s="3">
        <v>45197</v>
      </c>
      <c r="AZ719" s="2">
        <v>4.0925000000000002</v>
      </c>
      <c r="BB719" s="3">
        <v>45140</v>
      </c>
      <c r="BC719" s="1">
        <v>7</v>
      </c>
      <c r="BD719" s="3">
        <v>45156</v>
      </c>
      <c r="BE719" s="1">
        <v>7.11</v>
      </c>
      <c r="BF719" s="3">
        <v>45197</v>
      </c>
      <c r="BG719" s="1">
        <v>7.05</v>
      </c>
      <c r="BH719" s="3">
        <v>45197</v>
      </c>
      <c r="BI719" s="1">
        <v>6.8949999999999996</v>
      </c>
      <c r="BJ719" s="3">
        <v>45197</v>
      </c>
      <c r="BK719" s="1">
        <v>6.69</v>
      </c>
      <c r="BL719" s="3">
        <v>45197</v>
      </c>
      <c r="BM719" s="1">
        <v>6.09</v>
      </c>
      <c r="BN719" s="3">
        <v>45197</v>
      </c>
      <c r="BO719" s="1">
        <v>4.923</v>
      </c>
      <c r="BP719" s="3">
        <v>45197</v>
      </c>
      <c r="BQ719" s="1">
        <v>4.3949999999999996</v>
      </c>
      <c r="BR719" s="3">
        <v>45197</v>
      </c>
      <c r="BS719" s="1">
        <v>4.26</v>
      </c>
      <c r="BT719" s="3">
        <v>45197</v>
      </c>
      <c r="BU719" s="1">
        <v>4.1550000000000002</v>
      </c>
      <c r="BV719" s="3">
        <v>45197</v>
      </c>
      <c r="BW719" s="1">
        <v>4.0549999999999997</v>
      </c>
      <c r="BY719" s="3">
        <v>45156</v>
      </c>
      <c r="BZ719" s="1">
        <v>13</v>
      </c>
      <c r="CA719" s="3">
        <v>45147</v>
      </c>
      <c r="CB719" s="1">
        <v>14.18</v>
      </c>
      <c r="CC719" s="3">
        <v>45197</v>
      </c>
      <c r="CD719" s="1">
        <v>11.6</v>
      </c>
      <c r="CE719" s="3">
        <v>45197</v>
      </c>
      <c r="CF719" s="1">
        <v>10.9</v>
      </c>
      <c r="CG719" s="3">
        <v>45197</v>
      </c>
      <c r="CH719" s="1">
        <v>10.5</v>
      </c>
      <c r="CI719" s="3">
        <v>45197</v>
      </c>
      <c r="CJ719" s="1">
        <v>9.25</v>
      </c>
      <c r="CK719" s="3">
        <v>45197</v>
      </c>
      <c r="CL719" s="1">
        <v>8.0500000000000007</v>
      </c>
      <c r="CM719" s="3">
        <v>45197</v>
      </c>
      <c r="CN719" s="1">
        <v>7.59</v>
      </c>
      <c r="CO719" s="3">
        <v>45189</v>
      </c>
      <c r="CP719" s="1">
        <v>6.3049999999999997</v>
      </c>
      <c r="CQ719" s="3">
        <v>45189</v>
      </c>
      <c r="CR719" s="1">
        <v>5.93</v>
      </c>
      <c r="CS719" s="3">
        <v>45189</v>
      </c>
      <c r="CT719" s="1">
        <v>5.71</v>
      </c>
    </row>
    <row r="720" spans="31:98" x14ac:dyDescent="0.2">
      <c r="AE720" s="3">
        <v>45188</v>
      </c>
      <c r="AF720" s="1">
        <v>6</v>
      </c>
      <c r="AG720" s="3">
        <v>45155</v>
      </c>
      <c r="AH720" s="1">
        <v>6.68</v>
      </c>
      <c r="AI720" s="3">
        <v>45196</v>
      </c>
      <c r="AJ720" s="2">
        <v>5.3129999999999997</v>
      </c>
      <c r="AK720" s="3">
        <v>45196</v>
      </c>
      <c r="AL720" s="2">
        <v>5.0875000000000004</v>
      </c>
      <c r="AM720" s="3">
        <v>45196</v>
      </c>
      <c r="AN720" s="2">
        <v>4.8825000000000003</v>
      </c>
      <c r="AO720" s="3">
        <v>45196</v>
      </c>
      <c r="AP720" s="2">
        <v>4.3125</v>
      </c>
      <c r="AQ720" s="3">
        <v>45196</v>
      </c>
      <c r="AR720" s="2">
        <v>4.1174999999999997</v>
      </c>
      <c r="AS720" s="3">
        <v>45196</v>
      </c>
      <c r="AT720" s="2">
        <v>3.9375</v>
      </c>
      <c r="AU720" s="3">
        <v>45196</v>
      </c>
      <c r="AV720" s="2">
        <v>3.9424999999999999</v>
      </c>
      <c r="AW720" s="3">
        <v>45196</v>
      </c>
      <c r="AX720" s="2">
        <v>3.9424999999999999</v>
      </c>
      <c r="AY720" s="3">
        <v>45196</v>
      </c>
      <c r="AZ720" s="2">
        <v>3.97</v>
      </c>
      <c r="BB720" s="3">
        <v>45139</v>
      </c>
      <c r="BC720" s="1">
        <v>7</v>
      </c>
      <c r="BD720" s="3">
        <v>45155</v>
      </c>
      <c r="BE720" s="1">
        <v>7.11</v>
      </c>
      <c r="BF720" s="3">
        <v>45196</v>
      </c>
      <c r="BG720" s="1">
        <v>7.05</v>
      </c>
      <c r="BH720" s="3">
        <v>45196</v>
      </c>
      <c r="BI720" s="1">
        <v>6.8949999999999996</v>
      </c>
      <c r="BJ720" s="3">
        <v>45196</v>
      </c>
      <c r="BK720" s="1">
        <v>6.69</v>
      </c>
      <c r="BL720" s="3">
        <v>45196</v>
      </c>
      <c r="BM720" s="1">
        <v>6.09</v>
      </c>
      <c r="BN720" s="3">
        <v>45196</v>
      </c>
      <c r="BO720" s="1">
        <v>4.9550000000000001</v>
      </c>
      <c r="BP720" s="3">
        <v>45196</v>
      </c>
      <c r="BQ720" s="1">
        <v>4.3949999999999996</v>
      </c>
      <c r="BR720" s="3">
        <v>45196</v>
      </c>
      <c r="BS720" s="1">
        <v>4.26</v>
      </c>
      <c r="BT720" s="3">
        <v>45196</v>
      </c>
      <c r="BU720" s="1">
        <v>4.1550000000000002</v>
      </c>
      <c r="BV720" s="3">
        <v>45196</v>
      </c>
      <c r="BW720" s="1">
        <v>4.0549999999999997</v>
      </c>
      <c r="BY720" s="3">
        <v>45155</v>
      </c>
      <c r="BZ720" s="1">
        <v>13</v>
      </c>
      <c r="CA720" s="3">
        <v>45146</v>
      </c>
      <c r="CB720" s="1">
        <v>14.19</v>
      </c>
      <c r="CC720" s="3">
        <v>45196</v>
      </c>
      <c r="CD720" s="1">
        <v>11.6</v>
      </c>
      <c r="CE720" s="3">
        <v>45196</v>
      </c>
      <c r="CF720" s="1">
        <v>10.97</v>
      </c>
      <c r="CG720" s="3">
        <v>45196</v>
      </c>
      <c r="CH720" s="1">
        <v>10.4</v>
      </c>
      <c r="CI720" s="3">
        <v>45196</v>
      </c>
      <c r="CJ720" s="1">
        <v>9.0500000000000007</v>
      </c>
      <c r="CK720" s="3">
        <v>45196</v>
      </c>
      <c r="CL720" s="1">
        <v>7.75</v>
      </c>
      <c r="CM720" s="3">
        <v>45196</v>
      </c>
      <c r="CN720" s="1">
        <v>7.3</v>
      </c>
      <c r="CO720" s="3">
        <v>45188</v>
      </c>
      <c r="CP720" s="1">
        <v>6.26</v>
      </c>
      <c r="CQ720" s="3">
        <v>45188</v>
      </c>
      <c r="CR720" s="1">
        <v>5.89</v>
      </c>
      <c r="CS720" s="3">
        <v>45188</v>
      </c>
      <c r="CT720" s="1">
        <v>5.62</v>
      </c>
    </row>
    <row r="721" spans="31:98" x14ac:dyDescent="0.2">
      <c r="AE721" s="3">
        <v>45187</v>
      </c>
      <c r="AF721" s="1">
        <v>6</v>
      </c>
      <c r="AG721" s="3">
        <v>45154</v>
      </c>
      <c r="AH721" s="1">
        <v>6.7</v>
      </c>
      <c r="AI721" s="3">
        <v>45195</v>
      </c>
      <c r="AJ721" s="2">
        <v>5.4020000000000001</v>
      </c>
      <c r="AK721" s="3">
        <v>45195</v>
      </c>
      <c r="AL721" s="2">
        <v>5.165</v>
      </c>
      <c r="AM721" s="3">
        <v>45195</v>
      </c>
      <c r="AN721" s="2">
        <v>4.9550000000000001</v>
      </c>
      <c r="AO721" s="3">
        <v>45195</v>
      </c>
      <c r="AP721" s="2">
        <v>4.3875000000000002</v>
      </c>
      <c r="AQ721" s="3">
        <v>45195</v>
      </c>
      <c r="AR721" s="2">
        <v>4.1875</v>
      </c>
      <c r="AS721" s="3">
        <v>45195</v>
      </c>
      <c r="AT721" s="2">
        <v>4.0075000000000003</v>
      </c>
      <c r="AU721" s="3">
        <v>45195</v>
      </c>
      <c r="AV721" s="2">
        <v>4.01</v>
      </c>
      <c r="AW721" s="3">
        <v>45195</v>
      </c>
      <c r="AX721" s="2">
        <v>4.01</v>
      </c>
      <c r="AY721" s="3">
        <v>45195</v>
      </c>
      <c r="AZ721" s="2">
        <v>4.0199999999999996</v>
      </c>
      <c r="BB721" s="3">
        <v>45138</v>
      </c>
      <c r="BC721" s="1">
        <v>7</v>
      </c>
      <c r="BD721" s="3">
        <v>45154</v>
      </c>
      <c r="BE721" s="1">
        <v>7.11</v>
      </c>
      <c r="BF721" s="3">
        <v>45195</v>
      </c>
      <c r="BG721" s="1">
        <v>7.04</v>
      </c>
      <c r="BH721" s="3">
        <v>45195</v>
      </c>
      <c r="BI721" s="1">
        <v>6.8650000000000002</v>
      </c>
      <c r="BJ721" s="3">
        <v>45195</v>
      </c>
      <c r="BK721" s="1">
        <v>6.64</v>
      </c>
      <c r="BL721" s="3">
        <v>45195</v>
      </c>
      <c r="BM721" s="1">
        <v>5.99</v>
      </c>
      <c r="BN721" s="3">
        <v>45195</v>
      </c>
      <c r="BO721" s="1">
        <v>5.0350000000000001</v>
      </c>
      <c r="BP721" s="3">
        <v>45195</v>
      </c>
      <c r="BQ721" s="1">
        <v>4.34</v>
      </c>
      <c r="BR721" s="3">
        <v>45195</v>
      </c>
      <c r="BS721" s="1">
        <v>4.0949999999999998</v>
      </c>
      <c r="BT721" s="3">
        <v>45195</v>
      </c>
      <c r="BU721" s="1">
        <v>3.98</v>
      </c>
      <c r="BV721" s="3">
        <v>45195</v>
      </c>
      <c r="BW721" s="1">
        <v>3.87</v>
      </c>
      <c r="BY721" s="3">
        <v>45154</v>
      </c>
      <c r="BZ721" s="1">
        <v>13</v>
      </c>
      <c r="CA721" s="3">
        <v>45145</v>
      </c>
      <c r="CB721" s="1">
        <v>14.2</v>
      </c>
      <c r="CC721" s="3">
        <v>45195</v>
      </c>
      <c r="CD721" s="1">
        <v>11.38</v>
      </c>
      <c r="CE721" s="3">
        <v>45195</v>
      </c>
      <c r="CF721" s="1">
        <v>10.75</v>
      </c>
      <c r="CG721" s="3">
        <v>45195</v>
      </c>
      <c r="CH721" s="1">
        <v>10.15</v>
      </c>
      <c r="CI721" s="3">
        <v>45195</v>
      </c>
      <c r="CJ721" s="1">
        <v>8.82</v>
      </c>
      <c r="CK721" s="3">
        <v>45195</v>
      </c>
      <c r="CL721" s="1">
        <v>7.52</v>
      </c>
      <c r="CM721" s="3">
        <v>45195</v>
      </c>
      <c r="CN721" s="1">
        <v>7.085</v>
      </c>
      <c r="CO721" s="3">
        <v>45187</v>
      </c>
      <c r="CP721" s="1">
        <v>6.41</v>
      </c>
      <c r="CQ721" s="3">
        <v>45187</v>
      </c>
      <c r="CR721" s="1">
        <v>6.0250000000000004</v>
      </c>
      <c r="CS721" s="3">
        <v>45187</v>
      </c>
      <c r="CT721" s="1">
        <v>5.7050000000000001</v>
      </c>
    </row>
    <row r="722" spans="31:98" x14ac:dyDescent="0.2">
      <c r="AE722" s="3">
        <v>45184</v>
      </c>
      <c r="AF722" s="1">
        <v>6</v>
      </c>
      <c r="AG722" s="3">
        <v>45152</v>
      </c>
      <c r="AH722" s="1">
        <v>6.68</v>
      </c>
      <c r="AI722" s="3">
        <v>45194</v>
      </c>
      <c r="AJ722" s="2">
        <v>5.4260000000000002</v>
      </c>
      <c r="AK722" s="3">
        <v>45194</v>
      </c>
      <c r="AL722" s="2">
        <v>5.1950000000000003</v>
      </c>
      <c r="AM722" s="3">
        <v>45194</v>
      </c>
      <c r="AN722" s="2">
        <v>5</v>
      </c>
      <c r="AO722" s="3">
        <v>45194</v>
      </c>
      <c r="AP722" s="2">
        <v>4.4349999999999996</v>
      </c>
      <c r="AQ722" s="3">
        <v>45194</v>
      </c>
      <c r="AR722" s="2">
        <v>4.1950000000000003</v>
      </c>
      <c r="AS722" s="3">
        <v>45194</v>
      </c>
      <c r="AT722" s="2">
        <v>4.03</v>
      </c>
      <c r="AU722" s="3">
        <v>45194</v>
      </c>
      <c r="AV722" s="2">
        <v>4.0274999999999999</v>
      </c>
      <c r="AW722" s="3">
        <v>45194</v>
      </c>
      <c r="AX722" s="2">
        <v>4.0274999999999999</v>
      </c>
      <c r="AY722" s="3">
        <v>45194</v>
      </c>
      <c r="AZ722" s="2">
        <v>4.0274999999999999</v>
      </c>
      <c r="BB722" s="3">
        <v>45135</v>
      </c>
      <c r="BC722" s="1">
        <v>7</v>
      </c>
      <c r="BD722" s="3">
        <v>45153</v>
      </c>
      <c r="BE722" s="1">
        <v>7.11</v>
      </c>
      <c r="BF722" s="3">
        <v>45194</v>
      </c>
      <c r="BG722" s="1">
        <v>7.04</v>
      </c>
      <c r="BH722" s="3">
        <v>45194</v>
      </c>
      <c r="BI722" s="1">
        <v>6.88</v>
      </c>
      <c r="BJ722" s="3">
        <v>45194</v>
      </c>
      <c r="BK722" s="1">
        <v>6.79</v>
      </c>
      <c r="BL722" s="3">
        <v>45194</v>
      </c>
      <c r="BM722" s="1">
        <v>5.9550000000000001</v>
      </c>
      <c r="BN722" s="3">
        <v>45194</v>
      </c>
      <c r="BO722" s="1">
        <v>4.9800000000000004</v>
      </c>
      <c r="BP722" s="3">
        <v>45194</v>
      </c>
      <c r="BQ722" s="1">
        <v>4.3499999999999996</v>
      </c>
      <c r="BR722" s="3">
        <v>45194</v>
      </c>
      <c r="BS722" s="1">
        <v>4.09</v>
      </c>
      <c r="BT722" s="3">
        <v>45194</v>
      </c>
      <c r="BU722" s="1">
        <v>3.9550000000000001</v>
      </c>
      <c r="BV722" s="3">
        <v>45194</v>
      </c>
      <c r="BW722" s="1">
        <v>3.875</v>
      </c>
      <c r="BY722" s="3">
        <v>45153</v>
      </c>
      <c r="BZ722" s="1">
        <v>13</v>
      </c>
      <c r="CA722" s="3">
        <v>45142</v>
      </c>
      <c r="CB722" s="1">
        <v>14.21</v>
      </c>
      <c r="CC722" s="3">
        <v>45194</v>
      </c>
      <c r="CD722" s="1">
        <v>11.5</v>
      </c>
      <c r="CE722" s="3">
        <v>45194</v>
      </c>
      <c r="CF722" s="1">
        <v>10.65</v>
      </c>
      <c r="CG722" s="3">
        <v>45194</v>
      </c>
      <c r="CH722" s="1">
        <v>10.050000000000001</v>
      </c>
      <c r="CI722" s="3">
        <v>45194</v>
      </c>
      <c r="CJ722" s="1">
        <v>8.73</v>
      </c>
      <c r="CK722" s="3">
        <v>45194</v>
      </c>
      <c r="CL722" s="1">
        <v>7.55</v>
      </c>
      <c r="CM722" s="3">
        <v>45194</v>
      </c>
      <c r="CN722" s="1">
        <v>6.94</v>
      </c>
      <c r="CO722" s="3">
        <v>45184</v>
      </c>
      <c r="CP722" s="1">
        <v>6.42</v>
      </c>
      <c r="CQ722" s="3">
        <v>45184</v>
      </c>
      <c r="CR722" s="1">
        <v>6.03</v>
      </c>
      <c r="CS722" s="3">
        <v>45184</v>
      </c>
      <c r="CT722" s="1">
        <v>5.7050000000000001</v>
      </c>
    </row>
    <row r="723" spans="31:98" x14ac:dyDescent="0.2">
      <c r="AE723" s="3">
        <v>45183</v>
      </c>
      <c r="AF723" s="1">
        <v>6</v>
      </c>
      <c r="AG723" s="3">
        <v>45149</v>
      </c>
      <c r="AH723" s="1">
        <v>6.72</v>
      </c>
      <c r="AI723" s="3">
        <v>45191</v>
      </c>
      <c r="AJ723" s="2">
        <v>5.4962999999999997</v>
      </c>
      <c r="AK723" s="3">
        <v>45191</v>
      </c>
      <c r="AL723" s="2">
        <v>5.2549999999999999</v>
      </c>
      <c r="AM723" s="3">
        <v>45191</v>
      </c>
      <c r="AN723" s="2">
        <v>5.07</v>
      </c>
      <c r="AO723" s="3">
        <v>45191</v>
      </c>
      <c r="AP723" s="2">
        <v>4.5125000000000002</v>
      </c>
      <c r="AQ723" s="3">
        <v>45191</v>
      </c>
      <c r="AR723" s="2">
        <v>4.26</v>
      </c>
      <c r="AS723" s="3">
        <v>45191</v>
      </c>
      <c r="AT723" s="2">
        <v>4.09</v>
      </c>
      <c r="AU723" s="3">
        <v>45191</v>
      </c>
      <c r="AV723" s="2">
        <v>4.08</v>
      </c>
      <c r="AW723" s="3">
        <v>45191</v>
      </c>
      <c r="AX723" s="2">
        <v>4.08</v>
      </c>
      <c r="AY723" s="3">
        <v>45191</v>
      </c>
      <c r="AZ723" s="2">
        <v>4.08</v>
      </c>
      <c r="BB723" s="3">
        <v>45134</v>
      </c>
      <c r="BC723" s="1">
        <v>7</v>
      </c>
      <c r="BD723" s="3">
        <v>45152</v>
      </c>
      <c r="BE723" s="1">
        <v>7.1</v>
      </c>
      <c r="BF723" s="3">
        <v>45191</v>
      </c>
      <c r="BG723" s="1">
        <v>7.04</v>
      </c>
      <c r="BH723" s="3">
        <v>45191</v>
      </c>
      <c r="BI723" s="1">
        <v>6.883</v>
      </c>
      <c r="BJ723" s="3">
        <v>45191</v>
      </c>
      <c r="BK723" s="1">
        <v>6.7949999999999999</v>
      </c>
      <c r="BL723" s="3">
        <v>45191</v>
      </c>
      <c r="BM723" s="1">
        <v>5.923</v>
      </c>
      <c r="BN723" s="3">
        <v>45191</v>
      </c>
      <c r="BO723" s="1">
        <v>4.92</v>
      </c>
      <c r="BP723" s="3">
        <v>45191</v>
      </c>
      <c r="BQ723" s="1">
        <v>4.28</v>
      </c>
      <c r="BR723" s="3">
        <v>45191</v>
      </c>
      <c r="BS723" s="1">
        <v>3.9950000000000001</v>
      </c>
      <c r="BT723" s="3">
        <v>45191</v>
      </c>
      <c r="BU723" s="1">
        <v>3.843</v>
      </c>
      <c r="BV723" s="3">
        <v>45191</v>
      </c>
      <c r="BW723" s="1">
        <v>3.76</v>
      </c>
      <c r="BY723" s="3">
        <v>45152</v>
      </c>
      <c r="BZ723" s="1">
        <v>13</v>
      </c>
      <c r="CA723" s="3">
        <v>45141</v>
      </c>
      <c r="CB723" s="1">
        <v>14.22</v>
      </c>
      <c r="CC723" s="3">
        <v>45191</v>
      </c>
      <c r="CD723" s="1">
        <v>11.61</v>
      </c>
      <c r="CE723" s="3">
        <v>45191</v>
      </c>
      <c r="CF723" s="1">
        <v>10.41</v>
      </c>
      <c r="CG723" s="3">
        <v>45191</v>
      </c>
      <c r="CH723" s="1">
        <v>9.8000000000000007</v>
      </c>
      <c r="CI723" s="3">
        <v>45191</v>
      </c>
      <c r="CJ723" s="1">
        <v>8.5500000000000007</v>
      </c>
      <c r="CK723" s="3">
        <v>45191</v>
      </c>
      <c r="CL723" s="1">
        <v>7.35</v>
      </c>
      <c r="CM723" s="3">
        <v>45191</v>
      </c>
      <c r="CN723" s="1">
        <v>6.68</v>
      </c>
      <c r="CO723" s="3">
        <v>45183</v>
      </c>
      <c r="CP723" s="1">
        <v>6.61</v>
      </c>
      <c r="CQ723" s="3">
        <v>45183</v>
      </c>
      <c r="CR723" s="1">
        <v>6.23</v>
      </c>
      <c r="CS723" s="3">
        <v>45183</v>
      </c>
      <c r="CT723" s="1">
        <v>5.8550000000000004</v>
      </c>
    </row>
    <row r="724" spans="31:98" x14ac:dyDescent="0.2">
      <c r="AE724" s="3">
        <v>45182</v>
      </c>
      <c r="AF724" s="1">
        <v>6</v>
      </c>
      <c r="AG724" s="3">
        <v>45148</v>
      </c>
      <c r="AH724" s="1">
        <v>6.69</v>
      </c>
      <c r="AI724" s="3">
        <v>45190</v>
      </c>
      <c r="AJ724" s="2">
        <v>5.5235000000000003</v>
      </c>
      <c r="AK724" s="3">
        <v>45190</v>
      </c>
      <c r="AL724" s="2">
        <v>5.27</v>
      </c>
      <c r="AM724" s="3">
        <v>45190</v>
      </c>
      <c r="AN724" s="2">
        <v>5.0750000000000002</v>
      </c>
      <c r="AO724" s="3">
        <v>45190</v>
      </c>
      <c r="AP724" s="2">
        <v>4.54</v>
      </c>
      <c r="AQ724" s="3">
        <v>45190</v>
      </c>
      <c r="AR724" s="2">
        <v>4.2949999999999999</v>
      </c>
      <c r="AS724" s="3">
        <v>45190</v>
      </c>
      <c r="AT724" s="2">
        <v>4.1150000000000002</v>
      </c>
      <c r="AU724" s="3">
        <v>45190</v>
      </c>
      <c r="AV724" s="2">
        <v>4.1050000000000004</v>
      </c>
      <c r="AW724" s="3">
        <v>45190</v>
      </c>
      <c r="AX724" s="2">
        <v>4.1050000000000004</v>
      </c>
      <c r="AY724" s="3">
        <v>45190</v>
      </c>
      <c r="AZ724" s="2">
        <v>4.1050000000000004</v>
      </c>
      <c r="BB724" s="3">
        <v>45133</v>
      </c>
      <c r="BC724" s="1">
        <v>7</v>
      </c>
      <c r="BD724" s="3">
        <v>45149</v>
      </c>
      <c r="BE724" s="1">
        <v>7.1</v>
      </c>
      <c r="BF724" s="3">
        <v>45190</v>
      </c>
      <c r="BG724" s="1">
        <v>7.04</v>
      </c>
      <c r="BH724" s="3">
        <v>45190</v>
      </c>
      <c r="BI724" s="1">
        <v>6.9</v>
      </c>
      <c r="BJ724" s="3">
        <v>45190</v>
      </c>
      <c r="BK724" s="1">
        <v>6.8</v>
      </c>
      <c r="BL724" s="3">
        <v>45190</v>
      </c>
      <c r="BM724" s="1">
        <v>5.9</v>
      </c>
      <c r="BN724" s="3">
        <v>45190</v>
      </c>
      <c r="BO724" s="1">
        <v>4.9000000000000004</v>
      </c>
      <c r="BP724" s="3">
        <v>45190</v>
      </c>
      <c r="BQ724" s="1">
        <v>4.25</v>
      </c>
      <c r="BR724" s="3">
        <v>45190</v>
      </c>
      <c r="BS724" s="1">
        <v>3.95</v>
      </c>
      <c r="BT724" s="3">
        <v>45190</v>
      </c>
      <c r="BU724" s="1">
        <v>3.81</v>
      </c>
      <c r="BV724" s="3">
        <v>45190</v>
      </c>
      <c r="BW724" s="1">
        <v>3.73</v>
      </c>
      <c r="BY724" s="3">
        <v>45149</v>
      </c>
      <c r="BZ724" s="1">
        <v>13</v>
      </c>
      <c r="CA724" s="3">
        <v>45140</v>
      </c>
      <c r="CB724" s="1">
        <v>14.23</v>
      </c>
      <c r="CC724" s="3">
        <v>45190</v>
      </c>
      <c r="CD724" s="1">
        <v>11.65</v>
      </c>
      <c r="CE724" s="3">
        <v>45190</v>
      </c>
      <c r="CF724" s="1">
        <v>10.4</v>
      </c>
      <c r="CG724" s="3">
        <v>45190</v>
      </c>
      <c r="CH724" s="1">
        <v>9.91</v>
      </c>
      <c r="CI724" s="3">
        <v>45190</v>
      </c>
      <c r="CJ724" s="1">
        <v>8.66</v>
      </c>
      <c r="CK724" s="3">
        <v>45190</v>
      </c>
      <c r="CL724" s="1">
        <v>7.46</v>
      </c>
      <c r="CM724" s="3">
        <v>45190</v>
      </c>
      <c r="CN724" s="1">
        <v>6.79</v>
      </c>
      <c r="CO724" s="3">
        <v>45182</v>
      </c>
      <c r="CP724" s="1">
        <v>6.69</v>
      </c>
      <c r="CQ724" s="3">
        <v>45182</v>
      </c>
      <c r="CR724" s="1">
        <v>6.31</v>
      </c>
      <c r="CS724" s="3">
        <v>45182</v>
      </c>
      <c r="CT724" s="1">
        <v>5.9349999999999996</v>
      </c>
    </row>
    <row r="725" spans="31:98" x14ac:dyDescent="0.2">
      <c r="AE725" s="3">
        <v>45181</v>
      </c>
      <c r="AF725" s="1">
        <v>6</v>
      </c>
      <c r="AG725" s="3">
        <v>45147</v>
      </c>
      <c r="AH725" s="1">
        <v>6.7</v>
      </c>
      <c r="AI725" s="3">
        <v>45189</v>
      </c>
      <c r="AJ725" s="2">
        <v>5.492</v>
      </c>
      <c r="AK725" s="3">
        <v>45189</v>
      </c>
      <c r="AL725" s="2">
        <v>5.2350000000000003</v>
      </c>
      <c r="AM725" s="3">
        <v>45189</v>
      </c>
      <c r="AN725" s="2">
        <v>5.0049999999999999</v>
      </c>
      <c r="AO725" s="3">
        <v>45189</v>
      </c>
      <c r="AP725" s="2">
        <v>4.4550000000000001</v>
      </c>
      <c r="AQ725" s="3">
        <v>45189</v>
      </c>
      <c r="AR725" s="2">
        <v>4.2324999999999999</v>
      </c>
      <c r="AS725" s="3">
        <v>45189</v>
      </c>
      <c r="AT725" s="2">
        <v>4.03</v>
      </c>
      <c r="AU725" s="3">
        <v>45189</v>
      </c>
      <c r="AV725" s="2">
        <v>3.9950000000000001</v>
      </c>
      <c r="AW725" s="3">
        <v>45189</v>
      </c>
      <c r="AX725" s="2">
        <v>3.98</v>
      </c>
      <c r="AY725" s="3">
        <v>45189</v>
      </c>
      <c r="AZ725" s="2">
        <v>3.9674999999999998</v>
      </c>
      <c r="BB725" s="3">
        <v>45132</v>
      </c>
      <c r="BC725" s="1">
        <v>7</v>
      </c>
      <c r="BD725" s="3">
        <v>45148</v>
      </c>
      <c r="BE725" s="1">
        <v>7.1</v>
      </c>
      <c r="BF725" s="3">
        <v>45189</v>
      </c>
      <c r="BG725" s="1">
        <v>7.05</v>
      </c>
      <c r="BH725" s="3">
        <v>45189</v>
      </c>
      <c r="BI725" s="1">
        <v>6.9</v>
      </c>
      <c r="BJ725" s="3">
        <v>45189</v>
      </c>
      <c r="BK725" s="1">
        <v>6.8150000000000004</v>
      </c>
      <c r="BL725" s="3">
        <v>45189</v>
      </c>
      <c r="BM725" s="1">
        <v>5.87</v>
      </c>
      <c r="BN725" s="3">
        <v>45189</v>
      </c>
      <c r="BO725" s="1">
        <v>4.9029999999999996</v>
      </c>
      <c r="BP725" s="3">
        <v>45189</v>
      </c>
      <c r="BQ725" s="1">
        <v>4.1950000000000003</v>
      </c>
      <c r="BR725" s="3">
        <v>45189</v>
      </c>
      <c r="BS725" s="1">
        <v>3.94</v>
      </c>
      <c r="BT725" s="3">
        <v>45189</v>
      </c>
      <c r="BU725" s="1">
        <v>3.75</v>
      </c>
      <c r="BV725" s="3">
        <v>45189</v>
      </c>
      <c r="BW725" s="1">
        <v>3.6579999999999999</v>
      </c>
      <c r="BY725" s="3">
        <v>45148</v>
      </c>
      <c r="BZ725" s="1">
        <v>13</v>
      </c>
      <c r="CA725" s="3">
        <v>45139</v>
      </c>
      <c r="CB725" s="1">
        <v>14.24</v>
      </c>
      <c r="CC725" s="3">
        <v>45189</v>
      </c>
      <c r="CD725" s="1">
        <v>11.73</v>
      </c>
      <c r="CE725" s="3">
        <v>45189</v>
      </c>
      <c r="CF725" s="1">
        <v>10.79</v>
      </c>
      <c r="CG725" s="3">
        <v>45189</v>
      </c>
      <c r="CH725" s="1">
        <v>9.99</v>
      </c>
      <c r="CI725" s="3">
        <v>45189</v>
      </c>
      <c r="CJ725" s="1">
        <v>8.76</v>
      </c>
      <c r="CK725" s="3">
        <v>45189</v>
      </c>
      <c r="CL725" s="1">
        <v>7.54</v>
      </c>
      <c r="CM725" s="3">
        <v>45189</v>
      </c>
      <c r="CN725" s="1">
        <v>6.68</v>
      </c>
      <c r="CO725" s="3">
        <v>45181</v>
      </c>
      <c r="CP725" s="1">
        <v>6.7350000000000003</v>
      </c>
      <c r="CQ725" s="3">
        <v>45181</v>
      </c>
      <c r="CR725" s="1">
        <v>6.35</v>
      </c>
      <c r="CS725" s="3">
        <v>45181</v>
      </c>
      <c r="CT725" s="1">
        <v>5.97</v>
      </c>
    </row>
    <row r="726" spans="31:98" x14ac:dyDescent="0.2">
      <c r="AE726" s="3">
        <v>45180</v>
      </c>
      <c r="AF726" s="1">
        <v>6</v>
      </c>
      <c r="AG726" s="3">
        <v>45146</v>
      </c>
      <c r="AH726" s="1">
        <v>6.7</v>
      </c>
      <c r="AI726" s="3">
        <v>45188</v>
      </c>
      <c r="AJ726" s="2">
        <v>5.3739999999999997</v>
      </c>
      <c r="AK726" s="3">
        <v>45188</v>
      </c>
      <c r="AL726" s="2">
        <v>5.0449999999999999</v>
      </c>
      <c r="AM726" s="3">
        <v>45188</v>
      </c>
      <c r="AN726" s="2">
        <v>4.78</v>
      </c>
      <c r="AO726" s="3">
        <v>45188</v>
      </c>
      <c r="AP726" s="2">
        <v>4.16</v>
      </c>
      <c r="AQ726" s="3">
        <v>45188</v>
      </c>
      <c r="AR726" s="2">
        <v>3.9449999999999998</v>
      </c>
      <c r="AS726" s="3">
        <v>45188</v>
      </c>
      <c r="AT726" s="2">
        <v>3.875</v>
      </c>
      <c r="AU726" s="3">
        <v>45188</v>
      </c>
      <c r="AV726" s="2">
        <v>3.8824999999999998</v>
      </c>
      <c r="AW726" s="3">
        <v>45188</v>
      </c>
      <c r="AX726" s="2">
        <v>3.8925000000000001</v>
      </c>
      <c r="AY726" s="3">
        <v>45188</v>
      </c>
      <c r="AZ726" s="2">
        <v>3.9049999999999998</v>
      </c>
      <c r="BB726" s="3">
        <v>45131</v>
      </c>
      <c r="BC726" s="1">
        <v>7</v>
      </c>
      <c r="BD726" s="3">
        <v>45147</v>
      </c>
      <c r="BE726" s="1">
        <v>7.1</v>
      </c>
      <c r="BF726" s="3">
        <v>45188</v>
      </c>
      <c r="BG726" s="1">
        <v>7.04</v>
      </c>
      <c r="BH726" s="3">
        <v>45188</v>
      </c>
      <c r="BI726" s="1">
        <v>6.92</v>
      </c>
      <c r="BJ726" s="3">
        <v>45188</v>
      </c>
      <c r="BK726" s="1">
        <v>6.82</v>
      </c>
      <c r="BL726" s="3">
        <v>45188</v>
      </c>
      <c r="BM726" s="1">
        <v>5.82</v>
      </c>
      <c r="BN726" s="3">
        <v>45188</v>
      </c>
      <c r="BO726" s="1">
        <v>4.84</v>
      </c>
      <c r="BP726" s="3">
        <v>45188</v>
      </c>
      <c r="BQ726" s="1">
        <v>4.125</v>
      </c>
      <c r="BR726" s="3">
        <v>45188</v>
      </c>
      <c r="BS726" s="1">
        <v>3.8250000000000002</v>
      </c>
      <c r="BT726" s="3">
        <v>45188</v>
      </c>
      <c r="BU726" s="1">
        <v>3.6349999999999998</v>
      </c>
      <c r="BV726" s="3">
        <v>45188</v>
      </c>
      <c r="BW726" s="1">
        <v>3.5649999999999999</v>
      </c>
      <c r="BY726" s="3">
        <v>45147</v>
      </c>
      <c r="BZ726" s="1">
        <v>13</v>
      </c>
      <c r="CA726" s="3">
        <v>45138</v>
      </c>
      <c r="CB726" s="1">
        <v>14.26</v>
      </c>
      <c r="CC726" s="3">
        <v>45188</v>
      </c>
      <c r="CD726" s="1">
        <v>11.74</v>
      </c>
      <c r="CE726" s="3">
        <v>45188</v>
      </c>
      <c r="CF726" s="1">
        <v>10.83</v>
      </c>
      <c r="CG726" s="3">
        <v>45188</v>
      </c>
      <c r="CH726" s="1">
        <v>10.199999999999999</v>
      </c>
      <c r="CI726" s="3">
        <v>45188</v>
      </c>
      <c r="CJ726" s="1">
        <v>8.76</v>
      </c>
      <c r="CK726" s="3">
        <v>45188</v>
      </c>
      <c r="CL726" s="1">
        <v>7.5</v>
      </c>
      <c r="CM726" s="3">
        <v>45188</v>
      </c>
      <c r="CN726" s="1">
        <v>6.72</v>
      </c>
      <c r="CO726" s="3">
        <v>45180</v>
      </c>
      <c r="CP726" s="1">
        <v>6.7</v>
      </c>
      <c r="CQ726" s="3">
        <v>45180</v>
      </c>
      <c r="CR726" s="1">
        <v>6.31</v>
      </c>
      <c r="CS726" s="3">
        <v>45180</v>
      </c>
      <c r="CT726" s="1">
        <v>5.9249999999999998</v>
      </c>
    </row>
    <row r="727" spans="31:98" x14ac:dyDescent="0.2">
      <c r="AE727" s="3">
        <v>45177</v>
      </c>
      <c r="AF727" s="1">
        <v>6</v>
      </c>
      <c r="AG727" s="3">
        <v>45145</v>
      </c>
      <c r="AH727" s="1">
        <v>6.71</v>
      </c>
      <c r="AI727" s="3">
        <v>45187</v>
      </c>
      <c r="AJ727" s="2">
        <v>5.383</v>
      </c>
      <c r="AK727" s="3">
        <v>45187</v>
      </c>
      <c r="AL727" s="2">
        <v>5.0549999999999997</v>
      </c>
      <c r="AM727" s="3">
        <v>45187</v>
      </c>
      <c r="AN727" s="2">
        <v>4.7699999999999996</v>
      </c>
      <c r="AO727" s="3">
        <v>45187</v>
      </c>
      <c r="AP727" s="2">
        <v>4.1500000000000004</v>
      </c>
      <c r="AQ727" s="3">
        <v>45187</v>
      </c>
      <c r="AR727" s="2">
        <v>3.915</v>
      </c>
      <c r="AS727" s="3">
        <v>45187</v>
      </c>
      <c r="AT727" s="2">
        <v>3.84</v>
      </c>
      <c r="AU727" s="3">
        <v>45187</v>
      </c>
      <c r="AV727" s="2">
        <v>3.8424999999999998</v>
      </c>
      <c r="AW727" s="3">
        <v>45187</v>
      </c>
      <c r="AX727" s="2">
        <v>3.8475000000000001</v>
      </c>
      <c r="AY727" s="3">
        <v>45187</v>
      </c>
      <c r="AZ727" s="2">
        <v>3.855</v>
      </c>
      <c r="BB727" s="3">
        <v>45128</v>
      </c>
      <c r="BC727" s="1">
        <v>7</v>
      </c>
      <c r="BD727" s="3">
        <v>45146</v>
      </c>
      <c r="BE727" s="1">
        <v>7.1</v>
      </c>
      <c r="BF727" s="3">
        <v>45187</v>
      </c>
      <c r="BG727" s="1">
        <v>7.0350000000000001</v>
      </c>
      <c r="BH727" s="3">
        <v>45187</v>
      </c>
      <c r="BI727" s="1">
        <v>6.8949999999999996</v>
      </c>
      <c r="BJ727" s="3">
        <v>45187</v>
      </c>
      <c r="BK727" s="1">
        <v>6.8049999999999997</v>
      </c>
      <c r="BL727" s="3">
        <v>45187</v>
      </c>
      <c r="BM727" s="1">
        <v>5.8079999999999998</v>
      </c>
      <c r="BN727" s="3">
        <v>45187</v>
      </c>
      <c r="BO727" s="1">
        <v>4.8079999999999998</v>
      </c>
      <c r="BP727" s="3">
        <v>45187</v>
      </c>
      <c r="BQ727" s="1">
        <v>4.1180000000000003</v>
      </c>
      <c r="BR727" s="3">
        <v>45187</v>
      </c>
      <c r="BS727" s="1">
        <v>3.8279999999999998</v>
      </c>
      <c r="BT727" s="3">
        <v>45187</v>
      </c>
      <c r="BU727" s="1">
        <v>3.63</v>
      </c>
      <c r="BV727" s="3">
        <v>45187</v>
      </c>
      <c r="BW727" s="1">
        <v>3.548</v>
      </c>
      <c r="BY727" s="3">
        <v>45145</v>
      </c>
      <c r="BZ727" s="1">
        <v>13</v>
      </c>
      <c r="CA727" s="3">
        <v>45135</v>
      </c>
      <c r="CB727" s="1">
        <v>14.31</v>
      </c>
      <c r="CC727" s="3">
        <v>45187</v>
      </c>
      <c r="CD727" s="1">
        <v>11.798</v>
      </c>
      <c r="CE727" s="3">
        <v>45187</v>
      </c>
      <c r="CF727" s="1">
        <v>10.92</v>
      </c>
      <c r="CG727" s="3">
        <v>45187</v>
      </c>
      <c r="CH727" s="1">
        <v>10.31</v>
      </c>
      <c r="CI727" s="3">
        <v>45187</v>
      </c>
      <c r="CJ727" s="1">
        <v>8.8699999999999992</v>
      </c>
      <c r="CK727" s="3">
        <v>45187</v>
      </c>
      <c r="CL727" s="1">
        <v>7.61</v>
      </c>
      <c r="CM727" s="3">
        <v>45187</v>
      </c>
      <c r="CN727" s="1">
        <v>6.88</v>
      </c>
      <c r="CO727" s="3">
        <v>45177</v>
      </c>
      <c r="CP727" s="1">
        <v>6.7249999999999996</v>
      </c>
      <c r="CQ727" s="3">
        <v>45177</v>
      </c>
      <c r="CR727" s="1">
        <v>6.39</v>
      </c>
      <c r="CS727" s="3">
        <v>45177</v>
      </c>
      <c r="CT727" s="1">
        <v>5.94</v>
      </c>
    </row>
    <row r="728" spans="31:98" x14ac:dyDescent="0.2">
      <c r="AE728" s="3">
        <v>45176</v>
      </c>
      <c r="AF728" s="1">
        <v>6</v>
      </c>
      <c r="AG728" s="3">
        <v>45142</v>
      </c>
      <c r="AH728" s="1">
        <v>6.71</v>
      </c>
      <c r="AI728" s="3">
        <v>45184</v>
      </c>
      <c r="AJ728" s="2">
        <v>5.4</v>
      </c>
      <c r="AK728" s="3">
        <v>45184</v>
      </c>
      <c r="AL728" s="2">
        <v>5.05</v>
      </c>
      <c r="AM728" s="3">
        <v>45184</v>
      </c>
      <c r="AN728" s="2">
        <v>4.7750000000000004</v>
      </c>
      <c r="AO728" s="3">
        <v>45184</v>
      </c>
      <c r="AP728" s="2">
        <v>4.1500000000000004</v>
      </c>
      <c r="AQ728" s="3">
        <v>45184</v>
      </c>
      <c r="AR728" s="2">
        <v>3.92</v>
      </c>
      <c r="AS728" s="3">
        <v>45184</v>
      </c>
      <c r="AT728" s="2">
        <v>3.85</v>
      </c>
      <c r="AU728" s="3">
        <v>45184</v>
      </c>
      <c r="AV728" s="2">
        <v>3.8475000000000001</v>
      </c>
      <c r="AW728" s="3">
        <v>45184</v>
      </c>
      <c r="AX728" s="2">
        <v>3.8475000000000001</v>
      </c>
      <c r="AY728" s="3">
        <v>45184</v>
      </c>
      <c r="AZ728" s="2">
        <v>3.85</v>
      </c>
      <c r="BB728" s="3">
        <v>45127</v>
      </c>
      <c r="BC728" s="1">
        <v>7</v>
      </c>
      <c r="BD728" s="3">
        <v>45145</v>
      </c>
      <c r="BE728" s="1">
        <v>7.1</v>
      </c>
      <c r="BF728" s="3">
        <v>45184</v>
      </c>
      <c r="BG728" s="1">
        <v>6.9950000000000001</v>
      </c>
      <c r="BH728" s="3">
        <v>45184</v>
      </c>
      <c r="BI728" s="1">
        <v>6.7629999999999999</v>
      </c>
      <c r="BJ728" s="3">
        <v>45184</v>
      </c>
      <c r="BK728" s="1">
        <v>6.6749999999999998</v>
      </c>
      <c r="BL728" s="3">
        <v>45184</v>
      </c>
      <c r="BM728" s="1">
        <v>5.6879999999999997</v>
      </c>
      <c r="BN728" s="3">
        <v>45184</v>
      </c>
      <c r="BO728" s="1">
        <v>4.71</v>
      </c>
      <c r="BP728" s="3">
        <v>45184</v>
      </c>
      <c r="BQ728" s="1">
        <v>4.0250000000000004</v>
      </c>
      <c r="BR728" s="3">
        <v>45184</v>
      </c>
      <c r="BS728" s="1">
        <v>3.74</v>
      </c>
      <c r="BT728" s="3">
        <v>45184</v>
      </c>
      <c r="BU728" s="1">
        <v>3.54</v>
      </c>
      <c r="BV728" s="3">
        <v>45184</v>
      </c>
      <c r="BW728" s="1">
        <v>3.5</v>
      </c>
      <c r="BY728" s="3">
        <v>45142</v>
      </c>
      <c r="BZ728" s="1">
        <v>13</v>
      </c>
      <c r="CA728" s="3">
        <v>45134</v>
      </c>
      <c r="CB728" s="1">
        <v>14.39</v>
      </c>
      <c r="CC728" s="3">
        <v>45184</v>
      </c>
      <c r="CD728" s="1">
        <v>11.824</v>
      </c>
      <c r="CE728" s="3">
        <v>45184</v>
      </c>
      <c r="CF728" s="1">
        <v>10.933</v>
      </c>
      <c r="CG728" s="3">
        <v>45184</v>
      </c>
      <c r="CH728" s="1">
        <v>10.31</v>
      </c>
      <c r="CI728" s="3">
        <v>45184</v>
      </c>
      <c r="CJ728" s="1">
        <v>8.8699999999999992</v>
      </c>
      <c r="CK728" s="3">
        <v>45184</v>
      </c>
      <c r="CL728" s="1">
        <v>7.61</v>
      </c>
      <c r="CM728" s="3">
        <v>45184</v>
      </c>
      <c r="CN728" s="1">
        <v>6.89</v>
      </c>
      <c r="CO728" s="3">
        <v>45176</v>
      </c>
      <c r="CP728" s="1">
        <v>6.835</v>
      </c>
      <c r="CQ728" s="3">
        <v>45176</v>
      </c>
      <c r="CR728" s="1">
        <v>6.5</v>
      </c>
      <c r="CS728" s="3">
        <v>45176</v>
      </c>
      <c r="CT728" s="1">
        <v>6.12</v>
      </c>
    </row>
    <row r="729" spans="31:98" x14ac:dyDescent="0.2">
      <c r="AE729" s="3">
        <v>45175</v>
      </c>
      <c r="AF729" s="1">
        <v>6</v>
      </c>
      <c r="AG729" s="3">
        <v>45141</v>
      </c>
      <c r="AH729" s="1">
        <v>6.74</v>
      </c>
      <c r="AI729" s="3">
        <v>45183</v>
      </c>
      <c r="AJ729" s="2">
        <v>5.3979999999999997</v>
      </c>
      <c r="AK729" s="3">
        <v>45183</v>
      </c>
      <c r="AL729" s="2">
        <v>5.08</v>
      </c>
      <c r="AM729" s="3">
        <v>45183</v>
      </c>
      <c r="AN729" s="2">
        <v>4.78</v>
      </c>
      <c r="AO729" s="3">
        <v>45183</v>
      </c>
      <c r="AP729" s="2">
        <v>4.13</v>
      </c>
      <c r="AQ729" s="3">
        <v>45183</v>
      </c>
      <c r="AR729" s="2">
        <v>3.915</v>
      </c>
      <c r="AS729" s="3">
        <v>45183</v>
      </c>
      <c r="AT729" s="2">
        <v>3.83</v>
      </c>
      <c r="AU729" s="3">
        <v>45183</v>
      </c>
      <c r="AV729" s="2">
        <v>3.8325</v>
      </c>
      <c r="AW729" s="3">
        <v>45183</v>
      </c>
      <c r="AX729" s="2">
        <v>3.8374999999999999</v>
      </c>
      <c r="AY729" s="3">
        <v>45183</v>
      </c>
      <c r="AZ729" s="2">
        <v>3.8475000000000001</v>
      </c>
      <c r="BB729" s="3">
        <v>45126</v>
      </c>
      <c r="BC729" s="1">
        <v>7</v>
      </c>
      <c r="BD729" s="3">
        <v>45142</v>
      </c>
      <c r="BE729" s="1">
        <v>7.1</v>
      </c>
      <c r="BF729" s="3">
        <v>45183</v>
      </c>
      <c r="BG729" s="1">
        <v>6.99</v>
      </c>
      <c r="BH729" s="3">
        <v>45183</v>
      </c>
      <c r="BI729" s="1">
        <v>6.76</v>
      </c>
      <c r="BJ729" s="3">
        <v>45183</v>
      </c>
      <c r="BK729" s="1">
        <v>6.7</v>
      </c>
      <c r="BL729" s="3">
        <v>45183</v>
      </c>
      <c r="BM729" s="1">
        <v>5.72</v>
      </c>
      <c r="BN729" s="3">
        <v>45183</v>
      </c>
      <c r="BO729" s="1">
        <v>4.8499999999999996</v>
      </c>
      <c r="BP729" s="3">
        <v>45183</v>
      </c>
      <c r="BQ729" s="1">
        <v>4.05</v>
      </c>
      <c r="BR729" s="3">
        <v>45183</v>
      </c>
      <c r="BS729" s="1">
        <v>3.7650000000000001</v>
      </c>
      <c r="BT729" s="3">
        <v>45183</v>
      </c>
      <c r="BU729" s="1">
        <v>3.6</v>
      </c>
      <c r="BV729" s="3">
        <v>45183</v>
      </c>
      <c r="BW729" s="1">
        <v>3.56</v>
      </c>
      <c r="BY729" s="3">
        <v>45141</v>
      </c>
      <c r="BZ729" s="1">
        <v>13</v>
      </c>
      <c r="CA729" s="3">
        <v>45133</v>
      </c>
      <c r="CB729" s="1">
        <v>14.48</v>
      </c>
      <c r="CC729" s="3">
        <v>45183</v>
      </c>
      <c r="CD729" s="1">
        <v>11.907999999999999</v>
      </c>
      <c r="CE729" s="3">
        <v>45183</v>
      </c>
      <c r="CF729" s="1">
        <v>11.045999999999999</v>
      </c>
      <c r="CG729" s="3">
        <v>45183</v>
      </c>
      <c r="CH729" s="1">
        <v>10.44</v>
      </c>
      <c r="CI729" s="3">
        <v>45183</v>
      </c>
      <c r="CJ729" s="1">
        <v>8.99</v>
      </c>
      <c r="CK729" s="3">
        <v>45183</v>
      </c>
      <c r="CL729" s="1">
        <v>7.73</v>
      </c>
      <c r="CM729" s="3">
        <v>45183</v>
      </c>
      <c r="CN729" s="1">
        <v>7.03</v>
      </c>
      <c r="CO729" s="3">
        <v>45175</v>
      </c>
      <c r="CP729" s="1">
        <v>6.91</v>
      </c>
      <c r="CQ729" s="3">
        <v>45175</v>
      </c>
      <c r="CR729" s="1">
        <v>6.5650000000000004</v>
      </c>
      <c r="CS729" s="3">
        <v>45175</v>
      </c>
      <c r="CT729" s="1">
        <v>6.1749999999999998</v>
      </c>
    </row>
    <row r="730" spans="31:98" x14ac:dyDescent="0.2">
      <c r="AE730" s="3">
        <v>45174</v>
      </c>
      <c r="AF730" s="1">
        <v>6.75</v>
      </c>
      <c r="AG730" s="3">
        <v>45140</v>
      </c>
      <c r="AH730" s="1">
        <v>6.74</v>
      </c>
      <c r="AI730" s="3">
        <v>45182</v>
      </c>
      <c r="AJ730" s="2">
        <v>5.4424999999999999</v>
      </c>
      <c r="AK730" s="3">
        <v>45182</v>
      </c>
      <c r="AL730" s="2">
        <v>5.12</v>
      </c>
      <c r="AM730" s="3">
        <v>45182</v>
      </c>
      <c r="AN730" s="2">
        <v>4.8049999999999997</v>
      </c>
      <c r="AO730" s="3">
        <v>45182</v>
      </c>
      <c r="AP730" s="2">
        <v>4.1550000000000002</v>
      </c>
      <c r="AQ730" s="3">
        <v>45182</v>
      </c>
      <c r="AR730" s="2">
        <v>3.9</v>
      </c>
      <c r="AS730" s="3">
        <v>45182</v>
      </c>
      <c r="AT730" s="2">
        <v>3.8149999999999999</v>
      </c>
      <c r="AU730" s="3">
        <v>45182</v>
      </c>
      <c r="AV730" s="2">
        <v>3.8125</v>
      </c>
      <c r="AW730" s="3">
        <v>45182</v>
      </c>
      <c r="AX730" s="2">
        <v>3.8149999999999999</v>
      </c>
      <c r="AY730" s="3">
        <v>45182</v>
      </c>
      <c r="AZ730" s="2">
        <v>3.8224999999999998</v>
      </c>
      <c r="BB730" s="3">
        <v>45125</v>
      </c>
      <c r="BC730" s="1">
        <v>7</v>
      </c>
      <c r="BD730" s="3">
        <v>45141</v>
      </c>
      <c r="BE730" s="1">
        <v>7.1</v>
      </c>
      <c r="BF730" s="3">
        <v>45182</v>
      </c>
      <c r="BG730" s="1">
        <v>7</v>
      </c>
      <c r="BH730" s="3">
        <v>45182</v>
      </c>
      <c r="BI730" s="1">
        <v>6.7850000000000001</v>
      </c>
      <c r="BJ730" s="3">
        <v>45182</v>
      </c>
      <c r="BK730" s="1">
        <v>6.72</v>
      </c>
      <c r="BL730" s="3">
        <v>45182</v>
      </c>
      <c r="BM730" s="1">
        <v>5.7949999999999999</v>
      </c>
      <c r="BN730" s="3">
        <v>45182</v>
      </c>
      <c r="BO730" s="1">
        <v>4.8849999999999998</v>
      </c>
      <c r="BP730" s="3">
        <v>45182</v>
      </c>
      <c r="BQ730" s="1">
        <v>4.1349999999999998</v>
      </c>
      <c r="BR730" s="3">
        <v>45182</v>
      </c>
      <c r="BS730" s="1">
        <v>3.82</v>
      </c>
      <c r="BT730" s="3">
        <v>45182</v>
      </c>
      <c r="BU730" s="1">
        <v>3.66</v>
      </c>
      <c r="BV730" s="3">
        <v>45182</v>
      </c>
      <c r="BW730" s="1">
        <v>3.5950000000000002</v>
      </c>
      <c r="BY730" s="3">
        <v>45140</v>
      </c>
      <c r="BZ730" s="1">
        <v>13</v>
      </c>
      <c r="CA730" s="3">
        <v>45132</v>
      </c>
      <c r="CB730" s="1">
        <v>14.76</v>
      </c>
      <c r="CC730" s="3">
        <v>45182</v>
      </c>
      <c r="CD730" s="1">
        <v>12.019</v>
      </c>
      <c r="CE730" s="3">
        <v>45182</v>
      </c>
      <c r="CF730" s="1">
        <v>11.169</v>
      </c>
      <c r="CG730" s="3">
        <v>45182</v>
      </c>
      <c r="CH730" s="1">
        <v>10.5</v>
      </c>
      <c r="CI730" s="3">
        <v>45182</v>
      </c>
      <c r="CJ730" s="1">
        <v>9.0500000000000007</v>
      </c>
      <c r="CK730" s="3">
        <v>45182</v>
      </c>
      <c r="CL730" s="1">
        <v>7.85</v>
      </c>
      <c r="CM730" s="3">
        <v>45182</v>
      </c>
      <c r="CN730" s="1">
        <v>7.11</v>
      </c>
      <c r="CO730" s="3">
        <v>45174</v>
      </c>
      <c r="CP730" s="1">
        <v>6.81</v>
      </c>
      <c r="CQ730" s="3">
        <v>45174</v>
      </c>
      <c r="CR730" s="1">
        <v>6.4550000000000001</v>
      </c>
      <c r="CS730" s="3">
        <v>45174</v>
      </c>
      <c r="CT730" s="1">
        <v>6.0549999999999997</v>
      </c>
    </row>
    <row r="731" spans="31:98" x14ac:dyDescent="0.2">
      <c r="AE731" s="3">
        <v>45173</v>
      </c>
      <c r="AF731" s="1">
        <v>6.75</v>
      </c>
      <c r="AG731" s="3">
        <v>45139</v>
      </c>
      <c r="AH731" s="1">
        <v>6.72</v>
      </c>
      <c r="AI731" s="3">
        <v>45181</v>
      </c>
      <c r="AJ731" s="2">
        <v>5.5627000000000004</v>
      </c>
      <c r="AK731" s="3">
        <v>45181</v>
      </c>
      <c r="AL731" s="2">
        <v>5.0575000000000001</v>
      </c>
      <c r="AM731" s="3">
        <v>45181</v>
      </c>
      <c r="AN731" s="2">
        <v>4.7424999999999997</v>
      </c>
      <c r="AO731" s="3">
        <v>45181</v>
      </c>
      <c r="AP731" s="2">
        <v>4.1050000000000004</v>
      </c>
      <c r="AQ731" s="3">
        <v>45181</v>
      </c>
      <c r="AR731" s="2">
        <v>3.86</v>
      </c>
      <c r="AS731" s="3">
        <v>45181</v>
      </c>
      <c r="AT731" s="2">
        <v>3.82</v>
      </c>
      <c r="AU731" s="3">
        <v>45181</v>
      </c>
      <c r="AV731" s="2">
        <v>3.84</v>
      </c>
      <c r="AW731" s="3">
        <v>45181</v>
      </c>
      <c r="AX731" s="2">
        <v>3.86</v>
      </c>
      <c r="AY731" s="3">
        <v>45181</v>
      </c>
      <c r="AZ731" s="2">
        <v>3.8875000000000002</v>
      </c>
      <c r="BB731" s="3">
        <v>45124</v>
      </c>
      <c r="BC731" s="1">
        <v>7</v>
      </c>
      <c r="BD731" s="3">
        <v>45140</v>
      </c>
      <c r="BE731" s="1">
        <v>7.1</v>
      </c>
      <c r="BF731" s="3">
        <v>45181</v>
      </c>
      <c r="BG731" s="1">
        <v>6.99</v>
      </c>
      <c r="BH731" s="3">
        <v>45181</v>
      </c>
      <c r="BI731" s="1">
        <v>6.7649999999999997</v>
      </c>
      <c r="BJ731" s="3">
        <v>45181</v>
      </c>
      <c r="BK731" s="1">
        <v>6.7050000000000001</v>
      </c>
      <c r="BL731" s="3">
        <v>45181</v>
      </c>
      <c r="BM731" s="1">
        <v>5.76</v>
      </c>
      <c r="BN731" s="3">
        <v>45181</v>
      </c>
      <c r="BO731" s="1">
        <v>4.8630000000000004</v>
      </c>
      <c r="BP731" s="3">
        <v>45181</v>
      </c>
      <c r="BQ731" s="1">
        <v>4.1029999999999998</v>
      </c>
      <c r="BR731" s="3">
        <v>45181</v>
      </c>
      <c r="BS731" s="1">
        <v>3.7879999999999998</v>
      </c>
      <c r="BT731" s="3">
        <v>45181</v>
      </c>
      <c r="BU731" s="1">
        <v>3.6150000000000002</v>
      </c>
      <c r="BV731" s="3">
        <v>45181</v>
      </c>
      <c r="BW731" s="1">
        <v>3.5529999999999999</v>
      </c>
      <c r="BY731" s="3">
        <v>45139</v>
      </c>
      <c r="BZ731" s="1">
        <v>13</v>
      </c>
      <c r="CA731" s="3">
        <v>45131</v>
      </c>
      <c r="CB731" s="1">
        <v>14.86</v>
      </c>
      <c r="CC731" s="3">
        <v>45181</v>
      </c>
      <c r="CD731" s="1">
        <v>12.074999999999999</v>
      </c>
      <c r="CE731" s="3">
        <v>45181</v>
      </c>
      <c r="CF731" s="1">
        <v>11.221</v>
      </c>
      <c r="CG731" s="3">
        <v>45181</v>
      </c>
      <c r="CH731" s="1">
        <v>10.59</v>
      </c>
      <c r="CI731" s="3">
        <v>45181</v>
      </c>
      <c r="CJ731" s="1">
        <v>9.14</v>
      </c>
      <c r="CK731" s="3">
        <v>45181</v>
      </c>
      <c r="CL731" s="1">
        <v>7.94</v>
      </c>
      <c r="CM731" s="3">
        <v>45181</v>
      </c>
      <c r="CN731" s="1">
        <v>7.16</v>
      </c>
      <c r="CO731" s="3">
        <v>45173</v>
      </c>
      <c r="CP731" s="1">
        <v>6.64</v>
      </c>
      <c r="CQ731" s="3">
        <v>45173</v>
      </c>
      <c r="CR731" s="1">
        <v>6.2850000000000001</v>
      </c>
      <c r="CS731" s="3">
        <v>45173</v>
      </c>
      <c r="CT731" s="1">
        <v>5.875</v>
      </c>
    </row>
    <row r="732" spans="31:98" x14ac:dyDescent="0.2">
      <c r="AE732" s="3">
        <v>45170</v>
      </c>
      <c r="AF732" s="1">
        <v>6.75</v>
      </c>
      <c r="AG732" s="3">
        <v>45138</v>
      </c>
      <c r="AH732" s="1">
        <v>6.76</v>
      </c>
      <c r="AI732" s="3">
        <v>45180</v>
      </c>
      <c r="AJ732" s="2">
        <v>5.5514999999999999</v>
      </c>
      <c r="AK732" s="3">
        <v>45180</v>
      </c>
      <c r="AL732" s="2">
        <v>5.09</v>
      </c>
      <c r="AM732" s="3">
        <v>45180</v>
      </c>
      <c r="AN732" s="2">
        <v>4.74</v>
      </c>
      <c r="AO732" s="3">
        <v>45180</v>
      </c>
      <c r="AP732" s="2">
        <v>4.04</v>
      </c>
      <c r="AQ732" s="3">
        <v>45180</v>
      </c>
      <c r="AR732" s="2">
        <v>3.76</v>
      </c>
      <c r="AS732" s="3">
        <v>45180</v>
      </c>
      <c r="AT732" s="2">
        <v>3.665</v>
      </c>
      <c r="AU732" s="3">
        <v>45180</v>
      </c>
      <c r="AV732" s="2">
        <v>3.665</v>
      </c>
      <c r="AW732" s="3">
        <v>45180</v>
      </c>
      <c r="AX732" s="2">
        <v>3.665</v>
      </c>
      <c r="AY732" s="3">
        <v>45180</v>
      </c>
      <c r="AZ732" s="2">
        <v>3.6850000000000001</v>
      </c>
      <c r="BB732" s="3">
        <v>45121</v>
      </c>
      <c r="BC732" s="1">
        <v>7</v>
      </c>
      <c r="BD732" s="3">
        <v>45139</v>
      </c>
      <c r="BE732" s="1">
        <v>7.1</v>
      </c>
      <c r="BF732" s="3">
        <v>45180</v>
      </c>
      <c r="BG732" s="1">
        <v>6.98</v>
      </c>
      <c r="BH732" s="3">
        <v>45180</v>
      </c>
      <c r="BI732" s="1">
        <v>6.73</v>
      </c>
      <c r="BJ732" s="3">
        <v>45180</v>
      </c>
      <c r="BK732" s="1">
        <v>6.64</v>
      </c>
      <c r="BL732" s="3">
        <v>45180</v>
      </c>
      <c r="BM732" s="1">
        <v>5.7050000000000001</v>
      </c>
      <c r="BN732" s="3">
        <v>45180</v>
      </c>
      <c r="BO732" s="1">
        <v>4.7450000000000001</v>
      </c>
      <c r="BP732" s="3">
        <v>45180</v>
      </c>
      <c r="BQ732" s="1">
        <v>3.99</v>
      </c>
      <c r="BR732" s="3">
        <v>45180</v>
      </c>
      <c r="BS732" s="1">
        <v>3.72</v>
      </c>
      <c r="BT732" s="3">
        <v>45180</v>
      </c>
      <c r="BU732" s="1">
        <v>3.56</v>
      </c>
      <c r="BV732" s="3">
        <v>45180</v>
      </c>
      <c r="BW732" s="1">
        <v>3.4750000000000001</v>
      </c>
      <c r="BY732" s="3">
        <v>45138</v>
      </c>
      <c r="BZ732" s="1">
        <v>13</v>
      </c>
      <c r="CA732" s="3">
        <v>45128</v>
      </c>
      <c r="CB732" s="1">
        <v>14.95</v>
      </c>
      <c r="CC732" s="3">
        <v>45180</v>
      </c>
      <c r="CD732" s="1">
        <v>12.055</v>
      </c>
      <c r="CE732" s="3">
        <v>45180</v>
      </c>
      <c r="CF732" s="1">
        <v>11.24</v>
      </c>
      <c r="CG732" s="3">
        <v>45180</v>
      </c>
      <c r="CH732" s="1">
        <v>10.645</v>
      </c>
      <c r="CI732" s="3">
        <v>45180</v>
      </c>
      <c r="CJ732" s="1">
        <v>9.2050000000000001</v>
      </c>
      <c r="CK732" s="3">
        <v>45180</v>
      </c>
      <c r="CL732" s="1">
        <v>8</v>
      </c>
      <c r="CM732" s="3">
        <v>45180</v>
      </c>
      <c r="CN732" s="1">
        <v>7.13</v>
      </c>
      <c r="CO732" s="3">
        <v>45170</v>
      </c>
      <c r="CP732" s="1">
        <v>6.62</v>
      </c>
      <c r="CQ732" s="3">
        <v>45170</v>
      </c>
      <c r="CR732" s="1">
        <v>6.27</v>
      </c>
      <c r="CS732" s="3">
        <v>45170</v>
      </c>
      <c r="CT732" s="1">
        <v>6.02</v>
      </c>
    </row>
    <row r="733" spans="31:98" x14ac:dyDescent="0.2">
      <c r="AE733" s="3">
        <v>45169</v>
      </c>
      <c r="AF733" s="1">
        <v>6.75</v>
      </c>
      <c r="AG733" s="3">
        <v>45135</v>
      </c>
      <c r="AH733" s="1">
        <v>6.72</v>
      </c>
      <c r="AI733" s="3">
        <v>45177</v>
      </c>
      <c r="AJ733" s="2">
        <v>5.5987999999999998</v>
      </c>
      <c r="AK733" s="3">
        <v>45177</v>
      </c>
      <c r="AL733" s="2">
        <v>5.165</v>
      </c>
      <c r="AM733" s="3">
        <v>45177</v>
      </c>
      <c r="AN733" s="2">
        <v>4.8</v>
      </c>
      <c r="AO733" s="3">
        <v>45177</v>
      </c>
      <c r="AP733" s="2">
        <v>4.0999999999999996</v>
      </c>
      <c r="AQ733" s="3">
        <v>45177</v>
      </c>
      <c r="AR733" s="2">
        <v>3.76</v>
      </c>
      <c r="AS733" s="3">
        <v>45177</v>
      </c>
      <c r="AT733" s="2">
        <v>3.665</v>
      </c>
      <c r="AU733" s="3">
        <v>45177</v>
      </c>
      <c r="AV733" s="2">
        <v>3.62</v>
      </c>
      <c r="AW733" s="3">
        <v>45177</v>
      </c>
      <c r="AX733" s="2">
        <v>3.62</v>
      </c>
      <c r="AY733" s="3">
        <v>45177</v>
      </c>
      <c r="AZ733" s="2">
        <v>3.64</v>
      </c>
      <c r="BB733" s="3">
        <v>45120</v>
      </c>
      <c r="BC733" s="1">
        <v>7</v>
      </c>
      <c r="BD733" s="3">
        <v>45138</v>
      </c>
      <c r="BE733" s="1">
        <v>7.1</v>
      </c>
      <c r="BF733" s="3">
        <v>45177</v>
      </c>
      <c r="BG733" s="1">
        <v>6.9850000000000003</v>
      </c>
      <c r="BH733" s="3">
        <v>45177</v>
      </c>
      <c r="BI733" s="1">
        <v>6.8</v>
      </c>
      <c r="BJ733" s="3">
        <v>45177</v>
      </c>
      <c r="BK733" s="1">
        <v>6.73</v>
      </c>
      <c r="BL733" s="3">
        <v>45177</v>
      </c>
      <c r="BM733" s="1">
        <v>5.915</v>
      </c>
      <c r="BN733" s="3">
        <v>45177</v>
      </c>
      <c r="BO733" s="1">
        <v>4.96</v>
      </c>
      <c r="BP733" s="3">
        <v>45177</v>
      </c>
      <c r="BQ733" s="1">
        <v>4.1900000000000004</v>
      </c>
      <c r="BR733" s="3">
        <v>45177</v>
      </c>
      <c r="BS733" s="1">
        <v>3.875</v>
      </c>
      <c r="BT733" s="3">
        <v>45177</v>
      </c>
      <c r="BU733" s="1">
        <v>3.6850000000000001</v>
      </c>
      <c r="BV733" s="3">
        <v>45177</v>
      </c>
      <c r="BW733" s="1">
        <v>3.57</v>
      </c>
      <c r="BY733" s="3">
        <v>45135</v>
      </c>
      <c r="BZ733" s="1">
        <v>13</v>
      </c>
      <c r="CA733" s="3">
        <v>45127</v>
      </c>
      <c r="CB733" s="1">
        <v>14.98</v>
      </c>
      <c r="CC733" s="3">
        <v>45177</v>
      </c>
      <c r="CD733" s="1">
        <v>12.143000000000001</v>
      </c>
      <c r="CE733" s="3">
        <v>45177</v>
      </c>
      <c r="CF733" s="1">
        <v>11.282</v>
      </c>
      <c r="CG733" s="3">
        <v>45177</v>
      </c>
      <c r="CH733" s="1">
        <v>10.65</v>
      </c>
      <c r="CI733" s="3">
        <v>45177</v>
      </c>
      <c r="CJ733" s="1">
        <v>9.1999999999999993</v>
      </c>
      <c r="CK733" s="3">
        <v>45177</v>
      </c>
      <c r="CL733" s="1">
        <v>8</v>
      </c>
      <c r="CM733" s="3">
        <v>45177</v>
      </c>
      <c r="CN733" s="1">
        <v>7.1550000000000002</v>
      </c>
      <c r="CO733" s="3">
        <v>45169</v>
      </c>
      <c r="CP733" s="1">
        <v>6.665</v>
      </c>
      <c r="CQ733" s="3">
        <v>45169</v>
      </c>
      <c r="CR733" s="1">
        <v>6.3150000000000004</v>
      </c>
      <c r="CS733" s="3">
        <v>45169</v>
      </c>
      <c r="CT733" s="1">
        <v>5.91</v>
      </c>
    </row>
    <row r="734" spans="31:98" x14ac:dyDescent="0.2">
      <c r="AE734" s="3">
        <v>45168</v>
      </c>
      <c r="AF734" s="1">
        <v>6.75</v>
      </c>
      <c r="AG734" s="3">
        <v>45134</v>
      </c>
      <c r="AH734" s="1">
        <v>6.72</v>
      </c>
      <c r="AI734" s="3">
        <v>45176</v>
      </c>
      <c r="AJ734" s="2">
        <v>5.6040000000000001</v>
      </c>
      <c r="AK734" s="3">
        <v>45176</v>
      </c>
      <c r="AL734" s="2">
        <v>5.19</v>
      </c>
      <c r="AM734" s="3">
        <v>45176</v>
      </c>
      <c r="AN734" s="2">
        <v>4.87</v>
      </c>
      <c r="AO734" s="3">
        <v>45176</v>
      </c>
      <c r="AP734" s="2">
        <v>4.1900000000000004</v>
      </c>
      <c r="AQ734" s="3">
        <v>45176</v>
      </c>
      <c r="AR734" s="2">
        <v>3.82</v>
      </c>
      <c r="AS734" s="3">
        <v>45176</v>
      </c>
      <c r="AT734" s="2">
        <v>3.75</v>
      </c>
      <c r="AU734" s="3">
        <v>45176</v>
      </c>
      <c r="AV734" s="2">
        <v>3.71</v>
      </c>
      <c r="AW734" s="3">
        <v>45176</v>
      </c>
      <c r="AX734" s="2">
        <v>3.71</v>
      </c>
      <c r="AY734" s="3">
        <v>45176</v>
      </c>
      <c r="AZ734" s="2">
        <v>3.72</v>
      </c>
      <c r="BB734" s="3">
        <v>45119</v>
      </c>
      <c r="BC734" s="1">
        <v>7</v>
      </c>
      <c r="BD734" s="3">
        <v>45135</v>
      </c>
      <c r="BE734" s="1">
        <v>7.1</v>
      </c>
      <c r="BF734" s="3">
        <v>45176</v>
      </c>
      <c r="BG734" s="1">
        <v>7.0049999999999999</v>
      </c>
      <c r="BH734" s="3">
        <v>45176</v>
      </c>
      <c r="BI734" s="1">
        <v>6.82</v>
      </c>
      <c r="BJ734" s="3">
        <v>45176</v>
      </c>
      <c r="BK734" s="1">
        <v>6.76</v>
      </c>
      <c r="BL734" s="3">
        <v>45176</v>
      </c>
      <c r="BM734" s="1">
        <v>6.02</v>
      </c>
      <c r="BN734" s="3">
        <v>45176</v>
      </c>
      <c r="BO734" s="1">
        <v>5.09</v>
      </c>
      <c r="BP734" s="3">
        <v>45176</v>
      </c>
      <c r="BQ734" s="1">
        <v>4.28</v>
      </c>
      <c r="BR734" s="3">
        <v>45176</v>
      </c>
      <c r="BS734" s="1">
        <v>3.98</v>
      </c>
      <c r="BT734" s="3">
        <v>45176</v>
      </c>
      <c r="BU734" s="1">
        <v>3.78</v>
      </c>
      <c r="BV734" s="3">
        <v>45176</v>
      </c>
      <c r="BW734" s="1">
        <v>3.68</v>
      </c>
      <c r="BY734" s="3">
        <v>45134</v>
      </c>
      <c r="BZ734" s="1">
        <v>13</v>
      </c>
      <c r="CA734" s="3">
        <v>45126</v>
      </c>
      <c r="CB734" s="1">
        <v>15.02</v>
      </c>
      <c r="CC734" s="3">
        <v>45176</v>
      </c>
      <c r="CD734" s="1">
        <v>12.209</v>
      </c>
      <c r="CE734" s="3">
        <v>45176</v>
      </c>
      <c r="CF734" s="1">
        <v>11.361000000000001</v>
      </c>
      <c r="CG734" s="3">
        <v>45176</v>
      </c>
      <c r="CH734" s="1">
        <v>10.75</v>
      </c>
      <c r="CI734" s="3">
        <v>45176</v>
      </c>
      <c r="CJ734" s="1">
        <v>9.3000000000000007</v>
      </c>
      <c r="CK734" s="3">
        <v>45176</v>
      </c>
      <c r="CL734" s="1">
        <v>8.1</v>
      </c>
      <c r="CM734" s="3">
        <v>45176</v>
      </c>
      <c r="CN734" s="1">
        <v>7.28</v>
      </c>
      <c r="CO734" s="3">
        <v>45168</v>
      </c>
      <c r="CP734" s="1">
        <v>6.66</v>
      </c>
      <c r="CQ734" s="3">
        <v>45168</v>
      </c>
      <c r="CR734" s="1">
        <v>6.3049999999999997</v>
      </c>
      <c r="CS734" s="3">
        <v>45168</v>
      </c>
      <c r="CT734" s="1">
        <v>5.8949999999999996</v>
      </c>
    </row>
    <row r="735" spans="31:98" x14ac:dyDescent="0.2">
      <c r="AE735" s="3">
        <v>45167</v>
      </c>
      <c r="AF735" s="1">
        <v>6.75</v>
      </c>
      <c r="AG735" s="3">
        <v>45133</v>
      </c>
      <c r="AH735" s="1">
        <v>6.73</v>
      </c>
      <c r="AI735" s="3">
        <v>45175</v>
      </c>
      <c r="AJ735" s="2">
        <v>5.7450000000000001</v>
      </c>
      <c r="AK735" s="3">
        <v>45175</v>
      </c>
      <c r="AL735" s="2">
        <v>5.65</v>
      </c>
      <c r="AM735" s="3">
        <v>45175</v>
      </c>
      <c r="AN735" s="2">
        <v>5.27</v>
      </c>
      <c r="AO735" s="3">
        <v>45175</v>
      </c>
      <c r="AP735" s="2">
        <v>4.6050000000000004</v>
      </c>
      <c r="AQ735" s="3">
        <v>45175</v>
      </c>
      <c r="AR735" s="2">
        <v>4.2949999999999999</v>
      </c>
      <c r="AS735" s="3">
        <v>45175</v>
      </c>
      <c r="AT735" s="2">
        <v>4.07</v>
      </c>
      <c r="AU735" s="3">
        <v>45175</v>
      </c>
      <c r="AV735" s="2">
        <v>3.91</v>
      </c>
      <c r="AW735" s="3">
        <v>45175</v>
      </c>
      <c r="AX735" s="2">
        <v>3.7949999999999999</v>
      </c>
      <c r="AY735" s="3">
        <v>45175</v>
      </c>
      <c r="AZ735" s="2">
        <v>3.7450000000000001</v>
      </c>
      <c r="BB735" s="3">
        <v>45118</v>
      </c>
      <c r="BC735" s="1">
        <v>7</v>
      </c>
      <c r="BD735" s="3">
        <v>45134</v>
      </c>
      <c r="BE735" s="1">
        <v>7.1</v>
      </c>
      <c r="BF735" s="3">
        <v>45175</v>
      </c>
      <c r="BG735" s="1">
        <v>7.04</v>
      </c>
      <c r="BH735" s="3">
        <v>45175</v>
      </c>
      <c r="BI735" s="1">
        <v>6.9</v>
      </c>
      <c r="BJ735" s="3">
        <v>45175</v>
      </c>
      <c r="BK735" s="1">
        <v>6.8550000000000004</v>
      </c>
      <c r="BL735" s="3">
        <v>45175</v>
      </c>
      <c r="BM735" s="1">
        <v>6.18</v>
      </c>
      <c r="BN735" s="3">
        <v>45175</v>
      </c>
      <c r="BO735" s="1">
        <v>5.32</v>
      </c>
      <c r="BP735" s="3">
        <v>45175</v>
      </c>
      <c r="BQ735" s="1">
        <v>4.5</v>
      </c>
      <c r="BR735" s="3">
        <v>45175</v>
      </c>
      <c r="BS735" s="1">
        <v>4.16</v>
      </c>
      <c r="BT735" s="3">
        <v>45175</v>
      </c>
      <c r="BU735" s="1">
        <v>3.92</v>
      </c>
      <c r="BV735" s="3">
        <v>45175</v>
      </c>
      <c r="BW735" s="1">
        <v>3.7650000000000001</v>
      </c>
      <c r="BY735" s="3">
        <v>45133</v>
      </c>
      <c r="BZ735" s="1">
        <v>13</v>
      </c>
      <c r="CA735" s="3">
        <v>45125</v>
      </c>
      <c r="CB735" s="1">
        <v>15.06</v>
      </c>
      <c r="CC735" s="3">
        <v>45175</v>
      </c>
      <c r="CD735" s="1">
        <v>12.276</v>
      </c>
      <c r="CE735" s="3">
        <v>45175</v>
      </c>
      <c r="CF735" s="1">
        <v>11.407999999999999</v>
      </c>
      <c r="CG735" s="3">
        <v>45175</v>
      </c>
      <c r="CH735" s="1">
        <v>10.8</v>
      </c>
      <c r="CI735" s="3">
        <v>45175</v>
      </c>
      <c r="CJ735" s="1">
        <v>9.35</v>
      </c>
      <c r="CK735" s="3">
        <v>45175</v>
      </c>
      <c r="CL735" s="1">
        <v>8.15</v>
      </c>
      <c r="CM735" s="3">
        <v>45175</v>
      </c>
      <c r="CN735" s="1">
        <v>7.3650000000000002</v>
      </c>
      <c r="CO735" s="3">
        <v>45167</v>
      </c>
      <c r="CP735" s="1">
        <v>6.9450000000000003</v>
      </c>
      <c r="CQ735" s="3">
        <v>45167</v>
      </c>
      <c r="CR735" s="1">
        <v>6.59</v>
      </c>
      <c r="CS735" s="3">
        <v>45167</v>
      </c>
      <c r="CT735" s="1">
        <v>6.165</v>
      </c>
    </row>
    <row r="736" spans="31:98" x14ac:dyDescent="0.2">
      <c r="AE736" s="3">
        <v>45166</v>
      </c>
      <c r="AF736" s="1">
        <v>6.75</v>
      </c>
      <c r="AG736" s="3">
        <v>45132</v>
      </c>
      <c r="AH736" s="1">
        <v>6.73</v>
      </c>
      <c r="AI736" s="3">
        <v>45174</v>
      </c>
      <c r="AJ736" s="2">
        <v>6.3727</v>
      </c>
      <c r="AK736" s="3">
        <v>45174</v>
      </c>
      <c r="AL736" s="2">
        <v>6.1124999999999998</v>
      </c>
      <c r="AM736" s="3">
        <v>45174</v>
      </c>
      <c r="AN736" s="2">
        <v>5.8224999999999998</v>
      </c>
      <c r="AO736" s="3">
        <v>45174</v>
      </c>
      <c r="AP736" s="2">
        <v>5.1124999999999998</v>
      </c>
      <c r="AQ736" s="3">
        <v>45174</v>
      </c>
      <c r="AR736" s="2">
        <v>4.6325000000000003</v>
      </c>
      <c r="AS736" s="3">
        <v>45174</v>
      </c>
      <c r="AT736" s="2">
        <v>4.3825000000000003</v>
      </c>
      <c r="AU736" s="3">
        <v>45174</v>
      </c>
      <c r="AV736" s="2">
        <v>4.1624999999999996</v>
      </c>
      <c r="AW736" s="3">
        <v>45174</v>
      </c>
      <c r="AX736" s="2">
        <v>3.99</v>
      </c>
      <c r="AY736" s="3">
        <v>45174</v>
      </c>
      <c r="AZ736" s="2">
        <v>3.8475000000000001</v>
      </c>
      <c r="BB736" s="3">
        <v>45117</v>
      </c>
      <c r="BC736" s="1">
        <v>7</v>
      </c>
      <c r="BD736" s="3">
        <v>45133</v>
      </c>
      <c r="BE736" s="1">
        <v>7.1</v>
      </c>
      <c r="BF736" s="3">
        <v>45174</v>
      </c>
      <c r="BG736" s="1">
        <v>7.0449999999999999</v>
      </c>
      <c r="BH736" s="3">
        <v>45174</v>
      </c>
      <c r="BI736" s="1">
        <v>6.92</v>
      </c>
      <c r="BJ736" s="3">
        <v>45174</v>
      </c>
      <c r="BK736" s="1">
        <v>6.875</v>
      </c>
      <c r="BL736" s="3">
        <v>45174</v>
      </c>
      <c r="BM736" s="1">
        <v>6.19</v>
      </c>
      <c r="BN736" s="3">
        <v>45174</v>
      </c>
      <c r="BO736" s="1">
        <v>5.3029999999999999</v>
      </c>
      <c r="BP736" s="3">
        <v>45174</v>
      </c>
      <c r="BQ736" s="1">
        <v>4.5199999999999996</v>
      </c>
      <c r="BR736" s="3">
        <v>45174</v>
      </c>
      <c r="BS736" s="1">
        <v>4.1950000000000003</v>
      </c>
      <c r="BT736" s="3">
        <v>45174</v>
      </c>
      <c r="BU736" s="1">
        <v>3.88</v>
      </c>
      <c r="BV736" s="3">
        <v>45174</v>
      </c>
      <c r="BW736" s="1">
        <v>3.7229999999999999</v>
      </c>
      <c r="BY736" s="3">
        <v>45132</v>
      </c>
      <c r="BZ736" s="1">
        <v>13</v>
      </c>
      <c r="CA736" s="3">
        <v>45124</v>
      </c>
      <c r="CB736" s="1">
        <v>15.1</v>
      </c>
      <c r="CC736" s="3">
        <v>45174</v>
      </c>
      <c r="CD736" s="1">
        <v>12.331</v>
      </c>
      <c r="CE736" s="3">
        <v>45174</v>
      </c>
      <c r="CF736" s="1">
        <v>11.51</v>
      </c>
      <c r="CG736" s="3">
        <v>45174</v>
      </c>
      <c r="CH736" s="1">
        <v>10.9</v>
      </c>
      <c r="CI736" s="3">
        <v>45174</v>
      </c>
      <c r="CJ736" s="1">
        <v>9.4499999999999993</v>
      </c>
      <c r="CK736" s="3">
        <v>45174</v>
      </c>
      <c r="CL736" s="1">
        <v>8.1999999999999993</v>
      </c>
      <c r="CM736" s="3">
        <v>45174</v>
      </c>
      <c r="CN736" s="1">
        <v>7.27</v>
      </c>
      <c r="CO736" s="3">
        <v>45166</v>
      </c>
      <c r="CP736" s="1">
        <v>6.92</v>
      </c>
      <c r="CQ736" s="3">
        <v>45166</v>
      </c>
      <c r="CR736" s="1">
        <v>6.5650000000000004</v>
      </c>
      <c r="CS736" s="3">
        <v>45166</v>
      </c>
      <c r="CT736" s="1">
        <v>6.14</v>
      </c>
    </row>
    <row r="737" spans="31:98" x14ac:dyDescent="0.2">
      <c r="AE737" s="3">
        <v>45163</v>
      </c>
      <c r="AF737" s="1">
        <v>6.75</v>
      </c>
      <c r="AG737" s="3">
        <v>45131</v>
      </c>
      <c r="AH737" s="1">
        <v>6.74</v>
      </c>
      <c r="AI737" s="3">
        <v>45173</v>
      </c>
      <c r="AJ737" s="2">
        <v>6.3846999999999996</v>
      </c>
      <c r="AK737" s="3">
        <v>45173</v>
      </c>
      <c r="AL737" s="2">
        <v>6.08</v>
      </c>
      <c r="AM737" s="3">
        <v>45173</v>
      </c>
      <c r="AN737" s="2">
        <v>5.8150000000000004</v>
      </c>
      <c r="AO737" s="3">
        <v>45173</v>
      </c>
      <c r="AP737" s="2">
        <v>5.0999999999999996</v>
      </c>
      <c r="AQ737" s="3">
        <v>45173</v>
      </c>
      <c r="AR737" s="2">
        <v>4.6749999999999998</v>
      </c>
      <c r="AS737" s="3">
        <v>45173</v>
      </c>
      <c r="AT737" s="2">
        <v>4.4050000000000002</v>
      </c>
      <c r="AU737" s="3">
        <v>45173</v>
      </c>
      <c r="AV737" s="2">
        <v>4.1749999999999998</v>
      </c>
      <c r="AW737" s="3">
        <v>45173</v>
      </c>
      <c r="AX737" s="2">
        <v>3.98</v>
      </c>
      <c r="AY737" s="3">
        <v>45173</v>
      </c>
      <c r="AZ737" s="2">
        <v>3.84</v>
      </c>
      <c r="BB737" s="3">
        <v>45114</v>
      </c>
      <c r="BC737" s="1">
        <v>7</v>
      </c>
      <c r="BD737" s="3">
        <v>45132</v>
      </c>
      <c r="BE737" s="1">
        <v>7.1</v>
      </c>
      <c r="BF737" s="3">
        <v>45173</v>
      </c>
      <c r="BG737" s="1">
        <v>7.04</v>
      </c>
      <c r="BH737" s="3">
        <v>45173</v>
      </c>
      <c r="BI737" s="1">
        <v>6.99</v>
      </c>
      <c r="BJ737" s="3">
        <v>45173</v>
      </c>
      <c r="BK737" s="1">
        <v>6.85</v>
      </c>
      <c r="BL737" s="3">
        <v>45173</v>
      </c>
      <c r="BM737" s="1">
        <v>6.093</v>
      </c>
      <c r="BN737" s="3">
        <v>45173</v>
      </c>
      <c r="BO737" s="1">
        <v>5.16</v>
      </c>
      <c r="BP737" s="3">
        <v>45173</v>
      </c>
      <c r="BQ737" s="1">
        <v>4.4000000000000004</v>
      </c>
      <c r="BR737" s="3">
        <v>45173</v>
      </c>
      <c r="BS737" s="1">
        <v>4.0999999999999996</v>
      </c>
      <c r="BT737" s="3">
        <v>45173</v>
      </c>
      <c r="BU737" s="1">
        <v>3.8</v>
      </c>
      <c r="BV737" s="3">
        <v>45173</v>
      </c>
      <c r="BW737" s="1">
        <v>3.62</v>
      </c>
      <c r="BY737" s="3">
        <v>45131</v>
      </c>
      <c r="BZ737" s="1">
        <v>13</v>
      </c>
      <c r="CA737" s="3">
        <v>45121</v>
      </c>
      <c r="CB737" s="1">
        <v>15.13</v>
      </c>
      <c r="CC737" s="3">
        <v>45173</v>
      </c>
      <c r="CD737" s="1">
        <v>12.374000000000001</v>
      </c>
      <c r="CE737" s="3">
        <v>45173</v>
      </c>
      <c r="CF737" s="1">
        <v>11.483000000000001</v>
      </c>
      <c r="CG737" s="3">
        <v>45173</v>
      </c>
      <c r="CH737" s="1">
        <v>10.75</v>
      </c>
      <c r="CI737" s="3">
        <v>45173</v>
      </c>
      <c r="CJ737" s="1">
        <v>9.3000000000000007</v>
      </c>
      <c r="CK737" s="3">
        <v>45173</v>
      </c>
      <c r="CL737" s="1">
        <v>8.0500000000000007</v>
      </c>
      <c r="CM737" s="3">
        <v>45173</v>
      </c>
      <c r="CN737" s="1">
        <v>7.1</v>
      </c>
      <c r="CO737" s="3">
        <v>45163</v>
      </c>
      <c r="CP737" s="1">
        <v>6.92</v>
      </c>
      <c r="CQ737" s="3">
        <v>45163</v>
      </c>
      <c r="CR737" s="1">
        <v>6.5650000000000004</v>
      </c>
      <c r="CS737" s="3">
        <v>45163</v>
      </c>
      <c r="CT737" s="1">
        <v>6.14</v>
      </c>
    </row>
    <row r="738" spans="31:98" x14ac:dyDescent="0.2">
      <c r="AE738" s="3">
        <v>45162</v>
      </c>
      <c r="AF738" s="1">
        <v>6.75</v>
      </c>
      <c r="AG738" s="3">
        <v>45128</v>
      </c>
      <c r="AH738" s="1">
        <v>6.76</v>
      </c>
      <c r="AI738" s="3">
        <v>45170</v>
      </c>
      <c r="AJ738" s="2">
        <v>6.3818000000000001</v>
      </c>
      <c r="AK738" s="3">
        <v>45170</v>
      </c>
      <c r="AL738" s="2">
        <v>6.0575000000000001</v>
      </c>
      <c r="AM738" s="3">
        <v>45170</v>
      </c>
      <c r="AN738" s="2">
        <v>5.79</v>
      </c>
      <c r="AO738" s="3">
        <v>45170</v>
      </c>
      <c r="AP738" s="2">
        <v>5.1425000000000001</v>
      </c>
      <c r="AQ738" s="3">
        <v>45170</v>
      </c>
      <c r="AR738" s="2">
        <v>4.6675000000000004</v>
      </c>
      <c r="AS738" s="3">
        <v>45170</v>
      </c>
      <c r="AT738" s="2">
        <v>4.4050000000000002</v>
      </c>
      <c r="AU738" s="3">
        <v>45170</v>
      </c>
      <c r="AV738" s="2">
        <v>4.1749999999999998</v>
      </c>
      <c r="AW738" s="3">
        <v>45170</v>
      </c>
      <c r="AX738" s="2">
        <v>3.98</v>
      </c>
      <c r="AY738" s="3">
        <v>45170</v>
      </c>
      <c r="AZ738" s="2">
        <v>3.85</v>
      </c>
      <c r="BB738" s="3">
        <v>45111</v>
      </c>
      <c r="BC738" s="1">
        <v>7</v>
      </c>
      <c r="BD738" s="3">
        <v>45131</v>
      </c>
      <c r="BE738" s="1">
        <v>7.1</v>
      </c>
      <c r="BF738" s="3">
        <v>45170</v>
      </c>
      <c r="BG738" s="1">
        <v>7.0250000000000004</v>
      </c>
      <c r="BH738" s="3">
        <v>45170</v>
      </c>
      <c r="BI738" s="1">
        <v>6.9880000000000004</v>
      </c>
      <c r="BJ738" s="3">
        <v>45170</v>
      </c>
      <c r="BK738" s="1">
        <v>6.835</v>
      </c>
      <c r="BL738" s="3">
        <v>45170</v>
      </c>
      <c r="BM738" s="1">
        <v>6.05</v>
      </c>
      <c r="BN738" s="3">
        <v>45170</v>
      </c>
      <c r="BO738" s="1">
        <v>5.1050000000000004</v>
      </c>
      <c r="BP738" s="3">
        <v>45170</v>
      </c>
      <c r="BQ738" s="1">
        <v>4.33</v>
      </c>
      <c r="BR738" s="3">
        <v>45170</v>
      </c>
      <c r="BS738" s="1">
        <v>4.0149999999999997</v>
      </c>
      <c r="BT738" s="3">
        <v>45170</v>
      </c>
      <c r="BU738" s="1">
        <v>3.71</v>
      </c>
      <c r="BV738" s="3">
        <v>45170</v>
      </c>
      <c r="BW738" s="1">
        <v>3.56</v>
      </c>
      <c r="BY738" s="3">
        <v>45128</v>
      </c>
      <c r="BZ738" s="1">
        <v>13</v>
      </c>
      <c r="CA738" s="3">
        <v>45120</v>
      </c>
      <c r="CB738" s="1">
        <v>15.14</v>
      </c>
      <c r="CC738" s="3">
        <v>45170</v>
      </c>
      <c r="CD738" s="1">
        <v>12.395</v>
      </c>
      <c r="CE738" s="3">
        <v>45170</v>
      </c>
      <c r="CF738" s="1">
        <v>11.493</v>
      </c>
      <c r="CG738" s="3">
        <v>45170</v>
      </c>
      <c r="CH738" s="1">
        <v>10.75</v>
      </c>
      <c r="CI738" s="3">
        <v>45170</v>
      </c>
      <c r="CJ738" s="1">
        <v>9.3000000000000007</v>
      </c>
      <c r="CK738" s="3">
        <v>45170</v>
      </c>
      <c r="CL738" s="1">
        <v>8.0500000000000007</v>
      </c>
      <c r="CM738" s="3">
        <v>45170</v>
      </c>
      <c r="CN738" s="1">
        <v>7.1050000000000004</v>
      </c>
      <c r="CO738" s="3">
        <v>45162</v>
      </c>
      <c r="CP738" s="1">
        <v>7.01</v>
      </c>
      <c r="CQ738" s="3">
        <v>45162</v>
      </c>
      <c r="CR738" s="1">
        <v>6.665</v>
      </c>
      <c r="CS738" s="3">
        <v>45162</v>
      </c>
      <c r="CT738" s="1">
        <v>6.2</v>
      </c>
    </row>
    <row r="739" spans="31:98" x14ac:dyDescent="0.2">
      <c r="AE739" s="3">
        <v>45161</v>
      </c>
      <c r="AF739" s="1">
        <v>6.75</v>
      </c>
      <c r="AG739" s="3">
        <v>45127</v>
      </c>
      <c r="AH739" s="1">
        <v>6.78</v>
      </c>
      <c r="AI739" s="3">
        <v>45169</v>
      </c>
      <c r="AJ739" s="2">
        <v>6.3925999999999998</v>
      </c>
      <c r="AK739" s="3">
        <v>45169</v>
      </c>
      <c r="AL739" s="2">
        <v>6.05</v>
      </c>
      <c r="AM739" s="3">
        <v>45169</v>
      </c>
      <c r="AN739" s="2">
        <v>5.77</v>
      </c>
      <c r="AO739" s="3">
        <v>45169</v>
      </c>
      <c r="AP739" s="2">
        <v>5.1100000000000003</v>
      </c>
      <c r="AQ739" s="3">
        <v>45169</v>
      </c>
      <c r="AR739" s="2">
        <v>4.5999999999999996</v>
      </c>
      <c r="AS739" s="3">
        <v>45169</v>
      </c>
      <c r="AT739" s="2">
        <v>4.33</v>
      </c>
      <c r="AU739" s="3">
        <v>45169</v>
      </c>
      <c r="AV739" s="2">
        <v>4.0999999999999996</v>
      </c>
      <c r="AW739" s="3">
        <v>45169</v>
      </c>
      <c r="AX739" s="2">
        <v>3.9049999999999998</v>
      </c>
      <c r="AY739" s="3">
        <v>45169</v>
      </c>
      <c r="AZ739" s="2">
        <v>3.7749999999999999</v>
      </c>
      <c r="BB739" s="3">
        <v>45110</v>
      </c>
      <c r="BC739" s="1">
        <v>7</v>
      </c>
      <c r="BD739" s="3">
        <v>45128</v>
      </c>
      <c r="BE739" s="1">
        <v>7.1</v>
      </c>
      <c r="BF739" s="3">
        <v>45169</v>
      </c>
      <c r="BG739" s="1">
        <v>7.02</v>
      </c>
      <c r="BH739" s="3">
        <v>45169</v>
      </c>
      <c r="BI739" s="1">
        <v>6.97</v>
      </c>
      <c r="BJ739" s="3">
        <v>45169</v>
      </c>
      <c r="BK739" s="1">
        <v>6.8150000000000004</v>
      </c>
      <c r="BL739" s="3">
        <v>45169</v>
      </c>
      <c r="BM739" s="1">
        <v>6</v>
      </c>
      <c r="BN739" s="3">
        <v>45169</v>
      </c>
      <c r="BO739" s="1">
        <v>5.0330000000000004</v>
      </c>
      <c r="BP739" s="3">
        <v>45169</v>
      </c>
      <c r="BQ739" s="1">
        <v>4.2249999999999996</v>
      </c>
      <c r="BR739" s="3">
        <v>45169</v>
      </c>
      <c r="BS739" s="1">
        <v>3.903</v>
      </c>
      <c r="BT739" s="3">
        <v>45169</v>
      </c>
      <c r="BU739" s="1">
        <v>3.625</v>
      </c>
      <c r="BV739" s="3">
        <v>45169</v>
      </c>
      <c r="BW739" s="1">
        <v>3.4729999999999999</v>
      </c>
      <c r="BY739" s="3">
        <v>45127</v>
      </c>
      <c r="BZ739" s="1">
        <v>13</v>
      </c>
      <c r="CA739" s="3">
        <v>45119</v>
      </c>
      <c r="CB739" s="1">
        <v>15.16</v>
      </c>
      <c r="CC739" s="3">
        <v>45169</v>
      </c>
      <c r="CD739" s="1">
        <v>12.407999999999999</v>
      </c>
      <c r="CE739" s="3">
        <v>45169</v>
      </c>
      <c r="CF739" s="1">
        <v>11.47</v>
      </c>
      <c r="CG739" s="3">
        <v>45169</v>
      </c>
      <c r="CH739" s="1">
        <v>10.75</v>
      </c>
      <c r="CI739" s="3">
        <v>45169</v>
      </c>
      <c r="CJ739" s="1">
        <v>9.3000000000000007</v>
      </c>
      <c r="CK739" s="3">
        <v>45169</v>
      </c>
      <c r="CL739" s="1">
        <v>8.0500000000000007</v>
      </c>
      <c r="CM739" s="3">
        <v>45169</v>
      </c>
      <c r="CN739" s="1">
        <v>7.12</v>
      </c>
      <c r="CO739" s="3">
        <v>45161</v>
      </c>
      <c r="CP739" s="1">
        <v>7.1849999999999996</v>
      </c>
      <c r="CQ739" s="3">
        <v>45161</v>
      </c>
      <c r="CR739" s="1">
        <v>6.84</v>
      </c>
      <c r="CS739" s="3">
        <v>45161</v>
      </c>
      <c r="CT739" s="1">
        <v>6.53</v>
      </c>
    </row>
    <row r="740" spans="31:98" x14ac:dyDescent="0.2">
      <c r="AE740" s="3">
        <v>45160</v>
      </c>
      <c r="AF740" s="1">
        <v>6.75</v>
      </c>
      <c r="AG740" s="3">
        <v>45126</v>
      </c>
      <c r="AH740" s="1">
        <v>6.79</v>
      </c>
      <c r="AI740" s="3">
        <v>45168</v>
      </c>
      <c r="AJ740" s="2">
        <v>6.3864999999999998</v>
      </c>
      <c r="AK740" s="3">
        <v>45168</v>
      </c>
      <c r="AL740" s="2">
        <v>6</v>
      </c>
      <c r="AM740" s="3">
        <v>45168</v>
      </c>
      <c r="AN740" s="2">
        <v>5.73</v>
      </c>
      <c r="AO740" s="3">
        <v>45168</v>
      </c>
      <c r="AP740" s="2">
        <v>5.08</v>
      </c>
      <c r="AQ740" s="3">
        <v>45168</v>
      </c>
      <c r="AR740" s="2">
        <v>4.6025</v>
      </c>
      <c r="AS740" s="3">
        <v>45168</v>
      </c>
      <c r="AT740" s="2">
        <v>4.3250000000000002</v>
      </c>
      <c r="AU740" s="3">
        <v>45168</v>
      </c>
      <c r="AV740" s="2">
        <v>4.07</v>
      </c>
      <c r="AW740" s="3">
        <v>45168</v>
      </c>
      <c r="AX740" s="2">
        <v>3.8650000000000002</v>
      </c>
      <c r="AY740" s="3">
        <v>45168</v>
      </c>
      <c r="AZ740" s="2">
        <v>3.74</v>
      </c>
      <c r="BB740" s="3">
        <v>45107</v>
      </c>
      <c r="BC740" s="1">
        <v>7</v>
      </c>
      <c r="BD740" s="3">
        <v>45127</v>
      </c>
      <c r="BE740" s="1">
        <v>7.1</v>
      </c>
      <c r="BF740" s="3">
        <v>45168</v>
      </c>
      <c r="BG740" s="1">
        <v>7.0549999999999997</v>
      </c>
      <c r="BH740" s="3">
        <v>45168</v>
      </c>
      <c r="BI740" s="1">
        <v>6.9749999999999996</v>
      </c>
      <c r="BJ740" s="3">
        <v>45168</v>
      </c>
      <c r="BK740" s="1">
        <v>6.7949999999999999</v>
      </c>
      <c r="BL740" s="3">
        <v>45168</v>
      </c>
      <c r="BM740" s="1">
        <v>6.0149999999999997</v>
      </c>
      <c r="BN740" s="3">
        <v>45168</v>
      </c>
      <c r="BO740" s="1">
        <v>5.0549999999999997</v>
      </c>
      <c r="BP740" s="3">
        <v>45168</v>
      </c>
      <c r="BQ740" s="1">
        <v>4.3</v>
      </c>
      <c r="BR740" s="3">
        <v>45168</v>
      </c>
      <c r="BS740" s="1">
        <v>3.93</v>
      </c>
      <c r="BT740" s="3">
        <v>45168</v>
      </c>
      <c r="BU740" s="1">
        <v>3.6230000000000002</v>
      </c>
      <c r="BV740" s="3">
        <v>45168</v>
      </c>
      <c r="BW740" s="1">
        <v>3.4929999999999999</v>
      </c>
      <c r="BY740" s="3">
        <v>45126</v>
      </c>
      <c r="BZ740" s="1">
        <v>13</v>
      </c>
      <c r="CA740" s="3">
        <v>45118</v>
      </c>
      <c r="CB740" s="1">
        <v>15.15</v>
      </c>
      <c r="CC740" s="3">
        <v>45168</v>
      </c>
      <c r="CD740" s="1">
        <v>12.452999999999999</v>
      </c>
      <c r="CE740" s="3">
        <v>45168</v>
      </c>
      <c r="CF740" s="1">
        <v>11.502000000000001</v>
      </c>
      <c r="CG740" s="3">
        <v>45168</v>
      </c>
      <c r="CH740" s="1">
        <v>10.77</v>
      </c>
      <c r="CI740" s="3">
        <v>45168</v>
      </c>
      <c r="CJ740" s="1">
        <v>9.27</v>
      </c>
      <c r="CK740" s="3">
        <v>45168</v>
      </c>
      <c r="CL740" s="1">
        <v>8.07</v>
      </c>
      <c r="CM740" s="3">
        <v>45168</v>
      </c>
      <c r="CN740" s="1">
        <v>7.1150000000000002</v>
      </c>
      <c r="CO740" s="3">
        <v>45160</v>
      </c>
      <c r="CP740" s="1">
        <v>7.52</v>
      </c>
      <c r="CQ740" s="3">
        <v>45160</v>
      </c>
      <c r="CR740" s="1">
        <v>7.1550000000000002</v>
      </c>
      <c r="CS740" s="3">
        <v>45160</v>
      </c>
      <c r="CT740" s="1">
        <v>6.81</v>
      </c>
    </row>
    <row r="741" spans="31:98" x14ac:dyDescent="0.2">
      <c r="AE741" s="3">
        <v>45159</v>
      </c>
      <c r="AF741" s="1">
        <v>6.75</v>
      </c>
      <c r="AG741" s="3">
        <v>45125</v>
      </c>
      <c r="AH741" s="1">
        <v>6.8</v>
      </c>
      <c r="AI741" s="3">
        <v>45167</v>
      </c>
      <c r="AJ741" s="2">
        <v>6.4303999999999997</v>
      </c>
      <c r="AK741" s="3">
        <v>45167</v>
      </c>
      <c r="AL741" s="2">
        <v>6.0949999999999998</v>
      </c>
      <c r="AM741" s="3">
        <v>45167</v>
      </c>
      <c r="AN741" s="2">
        <v>5.84</v>
      </c>
      <c r="AO741" s="3">
        <v>45167</v>
      </c>
      <c r="AP741" s="2">
        <v>5.1950000000000003</v>
      </c>
      <c r="AQ741" s="3">
        <v>45167</v>
      </c>
      <c r="AR741" s="2">
        <v>4.7549999999999999</v>
      </c>
      <c r="AS741" s="3">
        <v>45167</v>
      </c>
      <c r="AT741" s="2">
        <v>4.4775</v>
      </c>
      <c r="AU741" s="3">
        <v>45167</v>
      </c>
      <c r="AV741" s="2">
        <v>4.2225000000000001</v>
      </c>
      <c r="AW741" s="3">
        <v>45167</v>
      </c>
      <c r="AX741" s="2">
        <v>3.9975000000000001</v>
      </c>
      <c r="AY741" s="3">
        <v>45167</v>
      </c>
      <c r="AZ741" s="2">
        <v>3.8424999999999998</v>
      </c>
      <c r="BB741" s="3">
        <v>45106</v>
      </c>
      <c r="BC741" s="1">
        <v>7</v>
      </c>
      <c r="BD741" s="3">
        <v>45126</v>
      </c>
      <c r="BE741" s="1">
        <v>7.1</v>
      </c>
      <c r="BF741" s="3">
        <v>45167</v>
      </c>
      <c r="BG741" s="1">
        <v>7.0650000000000004</v>
      </c>
      <c r="BH741" s="3">
        <v>45167</v>
      </c>
      <c r="BI741" s="1">
        <v>6.97</v>
      </c>
      <c r="BJ741" s="3">
        <v>45167</v>
      </c>
      <c r="BK741" s="1">
        <v>6.7949999999999999</v>
      </c>
      <c r="BL741" s="3">
        <v>45167</v>
      </c>
      <c r="BM741" s="1">
        <v>6.05</v>
      </c>
      <c r="BN741" s="3">
        <v>45167</v>
      </c>
      <c r="BO741" s="1">
        <v>5.1100000000000003</v>
      </c>
      <c r="BP741" s="3">
        <v>45167</v>
      </c>
      <c r="BQ741" s="1">
        <v>4.38</v>
      </c>
      <c r="BR741" s="3">
        <v>45167</v>
      </c>
      <c r="BS741" s="1">
        <v>4.03</v>
      </c>
      <c r="BT741" s="3">
        <v>45167</v>
      </c>
      <c r="BU741" s="1">
        <v>3.72</v>
      </c>
      <c r="BV741" s="3">
        <v>45167</v>
      </c>
      <c r="BW741" s="1">
        <v>3.5880000000000001</v>
      </c>
      <c r="BY741" s="3">
        <v>45125</v>
      </c>
      <c r="BZ741" s="1">
        <v>13</v>
      </c>
      <c r="CA741" s="3">
        <v>45117</v>
      </c>
      <c r="CB741" s="1">
        <v>15.15</v>
      </c>
      <c r="CC741" s="3">
        <v>45167</v>
      </c>
      <c r="CD741" s="1">
        <v>12.917999999999999</v>
      </c>
      <c r="CE741" s="3">
        <v>45167</v>
      </c>
      <c r="CF741" s="1">
        <v>11.859</v>
      </c>
      <c r="CG741" s="3">
        <v>45167</v>
      </c>
      <c r="CH741" s="1">
        <v>11.07</v>
      </c>
      <c r="CI741" s="3">
        <v>45167</v>
      </c>
      <c r="CJ741" s="1">
        <v>9.5500000000000007</v>
      </c>
      <c r="CK741" s="3">
        <v>45167</v>
      </c>
      <c r="CL741" s="1">
        <v>8.32</v>
      </c>
      <c r="CM741" s="3">
        <v>45167</v>
      </c>
      <c r="CN741" s="1">
        <v>7.39</v>
      </c>
      <c r="CO741" s="3">
        <v>45159</v>
      </c>
      <c r="CP741" s="1">
        <v>7.76</v>
      </c>
      <c r="CQ741" s="3">
        <v>45159</v>
      </c>
      <c r="CR741" s="1">
        <v>7.2249999999999996</v>
      </c>
      <c r="CS741" s="3">
        <v>45159</v>
      </c>
      <c r="CT741" s="1">
        <v>6.72</v>
      </c>
    </row>
    <row r="742" spans="31:98" x14ac:dyDescent="0.2">
      <c r="AE742" s="3">
        <v>45156</v>
      </c>
      <c r="AF742" s="1">
        <v>6.75</v>
      </c>
      <c r="AG742" s="3">
        <v>45124</v>
      </c>
      <c r="AH742" s="1">
        <v>6.81</v>
      </c>
      <c r="AI742" s="3">
        <v>45166</v>
      </c>
      <c r="AJ742" s="2">
        <v>6.4378000000000002</v>
      </c>
      <c r="AK742" s="3">
        <v>45166</v>
      </c>
      <c r="AL742" s="2">
        <v>6.11</v>
      </c>
      <c r="AM742" s="3">
        <v>45166</v>
      </c>
      <c r="AN742" s="2">
        <v>5.92</v>
      </c>
      <c r="AO742" s="3">
        <v>45166</v>
      </c>
      <c r="AP742" s="2">
        <v>5.3375000000000004</v>
      </c>
      <c r="AQ742" s="3">
        <v>45166</v>
      </c>
      <c r="AR742" s="2">
        <v>4.8899999999999997</v>
      </c>
      <c r="AS742" s="3">
        <v>45166</v>
      </c>
      <c r="AT742" s="2">
        <v>4.6074999999999999</v>
      </c>
      <c r="AU742" s="3">
        <v>45166</v>
      </c>
      <c r="AV742" s="2">
        <v>4.3525</v>
      </c>
      <c r="AW742" s="3">
        <v>45166</v>
      </c>
      <c r="AX742" s="2">
        <v>4.1425000000000001</v>
      </c>
      <c r="AY742" s="3">
        <v>45166</v>
      </c>
      <c r="AZ742" s="2">
        <v>3.9925000000000002</v>
      </c>
      <c r="BB742" s="3">
        <v>45105</v>
      </c>
      <c r="BC742" s="1">
        <v>7</v>
      </c>
      <c r="BD742" s="3">
        <v>45125</v>
      </c>
      <c r="BE742" s="1">
        <v>7.1</v>
      </c>
      <c r="BF742" s="3">
        <v>45166</v>
      </c>
      <c r="BG742" s="1">
        <v>7.07</v>
      </c>
      <c r="BH742" s="3">
        <v>45166</v>
      </c>
      <c r="BI742" s="1">
        <v>6.9779999999999998</v>
      </c>
      <c r="BJ742" s="3">
        <v>45166</v>
      </c>
      <c r="BK742" s="1">
        <v>6.82</v>
      </c>
      <c r="BL742" s="3">
        <v>45166</v>
      </c>
      <c r="BM742" s="1">
        <v>6.13</v>
      </c>
      <c r="BN742" s="3">
        <v>45166</v>
      </c>
      <c r="BO742" s="1">
        <v>5.22</v>
      </c>
      <c r="BP742" s="3">
        <v>45166</v>
      </c>
      <c r="BQ742" s="1">
        <v>4.4749999999999996</v>
      </c>
      <c r="BR742" s="3">
        <v>45166</v>
      </c>
      <c r="BS742" s="1">
        <v>4.125</v>
      </c>
      <c r="BT742" s="3">
        <v>45166</v>
      </c>
      <c r="BU742" s="1">
        <v>3.8149999999999999</v>
      </c>
      <c r="BV742" s="3">
        <v>45166</v>
      </c>
      <c r="BW742" s="1">
        <v>3.67</v>
      </c>
      <c r="BY742" s="3">
        <v>45124</v>
      </c>
      <c r="BZ742" s="1">
        <v>13</v>
      </c>
      <c r="CA742" s="3">
        <v>45114</v>
      </c>
      <c r="CB742" s="1">
        <v>15.15</v>
      </c>
      <c r="CC742" s="3">
        <v>45166</v>
      </c>
      <c r="CD742" s="1">
        <v>12.91</v>
      </c>
      <c r="CE742" s="3">
        <v>45166</v>
      </c>
      <c r="CF742" s="1">
        <v>11.8</v>
      </c>
      <c r="CG742" s="3">
        <v>45166</v>
      </c>
      <c r="CH742" s="1">
        <v>10.98</v>
      </c>
      <c r="CI742" s="3">
        <v>45166</v>
      </c>
      <c r="CJ742" s="1">
        <v>9.49</v>
      </c>
      <c r="CK742" s="3">
        <v>45166</v>
      </c>
      <c r="CL742" s="1">
        <v>8.26</v>
      </c>
      <c r="CM742" s="3">
        <v>45166</v>
      </c>
      <c r="CN742" s="1">
        <v>7.3650000000000002</v>
      </c>
      <c r="CO742" s="3">
        <v>45156</v>
      </c>
      <c r="CP742" s="1">
        <v>7.51</v>
      </c>
      <c r="CQ742" s="3">
        <v>45156</v>
      </c>
      <c r="CR742" s="1">
        <v>6.9850000000000003</v>
      </c>
      <c r="CS742" s="3">
        <v>45156</v>
      </c>
      <c r="CT742" s="1">
        <v>6.4749999999999996</v>
      </c>
    </row>
    <row r="743" spans="31:98" x14ac:dyDescent="0.2">
      <c r="AE743" s="3">
        <v>45155</v>
      </c>
      <c r="AF743" s="1">
        <v>6.75</v>
      </c>
      <c r="AG743" s="3">
        <v>45121</v>
      </c>
      <c r="AH743" s="1">
        <v>6.83</v>
      </c>
      <c r="AI743" s="3">
        <v>45163</v>
      </c>
      <c r="AJ743" s="2">
        <v>6.4466999999999999</v>
      </c>
      <c r="AK743" s="3">
        <v>45163</v>
      </c>
      <c r="AL743" s="2">
        <v>6.11</v>
      </c>
      <c r="AM743" s="3">
        <v>45163</v>
      </c>
      <c r="AN743" s="2">
        <v>5.92</v>
      </c>
      <c r="AO743" s="3">
        <v>45163</v>
      </c>
      <c r="AP743" s="2">
        <v>5.3375000000000004</v>
      </c>
      <c r="AQ743" s="3">
        <v>45163</v>
      </c>
      <c r="AR743" s="2">
        <v>4.8899999999999997</v>
      </c>
      <c r="AS743" s="3">
        <v>45163</v>
      </c>
      <c r="AT743" s="2">
        <v>4.6074999999999999</v>
      </c>
      <c r="AU743" s="3">
        <v>45163</v>
      </c>
      <c r="AV743" s="2">
        <v>4.3525</v>
      </c>
      <c r="AW743" s="3">
        <v>45163</v>
      </c>
      <c r="AX743" s="2">
        <v>4.1425000000000001</v>
      </c>
      <c r="AY743" s="3">
        <v>45163</v>
      </c>
      <c r="AZ743" s="2">
        <v>3.9925000000000002</v>
      </c>
      <c r="BB743" s="3">
        <v>45104</v>
      </c>
      <c r="BC743" s="1">
        <v>7</v>
      </c>
      <c r="BD743" s="3">
        <v>45124</v>
      </c>
      <c r="BE743" s="1">
        <v>7.11</v>
      </c>
      <c r="BF743" s="3">
        <v>45163</v>
      </c>
      <c r="BG743" s="1">
        <v>7.07</v>
      </c>
      <c r="BH743" s="3">
        <v>45163</v>
      </c>
      <c r="BI743" s="1">
        <v>6.9779999999999998</v>
      </c>
      <c r="BJ743" s="3">
        <v>45163</v>
      </c>
      <c r="BK743" s="1">
        <v>6.82</v>
      </c>
      <c r="BL743" s="3">
        <v>45163</v>
      </c>
      <c r="BM743" s="1">
        <v>6.13</v>
      </c>
      <c r="BN743" s="3">
        <v>45163</v>
      </c>
      <c r="BO743" s="1">
        <v>5.22</v>
      </c>
      <c r="BP743" s="3">
        <v>45163</v>
      </c>
      <c r="BQ743" s="1">
        <v>4.4749999999999996</v>
      </c>
      <c r="BR743" s="3">
        <v>45163</v>
      </c>
      <c r="BS743" s="1">
        <v>4.125</v>
      </c>
      <c r="BT743" s="3">
        <v>45163</v>
      </c>
      <c r="BU743" s="1">
        <v>3.8149999999999999</v>
      </c>
      <c r="BV743" s="3">
        <v>45163</v>
      </c>
      <c r="BW743" s="1">
        <v>3.67</v>
      </c>
      <c r="BY743" s="3">
        <v>45121</v>
      </c>
      <c r="BZ743" s="1">
        <v>13</v>
      </c>
      <c r="CA743" s="3">
        <v>45113</v>
      </c>
      <c r="CB743" s="1">
        <v>15.14</v>
      </c>
      <c r="CC743" s="3">
        <v>45163</v>
      </c>
      <c r="CD743" s="1">
        <v>12.91</v>
      </c>
      <c r="CE743" s="3">
        <v>45163</v>
      </c>
      <c r="CF743" s="1">
        <v>11.8</v>
      </c>
      <c r="CG743" s="3">
        <v>45163</v>
      </c>
      <c r="CH743" s="1">
        <v>10.98</v>
      </c>
      <c r="CI743" s="3">
        <v>45163</v>
      </c>
      <c r="CJ743" s="1">
        <v>9.49</v>
      </c>
      <c r="CK743" s="3">
        <v>45163</v>
      </c>
      <c r="CL743" s="1">
        <v>8.26</v>
      </c>
      <c r="CM743" s="3">
        <v>45163</v>
      </c>
      <c r="CN743" s="1">
        <v>7.3650000000000002</v>
      </c>
      <c r="CO743" s="3">
        <v>45155</v>
      </c>
      <c r="CP743" s="1">
        <v>7.3250000000000002</v>
      </c>
      <c r="CQ743" s="3">
        <v>45155</v>
      </c>
      <c r="CR743" s="1">
        <v>6.79</v>
      </c>
      <c r="CS743" s="3">
        <v>45155</v>
      </c>
      <c r="CT743" s="1">
        <v>6.28</v>
      </c>
    </row>
    <row r="744" spans="31:98" x14ac:dyDescent="0.2">
      <c r="AE744" s="3">
        <v>45154</v>
      </c>
      <c r="AF744" s="1">
        <v>6.75</v>
      </c>
      <c r="AG744" s="3">
        <v>45120</v>
      </c>
      <c r="AH744" s="1">
        <v>6.84</v>
      </c>
      <c r="AI744" s="3">
        <v>45162</v>
      </c>
      <c r="AJ744" s="2">
        <v>6.4705000000000004</v>
      </c>
      <c r="AK744" s="3">
        <v>45162</v>
      </c>
      <c r="AL744" s="2">
        <v>6.1150000000000002</v>
      </c>
      <c r="AM744" s="3">
        <v>45162</v>
      </c>
      <c r="AN744" s="2">
        <v>5.91</v>
      </c>
      <c r="AO744" s="3">
        <v>45162</v>
      </c>
      <c r="AP744" s="2">
        <v>5.31</v>
      </c>
      <c r="AQ744" s="3">
        <v>45162</v>
      </c>
      <c r="AR744" s="2">
        <v>4.8600000000000003</v>
      </c>
      <c r="AS744" s="3">
        <v>45162</v>
      </c>
      <c r="AT744" s="2">
        <v>4.5774999999999997</v>
      </c>
      <c r="AU744" s="3">
        <v>45162</v>
      </c>
      <c r="AV744" s="2">
        <v>4.3224999999999998</v>
      </c>
      <c r="AW744" s="3">
        <v>45162</v>
      </c>
      <c r="AX744" s="2">
        <v>4.1124999999999998</v>
      </c>
      <c r="AY744" s="3">
        <v>45162</v>
      </c>
      <c r="AZ744" s="2">
        <v>3.9624999999999999</v>
      </c>
      <c r="BB744" s="3">
        <v>45103</v>
      </c>
      <c r="BC744" s="1">
        <v>7</v>
      </c>
      <c r="BD744" s="3">
        <v>45121</v>
      </c>
      <c r="BE744" s="1">
        <v>7.12</v>
      </c>
      <c r="BF744" s="3">
        <v>45162</v>
      </c>
      <c r="BG744" s="1">
        <v>7.07</v>
      </c>
      <c r="BH744" s="3">
        <v>45162</v>
      </c>
      <c r="BI744" s="1">
        <v>6.9749999999999996</v>
      </c>
      <c r="BJ744" s="3">
        <v>45162</v>
      </c>
      <c r="BK744" s="1">
        <v>6.8129999999999997</v>
      </c>
      <c r="BL744" s="3">
        <v>45162</v>
      </c>
      <c r="BM744" s="1">
        <v>6.11</v>
      </c>
      <c r="BN744" s="3">
        <v>45162</v>
      </c>
      <c r="BO744" s="1">
        <v>5.21</v>
      </c>
      <c r="BP744" s="3">
        <v>45162</v>
      </c>
      <c r="BQ744" s="1">
        <v>4.47</v>
      </c>
      <c r="BR744" s="3">
        <v>45162</v>
      </c>
      <c r="BS744" s="1">
        <v>4.1150000000000002</v>
      </c>
      <c r="BT744" s="3">
        <v>45162</v>
      </c>
      <c r="BU744" s="1">
        <v>3.8050000000000002</v>
      </c>
      <c r="BV744" s="3">
        <v>45162</v>
      </c>
      <c r="BW744" s="1">
        <v>3.66</v>
      </c>
      <c r="BY744" s="3">
        <v>45120</v>
      </c>
      <c r="BZ744" s="1">
        <v>13</v>
      </c>
      <c r="CA744" s="3">
        <v>45112</v>
      </c>
      <c r="CB744" s="1">
        <v>15.13</v>
      </c>
      <c r="CC744" s="3">
        <v>45162</v>
      </c>
      <c r="CD744" s="1">
        <v>13.08</v>
      </c>
      <c r="CE744" s="3">
        <v>45162</v>
      </c>
      <c r="CF744" s="1">
        <v>11.84</v>
      </c>
      <c r="CG744" s="3">
        <v>45162</v>
      </c>
      <c r="CH744" s="1">
        <v>11.03</v>
      </c>
      <c r="CI744" s="3">
        <v>45162</v>
      </c>
      <c r="CJ744" s="1">
        <v>9.5500000000000007</v>
      </c>
      <c r="CK744" s="3">
        <v>45162</v>
      </c>
      <c r="CL744" s="1">
        <v>8.33</v>
      </c>
      <c r="CM744" s="3">
        <v>45162</v>
      </c>
      <c r="CN744" s="1">
        <v>7.4</v>
      </c>
      <c r="CO744" s="3">
        <v>45154</v>
      </c>
      <c r="CP744" s="1">
        <v>7.27</v>
      </c>
      <c r="CQ744" s="3">
        <v>45154</v>
      </c>
      <c r="CR744" s="1">
        <v>6.73</v>
      </c>
      <c r="CS744" s="3">
        <v>45154</v>
      </c>
      <c r="CT744" s="1">
        <v>6.1950000000000003</v>
      </c>
    </row>
    <row r="745" spans="31:98" x14ac:dyDescent="0.2">
      <c r="AE745" s="3">
        <v>45153</v>
      </c>
      <c r="AF745" s="1">
        <v>6.75</v>
      </c>
      <c r="AG745" s="3">
        <v>45119</v>
      </c>
      <c r="AH745" s="1">
        <v>6.85</v>
      </c>
      <c r="AI745" s="3">
        <v>45161</v>
      </c>
      <c r="AJ745" s="2">
        <v>6.4276</v>
      </c>
      <c r="AK745" s="3">
        <v>45161</v>
      </c>
      <c r="AL745" s="2">
        <v>6.1349999999999998</v>
      </c>
      <c r="AM745" s="3">
        <v>45161</v>
      </c>
      <c r="AN745" s="2">
        <v>5.95</v>
      </c>
      <c r="AO745" s="3">
        <v>45161</v>
      </c>
      <c r="AP745" s="2">
        <v>5.3650000000000002</v>
      </c>
      <c r="AQ745" s="3">
        <v>45161</v>
      </c>
      <c r="AR745" s="2">
        <v>4.9175000000000004</v>
      </c>
      <c r="AS745" s="3">
        <v>45161</v>
      </c>
      <c r="AT745" s="2">
        <v>4.6425000000000001</v>
      </c>
      <c r="AU745" s="3">
        <v>45161</v>
      </c>
      <c r="AV745" s="2">
        <v>4.3849999999999998</v>
      </c>
      <c r="AW745" s="3">
        <v>45161</v>
      </c>
      <c r="AX745" s="2">
        <v>4.1900000000000004</v>
      </c>
      <c r="AY745" s="3">
        <v>45161</v>
      </c>
      <c r="AZ745" s="2">
        <v>4.0575000000000001</v>
      </c>
      <c r="BB745" s="3">
        <v>45100</v>
      </c>
      <c r="BC745" s="1">
        <v>7</v>
      </c>
      <c r="BD745" s="3">
        <v>45120</v>
      </c>
      <c r="BE745" s="1">
        <v>7.12</v>
      </c>
      <c r="BF745" s="3">
        <v>45161</v>
      </c>
      <c r="BG745" s="1">
        <v>7.1050000000000004</v>
      </c>
      <c r="BH745" s="3">
        <v>45161</v>
      </c>
      <c r="BI745" s="1">
        <v>6.9850000000000003</v>
      </c>
      <c r="BJ745" s="3">
        <v>45161</v>
      </c>
      <c r="BK745" s="1">
        <v>6.835</v>
      </c>
      <c r="BL745" s="3">
        <v>45161</v>
      </c>
      <c r="BM745" s="1">
        <v>6.19</v>
      </c>
      <c r="BN745" s="3">
        <v>45161</v>
      </c>
      <c r="BO745" s="1">
        <v>5.31</v>
      </c>
      <c r="BP745" s="3">
        <v>45161</v>
      </c>
      <c r="BQ745" s="1">
        <v>4.5999999999999996</v>
      </c>
      <c r="BR745" s="3">
        <v>45161</v>
      </c>
      <c r="BS745" s="1">
        <v>4.25</v>
      </c>
      <c r="BT745" s="3">
        <v>45161</v>
      </c>
      <c r="BU745" s="1">
        <v>3.94</v>
      </c>
      <c r="BV745" s="3">
        <v>45161</v>
      </c>
      <c r="BW745" s="1">
        <v>3.7949999999999999</v>
      </c>
      <c r="BY745" s="3">
        <v>45119</v>
      </c>
      <c r="BZ745" s="1">
        <v>13</v>
      </c>
      <c r="CA745" s="3">
        <v>45111</v>
      </c>
      <c r="CB745" s="1">
        <v>15.15</v>
      </c>
      <c r="CC745" s="3">
        <v>45161</v>
      </c>
      <c r="CD745" s="1">
        <v>13.12</v>
      </c>
      <c r="CE745" s="3">
        <v>45161</v>
      </c>
      <c r="CF745" s="1">
        <v>12.14</v>
      </c>
      <c r="CG745" s="3">
        <v>45161</v>
      </c>
      <c r="CH745" s="1">
        <v>11.07</v>
      </c>
      <c r="CI745" s="3">
        <v>45161</v>
      </c>
      <c r="CJ745" s="1">
        <v>9.6199999999999992</v>
      </c>
      <c r="CK745" s="3">
        <v>45161</v>
      </c>
      <c r="CL745" s="1">
        <v>8.42</v>
      </c>
      <c r="CM745" s="3">
        <v>45161</v>
      </c>
      <c r="CN745" s="1">
        <v>7.5949999999999998</v>
      </c>
      <c r="CO745" s="3">
        <v>45153</v>
      </c>
      <c r="CP745" s="1">
        <v>7.25</v>
      </c>
      <c r="CQ745" s="3">
        <v>45153</v>
      </c>
      <c r="CR745" s="1">
        <v>6.7</v>
      </c>
      <c r="CS745" s="3">
        <v>45153</v>
      </c>
      <c r="CT745" s="1">
        <v>6.15</v>
      </c>
    </row>
    <row r="746" spans="31:98" x14ac:dyDescent="0.2">
      <c r="AE746" s="3">
        <v>45152</v>
      </c>
      <c r="AF746" s="1">
        <v>6.75</v>
      </c>
      <c r="AG746" s="3">
        <v>45118</v>
      </c>
      <c r="AH746" s="1">
        <v>6.86</v>
      </c>
      <c r="AI746" s="3">
        <v>45160</v>
      </c>
      <c r="AJ746" s="2">
        <v>6.4459999999999997</v>
      </c>
      <c r="AK746" s="3">
        <v>45160</v>
      </c>
      <c r="AL746" s="2">
        <v>6.16</v>
      </c>
      <c r="AM746" s="3">
        <v>45160</v>
      </c>
      <c r="AN746" s="2">
        <v>6.03</v>
      </c>
      <c r="AO746" s="3">
        <v>45160</v>
      </c>
      <c r="AP746" s="2">
        <v>5.4749999999999996</v>
      </c>
      <c r="AQ746" s="3">
        <v>45160</v>
      </c>
      <c r="AR746" s="2">
        <v>5.0549999999999997</v>
      </c>
      <c r="AS746" s="3">
        <v>45160</v>
      </c>
      <c r="AT746" s="2">
        <v>4.7850000000000001</v>
      </c>
      <c r="AU746" s="3">
        <v>45160</v>
      </c>
      <c r="AV746" s="2">
        <v>4.53</v>
      </c>
      <c r="AW746" s="3">
        <v>45160</v>
      </c>
      <c r="AX746" s="2">
        <v>4.335</v>
      </c>
      <c r="AY746" s="3">
        <v>45160</v>
      </c>
      <c r="AZ746" s="2">
        <v>4.2024999999999997</v>
      </c>
      <c r="BB746" s="3">
        <v>45099</v>
      </c>
      <c r="BC746" s="1">
        <v>7</v>
      </c>
      <c r="BD746" s="3">
        <v>45119</v>
      </c>
      <c r="BE746" s="1">
        <v>7.13</v>
      </c>
      <c r="BF746" s="3">
        <v>45160</v>
      </c>
      <c r="BG746" s="1">
        <v>7.1079999999999997</v>
      </c>
      <c r="BH746" s="3">
        <v>45160</v>
      </c>
      <c r="BI746" s="1">
        <v>7.0350000000000001</v>
      </c>
      <c r="BJ746" s="3">
        <v>45160</v>
      </c>
      <c r="BK746" s="1">
        <v>6.9</v>
      </c>
      <c r="BL746" s="3">
        <v>45160</v>
      </c>
      <c r="BM746" s="1">
        <v>6.3049999999999997</v>
      </c>
      <c r="BN746" s="3">
        <v>45160</v>
      </c>
      <c r="BO746" s="1">
        <v>5.48</v>
      </c>
      <c r="BP746" s="3">
        <v>45160</v>
      </c>
      <c r="BQ746" s="1">
        <v>4.7699999999999996</v>
      </c>
      <c r="BR746" s="3">
        <v>45160</v>
      </c>
      <c r="BS746" s="1">
        <v>4.4349999999999996</v>
      </c>
      <c r="BT746" s="3">
        <v>45160</v>
      </c>
      <c r="BU746" s="1">
        <v>4.12</v>
      </c>
      <c r="BV746" s="3">
        <v>45160</v>
      </c>
      <c r="BW746" s="1">
        <v>3.98</v>
      </c>
      <c r="BY746" s="3">
        <v>45118</v>
      </c>
      <c r="BZ746" s="1">
        <v>13</v>
      </c>
      <c r="CA746" s="3">
        <v>45110</v>
      </c>
      <c r="CB746" s="1">
        <v>15.16</v>
      </c>
      <c r="CC746" s="3">
        <v>45160</v>
      </c>
      <c r="CD746" s="1">
        <v>13.2</v>
      </c>
      <c r="CE746" s="3">
        <v>45160</v>
      </c>
      <c r="CF746" s="1">
        <v>12.27</v>
      </c>
      <c r="CG746" s="3">
        <v>45160</v>
      </c>
      <c r="CH746" s="1">
        <v>11.25</v>
      </c>
      <c r="CI746" s="3">
        <v>45160</v>
      </c>
      <c r="CJ746" s="1">
        <v>9.8000000000000007</v>
      </c>
      <c r="CK746" s="3">
        <v>45160</v>
      </c>
      <c r="CL746" s="1">
        <v>8.6</v>
      </c>
      <c r="CM746" s="3">
        <v>45160</v>
      </c>
      <c r="CN746" s="1">
        <v>7.9450000000000003</v>
      </c>
      <c r="CO746" s="3">
        <v>45152</v>
      </c>
      <c r="CP746" s="1">
        <v>6.99</v>
      </c>
      <c r="CQ746" s="3">
        <v>45152</v>
      </c>
      <c r="CR746" s="1">
        <v>6.46</v>
      </c>
      <c r="CS746" s="3">
        <v>45152</v>
      </c>
      <c r="CT746" s="1">
        <v>5.96</v>
      </c>
    </row>
    <row r="747" spans="31:98" x14ac:dyDescent="0.2">
      <c r="AE747" s="3">
        <v>45149</v>
      </c>
      <c r="AF747" s="1">
        <v>6.75</v>
      </c>
      <c r="AG747" s="3">
        <v>45117</v>
      </c>
      <c r="AH747" s="1">
        <v>6.89</v>
      </c>
      <c r="AI747" s="3">
        <v>45159</v>
      </c>
      <c r="AJ747" s="2">
        <v>6.4370000000000003</v>
      </c>
      <c r="AK747" s="3">
        <v>45159</v>
      </c>
      <c r="AL747" s="2">
        <v>6.1775000000000002</v>
      </c>
      <c r="AM747" s="3">
        <v>45159</v>
      </c>
      <c r="AN747" s="2">
        <v>6.01</v>
      </c>
      <c r="AO747" s="3">
        <v>45159</v>
      </c>
      <c r="AP747" s="2">
        <v>5.5175000000000001</v>
      </c>
      <c r="AQ747" s="3">
        <v>45159</v>
      </c>
      <c r="AR747" s="2">
        <v>5.1224999999999996</v>
      </c>
      <c r="AS747" s="3">
        <v>45159</v>
      </c>
      <c r="AT747" s="2">
        <v>4.8624999999999998</v>
      </c>
      <c r="AU747" s="3">
        <v>45159</v>
      </c>
      <c r="AV747" s="2">
        <v>4.6174999999999997</v>
      </c>
      <c r="AW747" s="3">
        <v>45159</v>
      </c>
      <c r="AX747" s="2">
        <v>4.4225000000000003</v>
      </c>
      <c r="AY747" s="3">
        <v>45159</v>
      </c>
      <c r="AZ747" s="2">
        <v>4.2850000000000001</v>
      </c>
      <c r="BB747" s="3">
        <v>45098</v>
      </c>
      <c r="BC747" s="1">
        <v>7</v>
      </c>
      <c r="BD747" s="3">
        <v>45118</v>
      </c>
      <c r="BE747" s="1">
        <v>7.13</v>
      </c>
      <c r="BF747" s="3">
        <v>45159</v>
      </c>
      <c r="BG747" s="1">
        <v>7.1079999999999997</v>
      </c>
      <c r="BH747" s="3">
        <v>45159</v>
      </c>
      <c r="BI747" s="1">
        <v>7.04</v>
      </c>
      <c r="BJ747" s="3">
        <v>45159</v>
      </c>
      <c r="BK747" s="1">
        <v>6.94</v>
      </c>
      <c r="BL747" s="3">
        <v>45159</v>
      </c>
      <c r="BM747" s="1">
        <v>6.3150000000000004</v>
      </c>
      <c r="BN747" s="3">
        <v>45159</v>
      </c>
      <c r="BO747" s="1">
        <v>5.4749999999999996</v>
      </c>
      <c r="BP747" s="3">
        <v>45159</v>
      </c>
      <c r="BQ747" s="1">
        <v>4.7779999999999996</v>
      </c>
      <c r="BR747" s="3">
        <v>45159</v>
      </c>
      <c r="BS747" s="1">
        <v>4.4530000000000003</v>
      </c>
      <c r="BT747" s="3">
        <v>45159</v>
      </c>
      <c r="BU747" s="1">
        <v>4.1500000000000004</v>
      </c>
      <c r="BV747" s="3">
        <v>45159</v>
      </c>
      <c r="BW747" s="1">
        <v>4.0250000000000004</v>
      </c>
      <c r="BY747" s="3">
        <v>45117</v>
      </c>
      <c r="BZ747" s="1">
        <v>13</v>
      </c>
      <c r="CA747" s="3">
        <v>45107</v>
      </c>
      <c r="CB747" s="1">
        <v>15.17</v>
      </c>
      <c r="CC747" s="3">
        <v>45159</v>
      </c>
      <c r="CD747" s="1">
        <v>13.24</v>
      </c>
      <c r="CE747" s="3">
        <v>45159</v>
      </c>
      <c r="CF747" s="1">
        <v>12.38</v>
      </c>
      <c r="CG747" s="3">
        <v>45159</v>
      </c>
      <c r="CH747" s="1">
        <v>11.54</v>
      </c>
      <c r="CI747" s="3">
        <v>45159</v>
      </c>
      <c r="CJ747" s="1">
        <v>9.94</v>
      </c>
      <c r="CK747" s="3">
        <v>45159</v>
      </c>
      <c r="CL747" s="1">
        <v>8.69</v>
      </c>
      <c r="CM747" s="3">
        <v>45159</v>
      </c>
      <c r="CN747" s="1">
        <v>8.1999999999999993</v>
      </c>
      <c r="CO747" s="3">
        <v>45149</v>
      </c>
      <c r="CP747" s="1">
        <v>6.9850000000000003</v>
      </c>
      <c r="CQ747" s="3">
        <v>45149</v>
      </c>
      <c r="CR747" s="1">
        <v>6.4450000000000003</v>
      </c>
      <c r="CS747" s="3">
        <v>45149</v>
      </c>
      <c r="CT747" s="1">
        <v>5.9249999999999998</v>
      </c>
    </row>
    <row r="748" spans="31:98" x14ac:dyDescent="0.2">
      <c r="AE748" s="3">
        <v>45148</v>
      </c>
      <c r="AF748" s="1">
        <v>6.75</v>
      </c>
      <c r="AG748" s="3">
        <v>45114</v>
      </c>
      <c r="AH748" s="1">
        <v>6.9</v>
      </c>
      <c r="AI748" s="3">
        <v>45156</v>
      </c>
      <c r="AJ748" s="2">
        <v>6.4832999999999998</v>
      </c>
      <c r="AK748" s="3">
        <v>45156</v>
      </c>
      <c r="AL748" s="2">
        <v>6.18</v>
      </c>
      <c r="AM748" s="3">
        <v>45156</v>
      </c>
      <c r="AN748" s="2">
        <v>6.0049999999999999</v>
      </c>
      <c r="AO748" s="3">
        <v>45156</v>
      </c>
      <c r="AP748" s="2">
        <v>5.49</v>
      </c>
      <c r="AQ748" s="3">
        <v>45156</v>
      </c>
      <c r="AR748" s="2">
        <v>5.09</v>
      </c>
      <c r="AS748" s="3">
        <v>45156</v>
      </c>
      <c r="AT748" s="2">
        <v>4.83</v>
      </c>
      <c r="AU748" s="3">
        <v>45156</v>
      </c>
      <c r="AV748" s="2">
        <v>4.5949999999999998</v>
      </c>
      <c r="AW748" s="3">
        <v>45156</v>
      </c>
      <c r="AX748" s="2">
        <v>4.38</v>
      </c>
      <c r="AY748" s="3">
        <v>45156</v>
      </c>
      <c r="AZ748" s="2">
        <v>4.22</v>
      </c>
      <c r="BB748" s="3">
        <v>45097</v>
      </c>
      <c r="BC748" s="1">
        <v>7</v>
      </c>
      <c r="BD748" s="3">
        <v>45117</v>
      </c>
      <c r="BE748" s="1">
        <v>7.13</v>
      </c>
      <c r="BF748" s="3">
        <v>45156</v>
      </c>
      <c r="BG748" s="1">
        <v>7.11</v>
      </c>
      <c r="BH748" s="3">
        <v>45156</v>
      </c>
      <c r="BI748" s="1">
        <v>7.0350000000000001</v>
      </c>
      <c r="BJ748" s="3">
        <v>45156</v>
      </c>
      <c r="BK748" s="1">
        <v>6.91</v>
      </c>
      <c r="BL748" s="3">
        <v>45156</v>
      </c>
      <c r="BM748" s="1">
        <v>6.23</v>
      </c>
      <c r="BN748" s="3">
        <v>45156</v>
      </c>
      <c r="BO748" s="1">
        <v>5.37</v>
      </c>
      <c r="BP748" s="3">
        <v>45156</v>
      </c>
      <c r="BQ748" s="1">
        <v>4.6580000000000004</v>
      </c>
      <c r="BR748" s="3">
        <v>45156</v>
      </c>
      <c r="BS748" s="1">
        <v>4.3230000000000004</v>
      </c>
      <c r="BT748" s="3">
        <v>45156</v>
      </c>
      <c r="BU748" s="1">
        <v>4.0430000000000001</v>
      </c>
      <c r="BV748" s="3">
        <v>45156</v>
      </c>
      <c r="BW748" s="1">
        <v>3.9049999999999998</v>
      </c>
      <c r="BY748" s="3">
        <v>45114</v>
      </c>
      <c r="BZ748" s="1">
        <v>13</v>
      </c>
      <c r="CA748" s="3">
        <v>45106</v>
      </c>
      <c r="CB748" s="1">
        <v>15.17</v>
      </c>
      <c r="CC748" s="3">
        <v>45156</v>
      </c>
      <c r="CD748" s="1">
        <v>13.25</v>
      </c>
      <c r="CE748" s="3">
        <v>45156</v>
      </c>
      <c r="CF748" s="1">
        <v>12.37</v>
      </c>
      <c r="CG748" s="3">
        <v>45156</v>
      </c>
      <c r="CH748" s="1">
        <v>11.51</v>
      </c>
      <c r="CI748" s="3">
        <v>45156</v>
      </c>
      <c r="CJ748" s="1">
        <v>9.8800000000000008</v>
      </c>
      <c r="CK748" s="3">
        <v>45156</v>
      </c>
      <c r="CL748" s="1">
        <v>8.6300000000000008</v>
      </c>
      <c r="CM748" s="3">
        <v>45156</v>
      </c>
      <c r="CN748" s="1">
        <v>7.95</v>
      </c>
      <c r="CO748" s="3">
        <v>45148</v>
      </c>
      <c r="CP748" s="1">
        <v>7.125</v>
      </c>
      <c r="CQ748" s="3">
        <v>45148</v>
      </c>
      <c r="CR748" s="1">
        <v>6.5949999999999998</v>
      </c>
      <c r="CS748" s="3">
        <v>45148</v>
      </c>
      <c r="CT748" s="1">
        <v>6.0650000000000004</v>
      </c>
    </row>
    <row r="749" spans="31:98" x14ac:dyDescent="0.2">
      <c r="AE749" s="3">
        <v>45147</v>
      </c>
      <c r="AF749" s="1">
        <v>6.75</v>
      </c>
      <c r="AG749" s="3">
        <v>45113</v>
      </c>
      <c r="AH749" s="1">
        <v>6.9</v>
      </c>
      <c r="AI749" s="3">
        <v>45155</v>
      </c>
      <c r="AJ749" s="2">
        <v>6.4625000000000004</v>
      </c>
      <c r="AK749" s="3">
        <v>45155</v>
      </c>
      <c r="AL749" s="2">
        <v>6.18</v>
      </c>
      <c r="AM749" s="3">
        <v>45155</v>
      </c>
      <c r="AN749" s="2">
        <v>6.0049999999999999</v>
      </c>
      <c r="AO749" s="3">
        <v>45155</v>
      </c>
      <c r="AP749" s="2">
        <v>5.4749999999999996</v>
      </c>
      <c r="AQ749" s="3">
        <v>45155</v>
      </c>
      <c r="AR749" s="2">
        <v>5.03</v>
      </c>
      <c r="AS749" s="3">
        <v>45155</v>
      </c>
      <c r="AT749" s="2">
        <v>4.7549999999999999</v>
      </c>
      <c r="AU749" s="3">
        <v>45155</v>
      </c>
      <c r="AV749" s="2">
        <v>4.4950000000000001</v>
      </c>
      <c r="AW749" s="3">
        <v>45155</v>
      </c>
      <c r="AX749" s="2">
        <v>4.2750000000000004</v>
      </c>
      <c r="AY749" s="3">
        <v>45155</v>
      </c>
      <c r="AZ749" s="2">
        <v>4.1150000000000002</v>
      </c>
      <c r="BB749" s="3">
        <v>45096</v>
      </c>
      <c r="BC749" s="1">
        <v>7</v>
      </c>
      <c r="BD749" s="3">
        <v>45114</v>
      </c>
      <c r="BE749" s="1">
        <v>7.13</v>
      </c>
      <c r="BF749" s="3">
        <v>45155</v>
      </c>
      <c r="BG749" s="1">
        <v>7.1050000000000004</v>
      </c>
      <c r="BH749" s="3">
        <v>45155</v>
      </c>
      <c r="BI749" s="1">
        <v>7.03</v>
      </c>
      <c r="BJ749" s="3">
        <v>45155</v>
      </c>
      <c r="BK749" s="1">
        <v>6.89</v>
      </c>
      <c r="BL749" s="3">
        <v>45155</v>
      </c>
      <c r="BM749" s="1">
        <v>6.17</v>
      </c>
      <c r="BN749" s="3">
        <v>45155</v>
      </c>
      <c r="BO749" s="1">
        <v>5.32</v>
      </c>
      <c r="BP749" s="3">
        <v>45155</v>
      </c>
      <c r="BQ749" s="1">
        <v>4.6050000000000004</v>
      </c>
      <c r="BR749" s="3">
        <v>45155</v>
      </c>
      <c r="BS749" s="1">
        <v>4.28</v>
      </c>
      <c r="BT749" s="3">
        <v>45155</v>
      </c>
      <c r="BU749" s="1">
        <v>4.0199999999999996</v>
      </c>
      <c r="BV749" s="3">
        <v>45155</v>
      </c>
      <c r="BW749" s="1">
        <v>3.9</v>
      </c>
      <c r="BY749" s="3">
        <v>45113</v>
      </c>
      <c r="BZ749" s="1">
        <v>13</v>
      </c>
      <c r="CA749" s="3">
        <v>45105</v>
      </c>
      <c r="CB749" s="1">
        <v>15.17</v>
      </c>
      <c r="CC749" s="3">
        <v>45155</v>
      </c>
      <c r="CD749" s="1">
        <v>13.28</v>
      </c>
      <c r="CE749" s="3">
        <v>45155</v>
      </c>
      <c r="CF749" s="1">
        <v>12.38</v>
      </c>
      <c r="CG749" s="3">
        <v>45155</v>
      </c>
      <c r="CH749" s="1">
        <v>11.48</v>
      </c>
      <c r="CI749" s="3">
        <v>45155</v>
      </c>
      <c r="CJ749" s="1">
        <v>9.85</v>
      </c>
      <c r="CK749" s="3">
        <v>45155</v>
      </c>
      <c r="CL749" s="1">
        <v>8.6</v>
      </c>
      <c r="CM749" s="3">
        <v>45155</v>
      </c>
      <c r="CN749" s="1">
        <v>8.0050000000000008</v>
      </c>
      <c r="CO749" s="3">
        <v>45147</v>
      </c>
      <c r="CP749" s="1">
        <v>7.3150000000000004</v>
      </c>
      <c r="CQ749" s="3">
        <v>45147</v>
      </c>
      <c r="CR749" s="1">
        <v>6.7750000000000004</v>
      </c>
      <c r="CS749" s="3">
        <v>45147</v>
      </c>
      <c r="CT749" s="1">
        <v>6.23</v>
      </c>
    </row>
    <row r="750" spans="31:98" x14ac:dyDescent="0.2">
      <c r="AE750" s="3">
        <v>45146</v>
      </c>
      <c r="AF750" s="1">
        <v>6.75</v>
      </c>
      <c r="AG750" s="3">
        <v>45112</v>
      </c>
      <c r="AH750" s="1">
        <v>6.9</v>
      </c>
      <c r="AI750" s="3">
        <v>45154</v>
      </c>
      <c r="AJ750" s="2">
        <v>6.468</v>
      </c>
      <c r="AK750" s="3">
        <v>45154</v>
      </c>
      <c r="AL750" s="2">
        <v>6.17</v>
      </c>
      <c r="AM750" s="3">
        <v>45154</v>
      </c>
      <c r="AN750" s="2">
        <v>6.01</v>
      </c>
      <c r="AO750" s="3">
        <v>45154</v>
      </c>
      <c r="AP750" s="2">
        <v>5.4</v>
      </c>
      <c r="AQ750" s="3">
        <v>45154</v>
      </c>
      <c r="AR750" s="2">
        <v>4.9349999999999996</v>
      </c>
      <c r="AS750" s="3">
        <v>45154</v>
      </c>
      <c r="AT750" s="2">
        <v>4.625</v>
      </c>
      <c r="AU750" s="3">
        <v>45154</v>
      </c>
      <c r="AV750" s="2">
        <v>4.3499999999999996</v>
      </c>
      <c r="AW750" s="3">
        <v>45154</v>
      </c>
      <c r="AX750" s="2">
        <v>4.1100000000000003</v>
      </c>
      <c r="AY750" s="3">
        <v>45154</v>
      </c>
      <c r="AZ750" s="2">
        <v>3.9550000000000001</v>
      </c>
      <c r="BB750" s="3">
        <v>45093</v>
      </c>
      <c r="BC750" s="1">
        <v>7</v>
      </c>
      <c r="BD750" s="3">
        <v>45111</v>
      </c>
      <c r="BE750" s="1">
        <v>7.13</v>
      </c>
      <c r="BF750" s="3">
        <v>45154</v>
      </c>
      <c r="BG750" s="1">
        <v>7.1050000000000004</v>
      </c>
      <c r="BH750" s="3">
        <v>45154</v>
      </c>
      <c r="BI750" s="1">
        <v>7.0229999999999997</v>
      </c>
      <c r="BJ750" s="3">
        <v>45154</v>
      </c>
      <c r="BK750" s="1">
        <v>6.88</v>
      </c>
      <c r="BL750" s="3">
        <v>45154</v>
      </c>
      <c r="BM750" s="1">
        <v>6.1050000000000004</v>
      </c>
      <c r="BN750" s="3">
        <v>45154</v>
      </c>
      <c r="BO750" s="1">
        <v>5.2149999999999999</v>
      </c>
      <c r="BP750" s="3">
        <v>45154</v>
      </c>
      <c r="BQ750" s="1">
        <v>4.4779999999999998</v>
      </c>
      <c r="BR750" s="3">
        <v>45154</v>
      </c>
      <c r="BS750" s="1">
        <v>4.1630000000000003</v>
      </c>
      <c r="BT750" s="3">
        <v>45154</v>
      </c>
      <c r="BU750" s="1">
        <v>3.9449999999999998</v>
      </c>
      <c r="BV750" s="3">
        <v>45154</v>
      </c>
      <c r="BW750" s="1">
        <v>3.8330000000000002</v>
      </c>
      <c r="BY750" s="3">
        <v>45112</v>
      </c>
      <c r="BZ750" s="1">
        <v>13</v>
      </c>
      <c r="CA750" s="3">
        <v>45104</v>
      </c>
      <c r="CB750" s="1">
        <v>15.18</v>
      </c>
      <c r="CC750" s="3">
        <v>45154</v>
      </c>
      <c r="CD750" s="1">
        <v>13.38</v>
      </c>
      <c r="CE750" s="3">
        <v>45154</v>
      </c>
      <c r="CF750" s="1">
        <v>12.38</v>
      </c>
      <c r="CG750" s="3">
        <v>45154</v>
      </c>
      <c r="CH750" s="1">
        <v>11.48</v>
      </c>
      <c r="CI750" s="3">
        <v>45154</v>
      </c>
      <c r="CJ750" s="1">
        <v>9.83</v>
      </c>
      <c r="CK750" s="3">
        <v>45154</v>
      </c>
      <c r="CL750" s="1">
        <v>8.58</v>
      </c>
      <c r="CM750" s="3">
        <v>45154</v>
      </c>
      <c r="CN750" s="1">
        <v>7.95</v>
      </c>
      <c r="CO750" s="3">
        <v>45146</v>
      </c>
      <c r="CP750" s="1">
        <v>7.335</v>
      </c>
      <c r="CQ750" s="3">
        <v>45146</v>
      </c>
      <c r="CR750" s="1">
        <v>6.7850000000000001</v>
      </c>
      <c r="CS750" s="3">
        <v>45146</v>
      </c>
      <c r="CT750" s="1">
        <v>6.24</v>
      </c>
    </row>
    <row r="751" spans="31:98" x14ac:dyDescent="0.2">
      <c r="AE751" s="3">
        <v>45145</v>
      </c>
      <c r="AF751" s="1">
        <v>6.75</v>
      </c>
      <c r="AG751" s="3">
        <v>45111</v>
      </c>
      <c r="AH751" s="1">
        <v>6.9</v>
      </c>
      <c r="AI751" s="3">
        <v>45153</v>
      </c>
      <c r="AJ751" s="2">
        <v>6.4664999999999999</v>
      </c>
      <c r="AK751" s="3">
        <v>45153</v>
      </c>
      <c r="AL751" s="2">
        <v>6.1849999999999996</v>
      </c>
      <c r="AM751" s="3">
        <v>45153</v>
      </c>
      <c r="AN751" s="2">
        <v>6.0049999999999999</v>
      </c>
      <c r="AO751" s="3">
        <v>45153</v>
      </c>
      <c r="AP751" s="2">
        <v>5.4050000000000002</v>
      </c>
      <c r="AQ751" s="3">
        <v>45153</v>
      </c>
      <c r="AR751" s="2">
        <v>4.9249999999999998</v>
      </c>
      <c r="AS751" s="3">
        <v>45153</v>
      </c>
      <c r="AT751" s="2">
        <v>4.63</v>
      </c>
      <c r="AU751" s="3">
        <v>45153</v>
      </c>
      <c r="AV751" s="2">
        <v>4.3499999999999996</v>
      </c>
      <c r="AW751" s="3">
        <v>45153</v>
      </c>
      <c r="AX751" s="2">
        <v>4.0999999999999996</v>
      </c>
      <c r="AY751" s="3">
        <v>45153</v>
      </c>
      <c r="AZ751" s="2">
        <v>3.9449999999999998</v>
      </c>
      <c r="BB751" s="3">
        <v>45092</v>
      </c>
      <c r="BC751" s="1">
        <v>7</v>
      </c>
      <c r="BD751" s="3">
        <v>45110</v>
      </c>
      <c r="BE751" s="1">
        <v>7.13</v>
      </c>
      <c r="BF751" s="3">
        <v>45153</v>
      </c>
      <c r="BG751" s="1">
        <v>7.1050000000000004</v>
      </c>
      <c r="BH751" s="3">
        <v>45153</v>
      </c>
      <c r="BI751" s="1">
        <v>7.0250000000000004</v>
      </c>
      <c r="BJ751" s="3">
        <v>45153</v>
      </c>
      <c r="BK751" s="1">
        <v>6.8449999999999998</v>
      </c>
      <c r="BL751" s="3">
        <v>45153</v>
      </c>
      <c r="BM751" s="1">
        <v>6.0750000000000002</v>
      </c>
      <c r="BN751" s="3">
        <v>45153</v>
      </c>
      <c r="BO751" s="1">
        <v>5.21</v>
      </c>
      <c r="BP751" s="3">
        <v>45153</v>
      </c>
      <c r="BQ751" s="1">
        <v>4.47</v>
      </c>
      <c r="BR751" s="3">
        <v>45153</v>
      </c>
      <c r="BS751" s="1">
        <v>4.1500000000000004</v>
      </c>
      <c r="BT751" s="3">
        <v>45153</v>
      </c>
      <c r="BU751" s="1">
        <v>3.94</v>
      </c>
      <c r="BV751" s="3">
        <v>45153</v>
      </c>
      <c r="BW751" s="1">
        <v>3.835</v>
      </c>
      <c r="BY751" s="3">
        <v>45111</v>
      </c>
      <c r="BZ751" s="1">
        <v>13</v>
      </c>
      <c r="CA751" s="3">
        <v>45103</v>
      </c>
      <c r="CB751" s="1">
        <v>15.19</v>
      </c>
      <c r="CC751" s="3">
        <v>45153</v>
      </c>
      <c r="CD751" s="1">
        <v>13.39</v>
      </c>
      <c r="CE751" s="3">
        <v>45153</v>
      </c>
      <c r="CF751" s="1">
        <v>12.35</v>
      </c>
      <c r="CG751" s="3">
        <v>45153</v>
      </c>
      <c r="CH751" s="1">
        <v>11.43</v>
      </c>
      <c r="CI751" s="3">
        <v>45153</v>
      </c>
      <c r="CJ751" s="1">
        <v>9.8000000000000007</v>
      </c>
      <c r="CK751" s="3">
        <v>45153</v>
      </c>
      <c r="CL751" s="1">
        <v>8.5500000000000007</v>
      </c>
      <c r="CM751" s="3">
        <v>45153</v>
      </c>
      <c r="CN751" s="1">
        <v>7.82</v>
      </c>
      <c r="CO751" s="3">
        <v>45145</v>
      </c>
      <c r="CP751" s="1">
        <v>7.41</v>
      </c>
      <c r="CQ751" s="3">
        <v>45145</v>
      </c>
      <c r="CR751" s="1">
        <v>6.8650000000000002</v>
      </c>
      <c r="CS751" s="3">
        <v>45145</v>
      </c>
      <c r="CT751" s="1">
        <v>6.32</v>
      </c>
    </row>
    <row r="752" spans="31:98" x14ac:dyDescent="0.2">
      <c r="AE752" s="3">
        <v>45142</v>
      </c>
      <c r="AF752" s="1">
        <v>6.75</v>
      </c>
      <c r="AG752" s="3">
        <v>45110</v>
      </c>
      <c r="AH752" s="1">
        <v>6.9</v>
      </c>
      <c r="AI752" s="3">
        <v>45152</v>
      </c>
      <c r="AJ752" s="2">
        <v>6.4589999999999996</v>
      </c>
      <c r="AK752" s="3">
        <v>45152</v>
      </c>
      <c r="AL752" s="2">
        <v>6.17</v>
      </c>
      <c r="AM752" s="3">
        <v>45152</v>
      </c>
      <c r="AN752" s="2">
        <v>5.9950000000000001</v>
      </c>
      <c r="AO752" s="3">
        <v>45152</v>
      </c>
      <c r="AP752" s="2">
        <v>5.3949999999999996</v>
      </c>
      <c r="AQ752" s="3">
        <v>45152</v>
      </c>
      <c r="AR752" s="2">
        <v>4.92</v>
      </c>
      <c r="AS752" s="3">
        <v>45152</v>
      </c>
      <c r="AT752" s="2">
        <v>4.625</v>
      </c>
      <c r="AU752" s="3">
        <v>45152</v>
      </c>
      <c r="AV752" s="2">
        <v>4.3449999999999998</v>
      </c>
      <c r="AW752" s="3">
        <v>45152</v>
      </c>
      <c r="AX752" s="2">
        <v>4.0949999999999998</v>
      </c>
      <c r="AY752" s="3">
        <v>45152</v>
      </c>
      <c r="AZ752" s="2">
        <v>3.94</v>
      </c>
      <c r="BB752" s="3">
        <v>45091</v>
      </c>
      <c r="BC752" s="1">
        <v>7</v>
      </c>
      <c r="BD752" s="3">
        <v>45107</v>
      </c>
      <c r="BE752" s="1">
        <v>7.13</v>
      </c>
      <c r="BF752" s="3">
        <v>45152</v>
      </c>
      <c r="BG752" s="1">
        <v>7.08</v>
      </c>
      <c r="BH752" s="3">
        <v>45152</v>
      </c>
      <c r="BI752" s="1">
        <v>7.03</v>
      </c>
      <c r="BJ752" s="3">
        <v>45152</v>
      </c>
      <c r="BK752" s="1">
        <v>6.8449999999999998</v>
      </c>
      <c r="BL752" s="3">
        <v>45152</v>
      </c>
      <c r="BM752" s="1">
        <v>6.03</v>
      </c>
      <c r="BN752" s="3">
        <v>45152</v>
      </c>
      <c r="BO752" s="1">
        <v>5.12</v>
      </c>
      <c r="BP752" s="3">
        <v>45152</v>
      </c>
      <c r="BQ752" s="1">
        <v>4.4050000000000002</v>
      </c>
      <c r="BR752" s="3">
        <v>45152</v>
      </c>
      <c r="BS752" s="1">
        <v>4.093</v>
      </c>
      <c r="BT752" s="3">
        <v>45152</v>
      </c>
      <c r="BU752" s="1">
        <v>3.8780000000000001</v>
      </c>
      <c r="BV752" s="3">
        <v>45152</v>
      </c>
      <c r="BW752" s="1">
        <v>3.778</v>
      </c>
      <c r="BY752" s="3">
        <v>45110</v>
      </c>
      <c r="BZ752" s="1">
        <v>13</v>
      </c>
      <c r="CA752" s="3">
        <v>45100</v>
      </c>
      <c r="CB752" s="1">
        <v>15.21</v>
      </c>
      <c r="CC752" s="3">
        <v>45152</v>
      </c>
      <c r="CD752" s="1">
        <v>13.42</v>
      </c>
      <c r="CE752" s="3">
        <v>45152</v>
      </c>
      <c r="CF752" s="1">
        <v>12.44</v>
      </c>
      <c r="CG752" s="3">
        <v>45152</v>
      </c>
      <c r="CH752" s="1">
        <v>11.54</v>
      </c>
      <c r="CI752" s="3">
        <v>45152</v>
      </c>
      <c r="CJ752" s="1">
        <v>9.84</v>
      </c>
      <c r="CK752" s="3">
        <v>45152</v>
      </c>
      <c r="CL752" s="1">
        <v>8.44</v>
      </c>
      <c r="CM752" s="3">
        <v>45152</v>
      </c>
      <c r="CN752" s="1">
        <v>7.67</v>
      </c>
      <c r="CO752" s="3">
        <v>45142</v>
      </c>
      <c r="CP752" s="1">
        <v>7.3650000000000002</v>
      </c>
      <c r="CQ752" s="3">
        <v>45142</v>
      </c>
      <c r="CR752" s="1">
        <v>6.8150000000000004</v>
      </c>
      <c r="CS752" s="3">
        <v>45142</v>
      </c>
      <c r="CT752" s="1">
        <v>6.27</v>
      </c>
    </row>
    <row r="753" spans="31:98" x14ac:dyDescent="0.2">
      <c r="AE753" s="3">
        <v>45141</v>
      </c>
      <c r="AF753" s="1">
        <v>6.75</v>
      </c>
      <c r="AG753" s="3">
        <v>45107</v>
      </c>
      <c r="AH753" s="1">
        <v>6.9</v>
      </c>
      <c r="AI753" s="3">
        <v>45149</v>
      </c>
      <c r="AJ753" s="2">
        <v>6.516</v>
      </c>
      <c r="AK753" s="3">
        <v>45149</v>
      </c>
      <c r="AL753" s="2">
        <v>6.21</v>
      </c>
      <c r="AM753" s="3">
        <v>45149</v>
      </c>
      <c r="AN753" s="2">
        <v>6.01</v>
      </c>
      <c r="AO753" s="3">
        <v>45149</v>
      </c>
      <c r="AP753" s="2">
        <v>5.3574999999999999</v>
      </c>
      <c r="AQ753" s="3">
        <v>45149</v>
      </c>
      <c r="AR753" s="2">
        <v>4.875</v>
      </c>
      <c r="AS753" s="3">
        <v>45149</v>
      </c>
      <c r="AT753" s="2">
        <v>4.5674999999999999</v>
      </c>
      <c r="AU753" s="3">
        <v>45149</v>
      </c>
      <c r="AV753" s="2">
        <v>4.2675000000000001</v>
      </c>
      <c r="AW753" s="3">
        <v>45149</v>
      </c>
      <c r="AX753" s="2">
        <v>4.0075000000000003</v>
      </c>
      <c r="AY753" s="3">
        <v>45149</v>
      </c>
      <c r="AZ753" s="2">
        <v>3.8525</v>
      </c>
      <c r="BB753" s="3">
        <v>45090</v>
      </c>
      <c r="BC753" s="1">
        <v>7</v>
      </c>
      <c r="BD753" s="3">
        <v>45106</v>
      </c>
      <c r="BE753" s="1">
        <v>7.13</v>
      </c>
      <c r="BF753" s="3">
        <v>45149</v>
      </c>
      <c r="BG753" s="1">
        <v>7.08</v>
      </c>
      <c r="BH753" s="3">
        <v>45149</v>
      </c>
      <c r="BI753" s="1">
        <v>7.02</v>
      </c>
      <c r="BJ753" s="3">
        <v>45149</v>
      </c>
      <c r="BK753" s="1">
        <v>6.835</v>
      </c>
      <c r="BL753" s="3">
        <v>45149</v>
      </c>
      <c r="BM753" s="1">
        <v>5.9480000000000004</v>
      </c>
      <c r="BN753" s="3">
        <v>45149</v>
      </c>
      <c r="BO753" s="1">
        <v>5.01</v>
      </c>
      <c r="BP753" s="3">
        <v>45149</v>
      </c>
      <c r="BQ753" s="1">
        <v>4.25</v>
      </c>
      <c r="BR753" s="3">
        <v>45149</v>
      </c>
      <c r="BS753" s="1">
        <v>3.94</v>
      </c>
      <c r="BT753" s="3">
        <v>45149</v>
      </c>
      <c r="BU753" s="1">
        <v>3.7250000000000001</v>
      </c>
      <c r="BV753" s="3">
        <v>45149</v>
      </c>
      <c r="BW753" s="1">
        <v>3.6150000000000002</v>
      </c>
      <c r="BY753" s="3">
        <v>45107</v>
      </c>
      <c r="BZ753" s="1">
        <v>13</v>
      </c>
      <c r="CA753" s="3">
        <v>45099</v>
      </c>
      <c r="CB753" s="1">
        <v>15.21</v>
      </c>
      <c r="CC753" s="3">
        <v>45149</v>
      </c>
      <c r="CD753" s="1">
        <v>13.43</v>
      </c>
      <c r="CE753" s="3">
        <v>45149</v>
      </c>
      <c r="CF753" s="1">
        <v>12.45</v>
      </c>
      <c r="CG753" s="3">
        <v>45149</v>
      </c>
      <c r="CH753" s="1">
        <v>11.54</v>
      </c>
      <c r="CI753" s="3">
        <v>45149</v>
      </c>
      <c r="CJ753" s="1">
        <v>9.84</v>
      </c>
      <c r="CK753" s="3">
        <v>45149</v>
      </c>
      <c r="CL753" s="1">
        <v>8.44</v>
      </c>
      <c r="CM753" s="3">
        <v>45149</v>
      </c>
      <c r="CN753" s="1">
        <v>7.75</v>
      </c>
      <c r="CO753" s="3">
        <v>45141</v>
      </c>
      <c r="CP753" s="1">
        <v>7.5</v>
      </c>
      <c r="CQ753" s="3">
        <v>45141</v>
      </c>
      <c r="CR753" s="1">
        <v>6.9349999999999996</v>
      </c>
      <c r="CS753" s="3">
        <v>45141</v>
      </c>
      <c r="CT753" s="1">
        <v>6.39</v>
      </c>
    </row>
    <row r="754" spans="31:98" x14ac:dyDescent="0.2">
      <c r="AE754" s="3">
        <v>45140</v>
      </c>
      <c r="AF754" s="1">
        <v>6.75</v>
      </c>
      <c r="AG754" s="3">
        <v>45106</v>
      </c>
      <c r="AH754" s="1">
        <v>6.9</v>
      </c>
      <c r="AI754" s="3">
        <v>45148</v>
      </c>
      <c r="AJ754" s="2">
        <v>6.4813000000000001</v>
      </c>
      <c r="AK754" s="3">
        <v>45148</v>
      </c>
      <c r="AL754" s="2">
        <v>6.1950000000000003</v>
      </c>
      <c r="AM754" s="3">
        <v>45148</v>
      </c>
      <c r="AN754" s="2">
        <v>6.0049999999999999</v>
      </c>
      <c r="AO754" s="3">
        <v>45148</v>
      </c>
      <c r="AP754" s="2">
        <v>5.3449999999999998</v>
      </c>
      <c r="AQ754" s="3">
        <v>45148</v>
      </c>
      <c r="AR754" s="2">
        <v>4.875</v>
      </c>
      <c r="AS754" s="3">
        <v>45148</v>
      </c>
      <c r="AT754" s="2">
        <v>4.5599999999999996</v>
      </c>
      <c r="AU754" s="3">
        <v>45148</v>
      </c>
      <c r="AV754" s="2">
        <v>4.2649999999999997</v>
      </c>
      <c r="AW754" s="3">
        <v>45148</v>
      </c>
      <c r="AX754" s="2">
        <v>3.99</v>
      </c>
      <c r="AY754" s="3">
        <v>45148</v>
      </c>
      <c r="AZ754" s="2">
        <v>3.83</v>
      </c>
      <c r="BB754" s="3">
        <v>45089</v>
      </c>
      <c r="BC754" s="1">
        <v>7</v>
      </c>
      <c r="BD754" s="3">
        <v>45105</v>
      </c>
      <c r="BE754" s="1">
        <v>7.13</v>
      </c>
      <c r="BF754" s="3">
        <v>45148</v>
      </c>
      <c r="BG754" s="1">
        <v>7.07</v>
      </c>
      <c r="BH754" s="3">
        <v>45148</v>
      </c>
      <c r="BI754" s="1">
        <v>6.98</v>
      </c>
      <c r="BJ754" s="3">
        <v>45148</v>
      </c>
      <c r="BK754" s="1">
        <v>6.75</v>
      </c>
      <c r="BL754" s="3">
        <v>45148</v>
      </c>
      <c r="BM754" s="1">
        <v>5.8230000000000004</v>
      </c>
      <c r="BN754" s="3">
        <v>45148</v>
      </c>
      <c r="BO754" s="1">
        <v>4.8650000000000002</v>
      </c>
      <c r="BP754" s="3">
        <v>45148</v>
      </c>
      <c r="BQ754" s="1">
        <v>4.1349999999999998</v>
      </c>
      <c r="BR754" s="3">
        <v>45148</v>
      </c>
      <c r="BS754" s="1">
        <v>3.8380000000000001</v>
      </c>
      <c r="BT754" s="3">
        <v>45148</v>
      </c>
      <c r="BU754" s="1">
        <v>3.64</v>
      </c>
      <c r="BV754" s="3">
        <v>45148</v>
      </c>
      <c r="BW754" s="1">
        <v>3.548</v>
      </c>
      <c r="BY754" s="3">
        <v>45106</v>
      </c>
      <c r="BZ754" s="1">
        <v>13</v>
      </c>
      <c r="CA754" s="3">
        <v>45098</v>
      </c>
      <c r="CB754" s="1">
        <v>15.22</v>
      </c>
      <c r="CC754" s="3">
        <v>45148</v>
      </c>
      <c r="CD754" s="1">
        <v>13.51</v>
      </c>
      <c r="CE754" s="3">
        <v>45148</v>
      </c>
      <c r="CF754" s="1">
        <v>12.59</v>
      </c>
      <c r="CG754" s="3">
        <v>45148</v>
      </c>
      <c r="CH754" s="1">
        <v>11.76</v>
      </c>
      <c r="CI754" s="3">
        <v>45148</v>
      </c>
      <c r="CJ754" s="1">
        <v>10.06</v>
      </c>
      <c r="CK754" s="3">
        <v>45148</v>
      </c>
      <c r="CL754" s="1">
        <v>8.66</v>
      </c>
      <c r="CM754" s="3">
        <v>45148</v>
      </c>
      <c r="CN754" s="1">
        <v>7.89</v>
      </c>
      <c r="CO754" s="3">
        <v>45140</v>
      </c>
      <c r="CP754" s="1">
        <v>7.22</v>
      </c>
      <c r="CQ754" s="3">
        <v>45140</v>
      </c>
      <c r="CR754" s="1">
        <v>6.65</v>
      </c>
      <c r="CS754" s="3">
        <v>45140</v>
      </c>
      <c r="CT754" s="1">
        <v>6.15</v>
      </c>
    </row>
    <row r="755" spans="31:98" x14ac:dyDescent="0.2">
      <c r="AE755" s="3">
        <v>45139</v>
      </c>
      <c r="AF755" s="1">
        <v>6.75</v>
      </c>
      <c r="AG755" s="3">
        <v>45105</v>
      </c>
      <c r="AH755" s="1">
        <v>6.9</v>
      </c>
      <c r="AI755" s="3">
        <v>45147</v>
      </c>
      <c r="AJ755" s="2">
        <v>6.5183</v>
      </c>
      <c r="AK755" s="3">
        <v>45147</v>
      </c>
      <c r="AL755" s="2">
        <v>6.2350000000000003</v>
      </c>
      <c r="AM755" s="3">
        <v>45147</v>
      </c>
      <c r="AN755" s="2">
        <v>6.02</v>
      </c>
      <c r="AO755" s="3">
        <v>45147</v>
      </c>
      <c r="AP755" s="2">
        <v>5.3650000000000002</v>
      </c>
      <c r="AQ755" s="3">
        <v>45147</v>
      </c>
      <c r="AR755" s="2">
        <v>4.9050000000000002</v>
      </c>
      <c r="AS755" s="3">
        <v>45147</v>
      </c>
      <c r="AT755" s="2">
        <v>4.59</v>
      </c>
      <c r="AU755" s="3">
        <v>45147</v>
      </c>
      <c r="AV755" s="2">
        <v>4.3049999999999997</v>
      </c>
      <c r="AW755" s="3">
        <v>45147</v>
      </c>
      <c r="AX755" s="2">
        <v>4.08</v>
      </c>
      <c r="AY755" s="3">
        <v>45147</v>
      </c>
      <c r="AZ755" s="2">
        <v>3.9049999999999998</v>
      </c>
      <c r="BB755" s="3">
        <v>45086</v>
      </c>
      <c r="BC755" s="1">
        <v>7</v>
      </c>
      <c r="BD755" s="3">
        <v>45104</v>
      </c>
      <c r="BE755" s="1">
        <v>7.14</v>
      </c>
      <c r="BF755" s="3">
        <v>45147</v>
      </c>
      <c r="BG755" s="1">
        <v>7.05</v>
      </c>
      <c r="BH755" s="3">
        <v>45147</v>
      </c>
      <c r="BI755" s="1">
        <v>6.95</v>
      </c>
      <c r="BJ755" s="3">
        <v>45147</v>
      </c>
      <c r="BK755" s="1">
        <v>6.73</v>
      </c>
      <c r="BL755" s="3">
        <v>45147</v>
      </c>
      <c r="BM755" s="1">
        <v>5.8029999999999999</v>
      </c>
      <c r="BN755" s="3">
        <v>45147</v>
      </c>
      <c r="BO755" s="1">
        <v>4.8049999999999997</v>
      </c>
      <c r="BP755" s="3">
        <v>45147</v>
      </c>
      <c r="BQ755" s="1">
        <v>4.1050000000000004</v>
      </c>
      <c r="BR755" s="3">
        <v>45147</v>
      </c>
      <c r="BS755" s="1">
        <v>3.82</v>
      </c>
      <c r="BT755" s="3">
        <v>45147</v>
      </c>
      <c r="BU755" s="1">
        <v>3.625</v>
      </c>
      <c r="BV755" s="3">
        <v>45147</v>
      </c>
      <c r="BW755" s="1">
        <v>3.5249999999999999</v>
      </c>
      <c r="BY755" s="3">
        <v>45105</v>
      </c>
      <c r="BZ755" s="1">
        <v>13</v>
      </c>
      <c r="CA755" s="3">
        <v>45097</v>
      </c>
      <c r="CB755" s="1">
        <v>15.49</v>
      </c>
      <c r="CC755" s="3">
        <v>45147</v>
      </c>
      <c r="CD755" s="1">
        <v>13.58</v>
      </c>
      <c r="CE755" s="3">
        <v>45147</v>
      </c>
      <c r="CF755" s="1">
        <v>12.74</v>
      </c>
      <c r="CG755" s="3">
        <v>45147</v>
      </c>
      <c r="CH755" s="1">
        <v>11.93</v>
      </c>
      <c r="CI755" s="3">
        <v>45147</v>
      </c>
      <c r="CJ755" s="1">
        <v>10.23</v>
      </c>
      <c r="CK755" s="3">
        <v>45147</v>
      </c>
      <c r="CL755" s="1">
        <v>8.83</v>
      </c>
      <c r="CM755" s="3">
        <v>45147</v>
      </c>
      <c r="CN755" s="1">
        <v>8.0649999999999995</v>
      </c>
      <c r="CO755" s="3">
        <v>45139</v>
      </c>
      <c r="CP755" s="1">
        <v>7.25</v>
      </c>
      <c r="CQ755" s="3">
        <v>45139</v>
      </c>
      <c r="CR755" s="1">
        <v>6.665</v>
      </c>
      <c r="CS755" s="3">
        <v>45139</v>
      </c>
      <c r="CT755" s="1">
        <v>6.165</v>
      </c>
    </row>
    <row r="756" spans="31:98" x14ac:dyDescent="0.2">
      <c r="AE756" s="3">
        <v>45138</v>
      </c>
      <c r="AF756" s="1">
        <v>6.75</v>
      </c>
      <c r="AG756" s="3">
        <v>45104</v>
      </c>
      <c r="AH756" s="1">
        <v>6.9</v>
      </c>
      <c r="AI756" s="3">
        <v>45146</v>
      </c>
      <c r="AJ756" s="2">
        <v>6.5015000000000001</v>
      </c>
      <c r="AK756" s="3">
        <v>45146</v>
      </c>
      <c r="AL756" s="2">
        <v>6.25</v>
      </c>
      <c r="AM756" s="3">
        <v>45146</v>
      </c>
      <c r="AN756" s="2">
        <v>6.0650000000000004</v>
      </c>
      <c r="AO756" s="3">
        <v>45146</v>
      </c>
      <c r="AP756" s="2">
        <v>5.37</v>
      </c>
      <c r="AQ756" s="3">
        <v>45146</v>
      </c>
      <c r="AR756" s="2">
        <v>4.9249999999999998</v>
      </c>
      <c r="AS756" s="3">
        <v>45146</v>
      </c>
      <c r="AT756" s="2">
        <v>4.625</v>
      </c>
      <c r="AU756" s="3">
        <v>45146</v>
      </c>
      <c r="AV756" s="2">
        <v>4.3600000000000003</v>
      </c>
      <c r="AW756" s="3">
        <v>45146</v>
      </c>
      <c r="AX756" s="2">
        <v>4.13</v>
      </c>
      <c r="AY756" s="3">
        <v>45146</v>
      </c>
      <c r="AZ756" s="2">
        <v>3.9550000000000001</v>
      </c>
      <c r="BB756" s="3">
        <v>45085</v>
      </c>
      <c r="BC756" s="1">
        <v>7</v>
      </c>
      <c r="BD756" s="3">
        <v>45103</v>
      </c>
      <c r="BE756" s="1">
        <v>7.14</v>
      </c>
      <c r="BF756" s="3">
        <v>45146</v>
      </c>
      <c r="BG756" s="1">
        <v>7.05</v>
      </c>
      <c r="BH756" s="3">
        <v>45146</v>
      </c>
      <c r="BI756" s="1">
        <v>6.96</v>
      </c>
      <c r="BJ756" s="3">
        <v>45146</v>
      </c>
      <c r="BK756" s="1">
        <v>6.73</v>
      </c>
      <c r="BL756" s="3">
        <v>45146</v>
      </c>
      <c r="BM756" s="1">
        <v>5.835</v>
      </c>
      <c r="BN756" s="3">
        <v>45146</v>
      </c>
      <c r="BO756" s="1">
        <v>4.8250000000000002</v>
      </c>
      <c r="BP756" s="3">
        <v>45146</v>
      </c>
      <c r="BQ756" s="1">
        <v>4.0999999999999996</v>
      </c>
      <c r="BR756" s="3">
        <v>45146</v>
      </c>
      <c r="BS756" s="1">
        <v>3.8079999999999998</v>
      </c>
      <c r="BT756" s="3">
        <v>45146</v>
      </c>
      <c r="BU756" s="1">
        <v>3.62</v>
      </c>
      <c r="BV756" s="3">
        <v>45146</v>
      </c>
      <c r="BW756" s="1">
        <v>3.548</v>
      </c>
      <c r="BY756" s="3">
        <v>45104</v>
      </c>
      <c r="BZ756" s="1">
        <v>13</v>
      </c>
      <c r="CA756" s="3">
        <v>45096</v>
      </c>
      <c r="CB756" s="1">
        <v>15.53</v>
      </c>
      <c r="CC756" s="3">
        <v>45146</v>
      </c>
      <c r="CD756" s="1">
        <v>13.6</v>
      </c>
      <c r="CE756" s="3">
        <v>45146</v>
      </c>
      <c r="CF756" s="1">
        <v>12.76</v>
      </c>
      <c r="CG756" s="3">
        <v>45146</v>
      </c>
      <c r="CH756" s="1">
        <v>11.97</v>
      </c>
      <c r="CI756" s="3">
        <v>45146</v>
      </c>
      <c r="CJ756" s="1">
        <v>10.27</v>
      </c>
      <c r="CK756" s="3">
        <v>45146</v>
      </c>
      <c r="CL756" s="1">
        <v>8.8699999999999992</v>
      </c>
      <c r="CM756" s="3">
        <v>45146</v>
      </c>
      <c r="CN756" s="1">
        <v>8.0850000000000009</v>
      </c>
      <c r="CO756" s="3">
        <v>45138</v>
      </c>
      <c r="CP756" s="1">
        <v>7.0650000000000004</v>
      </c>
      <c r="CQ756" s="3">
        <v>45138</v>
      </c>
      <c r="CR756" s="1">
        <v>6.4649999999999999</v>
      </c>
      <c r="CS756" s="3">
        <v>45138</v>
      </c>
      <c r="CT756" s="1">
        <v>5.9649999999999999</v>
      </c>
    </row>
    <row r="757" spans="31:98" x14ac:dyDescent="0.2">
      <c r="AE757" s="3">
        <v>45135</v>
      </c>
      <c r="AF757" s="1">
        <v>6.75</v>
      </c>
      <c r="AG757" s="3">
        <v>45103</v>
      </c>
      <c r="AH757" s="1">
        <v>6.9</v>
      </c>
      <c r="AI757" s="3">
        <v>45145</v>
      </c>
      <c r="AJ757" s="2">
        <v>6.5124000000000004</v>
      </c>
      <c r="AK757" s="3">
        <v>45145</v>
      </c>
      <c r="AL757" s="2">
        <v>6.2850000000000001</v>
      </c>
      <c r="AM757" s="3">
        <v>45145</v>
      </c>
      <c r="AN757" s="2">
        <v>6.08</v>
      </c>
      <c r="AO757" s="3">
        <v>45145</v>
      </c>
      <c r="AP757" s="2">
        <v>5.39</v>
      </c>
      <c r="AQ757" s="3">
        <v>45145</v>
      </c>
      <c r="AR757" s="2">
        <v>4.97</v>
      </c>
      <c r="AS757" s="3">
        <v>45145</v>
      </c>
      <c r="AT757" s="2">
        <v>4.6749999999999998</v>
      </c>
      <c r="AU757" s="3">
        <v>45145</v>
      </c>
      <c r="AV757" s="2">
        <v>4.43</v>
      </c>
      <c r="AW757" s="3">
        <v>45145</v>
      </c>
      <c r="AX757" s="2">
        <v>4.21</v>
      </c>
      <c r="AY757" s="3">
        <v>45145</v>
      </c>
      <c r="AZ757" s="2">
        <v>4.04</v>
      </c>
      <c r="BB757" s="3">
        <v>45084</v>
      </c>
      <c r="BC757" s="1">
        <v>7</v>
      </c>
      <c r="BD757" s="3">
        <v>45100</v>
      </c>
      <c r="BE757" s="1">
        <v>7.14</v>
      </c>
      <c r="BF757" s="3">
        <v>45145</v>
      </c>
      <c r="BG757" s="1">
        <v>7.05</v>
      </c>
      <c r="BH757" s="3">
        <v>45145</v>
      </c>
      <c r="BI757" s="1">
        <v>6.96</v>
      </c>
      <c r="BJ757" s="3">
        <v>45145</v>
      </c>
      <c r="BK757" s="1">
        <v>6.75</v>
      </c>
      <c r="BL757" s="3">
        <v>45145</v>
      </c>
      <c r="BM757" s="1">
        <v>5.8650000000000002</v>
      </c>
      <c r="BN757" s="3">
        <v>45145</v>
      </c>
      <c r="BO757" s="1">
        <v>4.8650000000000002</v>
      </c>
      <c r="BP757" s="3">
        <v>45145</v>
      </c>
      <c r="BQ757" s="1">
        <v>4.21</v>
      </c>
      <c r="BR757" s="3">
        <v>45145</v>
      </c>
      <c r="BS757" s="1">
        <v>3.93</v>
      </c>
      <c r="BT757" s="3">
        <v>45145</v>
      </c>
      <c r="BU757" s="1">
        <v>3.76</v>
      </c>
      <c r="BV757" s="3">
        <v>45145</v>
      </c>
      <c r="BW757" s="1">
        <v>3.6549999999999998</v>
      </c>
      <c r="BY757" s="3">
        <v>45100</v>
      </c>
      <c r="BZ757" s="1">
        <v>13</v>
      </c>
      <c r="CA757" s="3">
        <v>45093</v>
      </c>
      <c r="CB757" s="1">
        <v>15.57</v>
      </c>
      <c r="CC757" s="3">
        <v>45145</v>
      </c>
      <c r="CD757" s="1">
        <v>13.57</v>
      </c>
      <c r="CE757" s="3">
        <v>45145</v>
      </c>
      <c r="CF757" s="1">
        <v>12.77</v>
      </c>
      <c r="CG757" s="3">
        <v>45145</v>
      </c>
      <c r="CH757" s="1">
        <v>11.98</v>
      </c>
      <c r="CI757" s="3">
        <v>45145</v>
      </c>
      <c r="CJ757" s="1">
        <v>10.28</v>
      </c>
      <c r="CK757" s="3">
        <v>45145</v>
      </c>
      <c r="CL757" s="1">
        <v>8.8800000000000008</v>
      </c>
      <c r="CM757" s="3">
        <v>45145</v>
      </c>
      <c r="CN757" s="1">
        <v>8.16</v>
      </c>
      <c r="CO757" s="3">
        <v>45135</v>
      </c>
      <c r="CP757" s="1">
        <v>7.085</v>
      </c>
      <c r="CQ757" s="3">
        <v>45135</v>
      </c>
      <c r="CR757" s="1">
        <v>6.4749999999999996</v>
      </c>
      <c r="CS757" s="3">
        <v>45135</v>
      </c>
      <c r="CT757" s="1">
        <v>6.0049999999999999</v>
      </c>
    </row>
    <row r="758" spans="31:98" x14ac:dyDescent="0.2">
      <c r="AE758" s="3">
        <v>45134</v>
      </c>
      <c r="AF758" s="1">
        <v>6.75</v>
      </c>
      <c r="AG758" s="3">
        <v>45100</v>
      </c>
      <c r="AH758" s="1">
        <v>6.9</v>
      </c>
      <c r="AI758" s="3">
        <v>45142</v>
      </c>
      <c r="AJ758" s="2">
        <v>6.5477999999999996</v>
      </c>
      <c r="AK758" s="3">
        <v>45142</v>
      </c>
      <c r="AL758" s="2">
        <v>6.2850000000000001</v>
      </c>
      <c r="AM758" s="3">
        <v>45142</v>
      </c>
      <c r="AN758" s="2">
        <v>6.07</v>
      </c>
      <c r="AO758" s="3">
        <v>45142</v>
      </c>
      <c r="AP758" s="2">
        <v>5.38</v>
      </c>
      <c r="AQ758" s="3">
        <v>45142</v>
      </c>
      <c r="AR758" s="2">
        <v>4.9749999999999996</v>
      </c>
      <c r="AS758" s="3">
        <v>45142</v>
      </c>
      <c r="AT758" s="2">
        <v>4.67</v>
      </c>
      <c r="AU758" s="3">
        <v>45142</v>
      </c>
      <c r="AV758" s="2">
        <v>4.4050000000000002</v>
      </c>
      <c r="AW758" s="3">
        <v>45142</v>
      </c>
      <c r="AX758" s="2">
        <v>4.18</v>
      </c>
      <c r="AY758" s="3">
        <v>45142</v>
      </c>
      <c r="AZ758" s="2">
        <v>4.01</v>
      </c>
      <c r="BB758" s="3">
        <v>45083</v>
      </c>
      <c r="BC758" s="1">
        <v>7</v>
      </c>
      <c r="BD758" s="3">
        <v>45099</v>
      </c>
      <c r="BE758" s="1">
        <v>7.14</v>
      </c>
      <c r="BF758" s="3">
        <v>45142</v>
      </c>
      <c r="BG758" s="1">
        <v>7.05</v>
      </c>
      <c r="BH758" s="3">
        <v>45142</v>
      </c>
      <c r="BI758" s="1">
        <v>6.95</v>
      </c>
      <c r="BJ758" s="3">
        <v>45142</v>
      </c>
      <c r="BK758" s="1">
        <v>6.75</v>
      </c>
      <c r="BL758" s="3">
        <v>45142</v>
      </c>
      <c r="BM758" s="1">
        <v>5.89</v>
      </c>
      <c r="BN758" s="3">
        <v>45142</v>
      </c>
      <c r="BO758" s="1">
        <v>4.9000000000000004</v>
      </c>
      <c r="BP758" s="3">
        <v>45142</v>
      </c>
      <c r="BQ758" s="1">
        <v>4.2</v>
      </c>
      <c r="BR758" s="3">
        <v>45142</v>
      </c>
      <c r="BS758" s="1">
        <v>3.93</v>
      </c>
      <c r="BT758" s="3">
        <v>45142</v>
      </c>
      <c r="BU758" s="1">
        <v>3.76</v>
      </c>
      <c r="BV758" s="3">
        <v>45142</v>
      </c>
      <c r="BW758" s="1">
        <v>3.6349999999999998</v>
      </c>
      <c r="BY758" s="3">
        <v>45099</v>
      </c>
      <c r="BZ758" s="1">
        <v>13</v>
      </c>
      <c r="CA758" s="3">
        <v>45092</v>
      </c>
      <c r="CB758" s="1">
        <v>15.58</v>
      </c>
      <c r="CC758" s="3">
        <v>45142</v>
      </c>
      <c r="CD758" s="1">
        <v>13.63</v>
      </c>
      <c r="CE758" s="3">
        <v>45142</v>
      </c>
      <c r="CF758" s="1">
        <v>12.82</v>
      </c>
      <c r="CG758" s="3">
        <v>45142</v>
      </c>
      <c r="CH758" s="1">
        <v>11.98</v>
      </c>
      <c r="CI758" s="3">
        <v>45142</v>
      </c>
      <c r="CJ758" s="1">
        <v>10.27</v>
      </c>
      <c r="CK758" s="3">
        <v>45142</v>
      </c>
      <c r="CL758" s="1">
        <v>8.8699999999999992</v>
      </c>
      <c r="CM758" s="3">
        <v>45142</v>
      </c>
      <c r="CN758" s="1">
        <v>8.1199999999999992</v>
      </c>
      <c r="CO758" s="3">
        <v>45134</v>
      </c>
      <c r="CP758" s="1">
        <v>7.1050000000000004</v>
      </c>
      <c r="CQ758" s="3">
        <v>45134</v>
      </c>
      <c r="CR758" s="1">
        <v>6.4950000000000001</v>
      </c>
      <c r="CS758" s="3">
        <v>45134</v>
      </c>
      <c r="CT758" s="1">
        <v>6.0250000000000004</v>
      </c>
    </row>
    <row r="759" spans="31:98" x14ac:dyDescent="0.2">
      <c r="AE759" s="3">
        <v>45133</v>
      </c>
      <c r="AF759" s="1">
        <v>6.75</v>
      </c>
      <c r="AG759" s="3">
        <v>45099</v>
      </c>
      <c r="AH759" s="1">
        <v>6.9</v>
      </c>
      <c r="AI759" s="3">
        <v>45141</v>
      </c>
      <c r="AJ759" s="2">
        <v>6.5609999999999999</v>
      </c>
      <c r="AK759" s="3">
        <v>45141</v>
      </c>
      <c r="AL759" s="2">
        <v>6.2949999999999999</v>
      </c>
      <c r="AM759" s="3">
        <v>45141</v>
      </c>
      <c r="AN759" s="2">
        <v>6.09</v>
      </c>
      <c r="AO759" s="3">
        <v>45141</v>
      </c>
      <c r="AP759" s="2">
        <v>5.4050000000000002</v>
      </c>
      <c r="AQ759" s="3">
        <v>45141</v>
      </c>
      <c r="AR759" s="2">
        <v>5.0549999999999997</v>
      </c>
      <c r="AS759" s="3">
        <v>45141</v>
      </c>
      <c r="AT759" s="2">
        <v>4.7300000000000004</v>
      </c>
      <c r="AU759" s="3">
        <v>45141</v>
      </c>
      <c r="AV759" s="2">
        <v>4.4249999999999998</v>
      </c>
      <c r="AW759" s="3">
        <v>45141</v>
      </c>
      <c r="AX759" s="2">
        <v>4.2</v>
      </c>
      <c r="AY759" s="3">
        <v>45141</v>
      </c>
      <c r="AZ759" s="2">
        <v>4.0199999999999996</v>
      </c>
      <c r="BB759" s="3">
        <v>45082</v>
      </c>
      <c r="BC759" s="1">
        <v>7</v>
      </c>
      <c r="BD759" s="3">
        <v>45098</v>
      </c>
      <c r="BE759" s="1">
        <v>7.14</v>
      </c>
      <c r="BF759" s="3">
        <v>45141</v>
      </c>
      <c r="BG759" s="1">
        <v>7.05</v>
      </c>
      <c r="BH759" s="3">
        <v>45141</v>
      </c>
      <c r="BI759" s="1">
        <v>6.915</v>
      </c>
      <c r="BJ759" s="3">
        <v>45141</v>
      </c>
      <c r="BK759" s="1">
        <v>6.71</v>
      </c>
      <c r="BL759" s="3">
        <v>45141</v>
      </c>
      <c r="BM759" s="1">
        <v>5.92</v>
      </c>
      <c r="BN759" s="3">
        <v>45141</v>
      </c>
      <c r="BO759" s="1">
        <v>4.92</v>
      </c>
      <c r="BP759" s="3">
        <v>45141</v>
      </c>
      <c r="BQ759" s="1">
        <v>4.29</v>
      </c>
      <c r="BR759" s="3">
        <v>45141</v>
      </c>
      <c r="BS759" s="1">
        <v>4.0529999999999999</v>
      </c>
      <c r="BT759" s="3">
        <v>45141</v>
      </c>
      <c r="BU759" s="1">
        <v>3.8650000000000002</v>
      </c>
      <c r="BV759" s="3">
        <v>45141</v>
      </c>
      <c r="BW759" s="1">
        <v>3.738</v>
      </c>
      <c r="BY759" s="3">
        <v>45098</v>
      </c>
      <c r="BZ759" s="1">
        <v>13</v>
      </c>
      <c r="CA759" s="3">
        <v>45091</v>
      </c>
      <c r="CB759" s="1">
        <v>15.61</v>
      </c>
      <c r="CC759" s="3">
        <v>45141</v>
      </c>
      <c r="CD759" s="1">
        <v>13.66</v>
      </c>
      <c r="CE759" s="3">
        <v>45141</v>
      </c>
      <c r="CF759" s="1">
        <v>12.9</v>
      </c>
      <c r="CG759" s="3">
        <v>45141</v>
      </c>
      <c r="CH759" s="1">
        <v>12.09</v>
      </c>
      <c r="CI759" s="3">
        <v>45141</v>
      </c>
      <c r="CJ759" s="1">
        <v>10.37</v>
      </c>
      <c r="CK759" s="3">
        <v>45141</v>
      </c>
      <c r="CL759" s="1">
        <v>8.9700000000000006</v>
      </c>
      <c r="CM759" s="3">
        <v>45141</v>
      </c>
      <c r="CN759" s="1">
        <v>8.2550000000000008</v>
      </c>
      <c r="CO759" s="3">
        <v>45133</v>
      </c>
      <c r="CP759" s="1">
        <v>7.18</v>
      </c>
      <c r="CQ759" s="3">
        <v>45133</v>
      </c>
      <c r="CR759" s="1">
        <v>6.57</v>
      </c>
      <c r="CS759" s="3">
        <v>45133</v>
      </c>
      <c r="CT759" s="1">
        <v>6.1</v>
      </c>
    </row>
    <row r="760" spans="31:98" x14ac:dyDescent="0.2">
      <c r="AE760" s="3">
        <v>45132</v>
      </c>
      <c r="AF760" s="1">
        <v>6.75</v>
      </c>
      <c r="AG760" s="3">
        <v>45098</v>
      </c>
      <c r="AH760" s="1">
        <v>6.9</v>
      </c>
      <c r="AI760" s="3">
        <v>45140</v>
      </c>
      <c r="AJ760" s="2">
        <v>6.5776000000000003</v>
      </c>
      <c r="AK760" s="3">
        <v>45140</v>
      </c>
      <c r="AL760" s="2">
        <v>6.375</v>
      </c>
      <c r="AM760" s="3">
        <v>45140</v>
      </c>
      <c r="AN760" s="2">
        <v>6.11</v>
      </c>
      <c r="AO760" s="3">
        <v>45140</v>
      </c>
      <c r="AP760" s="2">
        <v>5.39</v>
      </c>
      <c r="AQ760" s="3">
        <v>45140</v>
      </c>
      <c r="AR760" s="2">
        <v>5.0199999999999996</v>
      </c>
      <c r="AS760" s="3">
        <v>45140</v>
      </c>
      <c r="AT760" s="2">
        <v>4.67</v>
      </c>
      <c r="AU760" s="3">
        <v>45140</v>
      </c>
      <c r="AV760" s="2">
        <v>4.3550000000000004</v>
      </c>
      <c r="AW760" s="3">
        <v>45140</v>
      </c>
      <c r="AX760" s="2">
        <v>4.125</v>
      </c>
      <c r="AY760" s="3">
        <v>45140</v>
      </c>
      <c r="AZ760" s="2">
        <v>3.9449999999999998</v>
      </c>
      <c r="BB760" s="3">
        <v>45079</v>
      </c>
      <c r="BC760" s="1">
        <v>7</v>
      </c>
      <c r="BD760" s="3">
        <v>45097</v>
      </c>
      <c r="BE760" s="1">
        <v>7.14</v>
      </c>
      <c r="BF760" s="3">
        <v>45140</v>
      </c>
      <c r="BG760" s="1">
        <v>7.05</v>
      </c>
      <c r="BH760" s="3">
        <v>45140</v>
      </c>
      <c r="BI760" s="1">
        <v>6.915</v>
      </c>
      <c r="BJ760" s="3">
        <v>45140</v>
      </c>
      <c r="BK760" s="1">
        <v>6.85</v>
      </c>
      <c r="BL760" s="3">
        <v>45140</v>
      </c>
      <c r="BM760" s="1">
        <v>6.05</v>
      </c>
      <c r="BN760" s="3">
        <v>45140</v>
      </c>
      <c r="BO760" s="1">
        <v>5.085</v>
      </c>
      <c r="BP760" s="3">
        <v>45140</v>
      </c>
      <c r="BQ760" s="1">
        <v>4.38</v>
      </c>
      <c r="BR760" s="3">
        <v>45140</v>
      </c>
      <c r="BS760" s="1">
        <v>4.07</v>
      </c>
      <c r="BT760" s="3">
        <v>45140</v>
      </c>
      <c r="BU760" s="1">
        <v>3.855</v>
      </c>
      <c r="BV760" s="3">
        <v>45140</v>
      </c>
      <c r="BW760" s="1">
        <v>3.718</v>
      </c>
      <c r="BY760" s="3">
        <v>45097</v>
      </c>
      <c r="BZ760" s="1">
        <v>13</v>
      </c>
      <c r="CA760" s="3">
        <v>45090</v>
      </c>
      <c r="CB760" s="1">
        <v>15.64</v>
      </c>
      <c r="CC760" s="3">
        <v>45140</v>
      </c>
      <c r="CD760" s="1">
        <v>13.61</v>
      </c>
      <c r="CE760" s="3">
        <v>45140</v>
      </c>
      <c r="CF760" s="1">
        <v>12.82</v>
      </c>
      <c r="CG760" s="3">
        <v>45140</v>
      </c>
      <c r="CH760" s="1">
        <v>12.02</v>
      </c>
      <c r="CI760" s="3">
        <v>45140</v>
      </c>
      <c r="CJ760" s="1">
        <v>10.3</v>
      </c>
      <c r="CK760" s="3">
        <v>45140</v>
      </c>
      <c r="CL760" s="1">
        <v>8.9</v>
      </c>
      <c r="CM760" s="3">
        <v>45140</v>
      </c>
      <c r="CN760" s="1">
        <v>7.97</v>
      </c>
      <c r="CO760" s="3">
        <v>45132</v>
      </c>
      <c r="CP760" s="1">
        <v>6.9749999999999996</v>
      </c>
      <c r="CQ760" s="3">
        <v>45132</v>
      </c>
      <c r="CR760" s="1">
        <v>6.2850000000000001</v>
      </c>
      <c r="CS760" s="3">
        <v>45132</v>
      </c>
      <c r="CT760" s="1">
        <v>5.72</v>
      </c>
    </row>
    <row r="761" spans="31:98" x14ac:dyDescent="0.2">
      <c r="AE761" s="3">
        <v>45131</v>
      </c>
      <c r="AF761" s="1">
        <v>6.75</v>
      </c>
      <c r="AG761" s="3">
        <v>45097</v>
      </c>
      <c r="AH761" s="1">
        <v>6.9</v>
      </c>
      <c r="AI761" s="3">
        <v>45139</v>
      </c>
      <c r="AJ761" s="2">
        <v>6.5308999999999999</v>
      </c>
      <c r="AK761" s="3">
        <v>45139</v>
      </c>
      <c r="AL761" s="2">
        <v>6.375</v>
      </c>
      <c r="AM761" s="3">
        <v>45139</v>
      </c>
      <c r="AN761" s="2">
        <v>6.125</v>
      </c>
      <c r="AO761" s="3">
        <v>45139</v>
      </c>
      <c r="AP761" s="2">
        <v>5.415</v>
      </c>
      <c r="AQ761" s="3">
        <v>45139</v>
      </c>
      <c r="AR761" s="2">
        <v>4.9950000000000001</v>
      </c>
      <c r="AS761" s="3">
        <v>45139</v>
      </c>
      <c r="AT761" s="2">
        <v>4.6150000000000002</v>
      </c>
      <c r="AU761" s="3">
        <v>45139</v>
      </c>
      <c r="AV761" s="2">
        <v>4.2949999999999999</v>
      </c>
      <c r="AW761" s="3">
        <v>45139</v>
      </c>
      <c r="AX761" s="2">
        <v>4.0599999999999996</v>
      </c>
      <c r="AY761" s="3">
        <v>45139</v>
      </c>
      <c r="AZ761" s="2">
        <v>3.88</v>
      </c>
      <c r="BB761" s="3">
        <v>45078</v>
      </c>
      <c r="BC761" s="1">
        <v>7</v>
      </c>
      <c r="BD761" s="3">
        <v>45096</v>
      </c>
      <c r="BE761" s="1">
        <v>7.14</v>
      </c>
      <c r="BF761" s="3">
        <v>45139</v>
      </c>
      <c r="BG761" s="1">
        <v>7.0449999999999999</v>
      </c>
      <c r="BH761" s="3">
        <v>45139</v>
      </c>
      <c r="BI761" s="1">
        <v>6.9</v>
      </c>
      <c r="BJ761" s="3">
        <v>45139</v>
      </c>
      <c r="BK761" s="1">
        <v>6.84</v>
      </c>
      <c r="BL761" s="3">
        <v>45139</v>
      </c>
      <c r="BM761" s="1">
        <v>6.0350000000000001</v>
      </c>
      <c r="BN761" s="3">
        <v>45139</v>
      </c>
      <c r="BO761" s="1">
        <v>5.08</v>
      </c>
      <c r="BP761" s="3">
        <v>45139</v>
      </c>
      <c r="BQ761" s="1">
        <v>4.3600000000000003</v>
      </c>
      <c r="BR761" s="3">
        <v>45139</v>
      </c>
      <c r="BS761" s="1">
        <v>4.0629999999999997</v>
      </c>
      <c r="BT761" s="3">
        <v>45139</v>
      </c>
      <c r="BU761" s="1">
        <v>3.863</v>
      </c>
      <c r="BV761" s="3">
        <v>45139</v>
      </c>
      <c r="BW761" s="1">
        <v>3.7450000000000001</v>
      </c>
      <c r="BY761" s="3">
        <v>45096</v>
      </c>
      <c r="BZ761" s="1">
        <v>13</v>
      </c>
      <c r="CA761" s="3">
        <v>45089</v>
      </c>
      <c r="CB761" s="1">
        <v>15.67</v>
      </c>
      <c r="CC761" s="3">
        <v>45139</v>
      </c>
      <c r="CD761" s="1">
        <v>13.62</v>
      </c>
      <c r="CE761" s="3">
        <v>45139</v>
      </c>
      <c r="CF761" s="1">
        <v>12.83</v>
      </c>
      <c r="CG761" s="3">
        <v>45139</v>
      </c>
      <c r="CH761" s="1">
        <v>12</v>
      </c>
      <c r="CI761" s="3">
        <v>45139</v>
      </c>
      <c r="CJ761" s="1">
        <v>10.3</v>
      </c>
      <c r="CK761" s="3">
        <v>45139</v>
      </c>
      <c r="CL761" s="1">
        <v>8.9</v>
      </c>
      <c r="CM761" s="3">
        <v>45139</v>
      </c>
      <c r="CN761" s="1">
        <v>8.0350000000000001</v>
      </c>
      <c r="CO761" s="3">
        <v>45131</v>
      </c>
      <c r="CP761" s="1">
        <v>6.9649999999999999</v>
      </c>
      <c r="CQ761" s="3">
        <v>45131</v>
      </c>
      <c r="CR761" s="1">
        <v>6.2750000000000004</v>
      </c>
      <c r="CS761" s="3">
        <v>45131</v>
      </c>
      <c r="CT761" s="1">
        <v>5.71</v>
      </c>
    </row>
    <row r="762" spans="31:98" x14ac:dyDescent="0.2">
      <c r="AE762" s="3">
        <v>45128</v>
      </c>
      <c r="AF762" s="1">
        <v>6.75</v>
      </c>
      <c r="AG762" s="3">
        <v>45096</v>
      </c>
      <c r="AH762" s="1">
        <v>6.9</v>
      </c>
      <c r="AI762" s="3">
        <v>45138</v>
      </c>
      <c r="AJ762" s="2">
        <v>6.609</v>
      </c>
      <c r="AK762" s="3">
        <v>45138</v>
      </c>
      <c r="AL762" s="2">
        <v>6.38</v>
      </c>
      <c r="AM762" s="3">
        <v>45138</v>
      </c>
      <c r="AN762" s="2">
        <v>6.13</v>
      </c>
      <c r="AO762" s="3">
        <v>45138</v>
      </c>
      <c r="AP762" s="2">
        <v>5.47</v>
      </c>
      <c r="AQ762" s="3">
        <v>45138</v>
      </c>
      <c r="AR762" s="2">
        <v>5</v>
      </c>
      <c r="AS762" s="3">
        <v>45138</v>
      </c>
      <c r="AT762" s="2">
        <v>4.5999999999999996</v>
      </c>
      <c r="AU762" s="3">
        <v>45138</v>
      </c>
      <c r="AV762" s="2">
        <v>4.28</v>
      </c>
      <c r="AW762" s="3">
        <v>45138</v>
      </c>
      <c r="AX762" s="2">
        <v>4.03</v>
      </c>
      <c r="AY762" s="3">
        <v>45138</v>
      </c>
      <c r="AZ762" s="2">
        <v>3.8650000000000002</v>
      </c>
      <c r="BB762" s="3">
        <v>45077</v>
      </c>
      <c r="BC762" s="1">
        <v>7</v>
      </c>
      <c r="BD762" s="3">
        <v>45093</v>
      </c>
      <c r="BE762" s="1">
        <v>7.14</v>
      </c>
      <c r="BF762" s="3">
        <v>45138</v>
      </c>
      <c r="BG762" s="1">
        <v>7.06</v>
      </c>
      <c r="BH762" s="3">
        <v>45138</v>
      </c>
      <c r="BI762" s="1">
        <v>6.97</v>
      </c>
      <c r="BJ762" s="3">
        <v>45138</v>
      </c>
      <c r="BK762" s="1">
        <v>6.83</v>
      </c>
      <c r="BL762" s="3">
        <v>45138</v>
      </c>
      <c r="BM762" s="1">
        <v>6.03</v>
      </c>
      <c r="BN762" s="3">
        <v>45138</v>
      </c>
      <c r="BO762" s="1">
        <v>5.0750000000000002</v>
      </c>
      <c r="BP762" s="3">
        <v>45138</v>
      </c>
      <c r="BQ762" s="1">
        <v>4.37</v>
      </c>
      <c r="BR762" s="3">
        <v>45138</v>
      </c>
      <c r="BS762" s="1">
        <v>4.0730000000000004</v>
      </c>
      <c r="BT762" s="3">
        <v>45138</v>
      </c>
      <c r="BU762" s="1">
        <v>3.8929999999999998</v>
      </c>
      <c r="BV762" s="3">
        <v>45138</v>
      </c>
      <c r="BW762" s="1">
        <v>3.7629999999999999</v>
      </c>
      <c r="BY762" s="3">
        <v>45093</v>
      </c>
      <c r="BZ762" s="1">
        <v>13</v>
      </c>
      <c r="CA762" s="3">
        <v>45086</v>
      </c>
      <c r="CB762" s="1">
        <v>15.68</v>
      </c>
      <c r="CC762" s="3">
        <v>45138</v>
      </c>
      <c r="CD762" s="1">
        <v>13.57</v>
      </c>
      <c r="CE762" s="3">
        <v>45138</v>
      </c>
      <c r="CF762" s="1">
        <v>12.74</v>
      </c>
      <c r="CG762" s="3">
        <v>45138</v>
      </c>
      <c r="CH762" s="1">
        <v>11.9</v>
      </c>
      <c r="CI762" s="3">
        <v>45138</v>
      </c>
      <c r="CJ762" s="1">
        <v>10.199999999999999</v>
      </c>
      <c r="CK762" s="3">
        <v>45138</v>
      </c>
      <c r="CL762" s="1">
        <v>8.7899999999999991</v>
      </c>
      <c r="CM762" s="3">
        <v>45138</v>
      </c>
      <c r="CN762" s="1">
        <v>7.8550000000000004</v>
      </c>
      <c r="CO762" s="3">
        <v>45128</v>
      </c>
      <c r="CP762" s="1">
        <v>7.09</v>
      </c>
      <c r="CQ762" s="3">
        <v>45128</v>
      </c>
      <c r="CR762" s="1">
        <v>6.4</v>
      </c>
      <c r="CS762" s="3">
        <v>45128</v>
      </c>
      <c r="CT762" s="1">
        <v>5.835</v>
      </c>
    </row>
    <row r="763" spans="31:98" x14ac:dyDescent="0.2">
      <c r="AE763" s="3">
        <v>45127</v>
      </c>
      <c r="AF763" s="1">
        <v>6.75</v>
      </c>
      <c r="AG763" s="3">
        <v>45093</v>
      </c>
      <c r="AH763" s="1">
        <v>6.9</v>
      </c>
      <c r="AI763" s="3">
        <v>45135</v>
      </c>
      <c r="AJ763" s="2">
        <v>6.6210000000000004</v>
      </c>
      <c r="AK763" s="3">
        <v>45135</v>
      </c>
      <c r="AL763" s="2">
        <v>6.4349999999999996</v>
      </c>
      <c r="AM763" s="3">
        <v>45135</v>
      </c>
      <c r="AN763" s="2">
        <v>6.22</v>
      </c>
      <c r="AO763" s="3">
        <v>45135</v>
      </c>
      <c r="AP763" s="2">
        <v>5.54</v>
      </c>
      <c r="AQ763" s="3">
        <v>45135</v>
      </c>
      <c r="AR763" s="2">
        <v>5.08</v>
      </c>
      <c r="AS763" s="3">
        <v>45135</v>
      </c>
      <c r="AT763" s="2">
        <v>4.6900000000000004</v>
      </c>
      <c r="AU763" s="3">
        <v>45135</v>
      </c>
      <c r="AV763" s="2">
        <v>4.3600000000000003</v>
      </c>
      <c r="AW763" s="3">
        <v>45135</v>
      </c>
      <c r="AX763" s="2">
        <v>4.1150000000000002</v>
      </c>
      <c r="AY763" s="3">
        <v>45135</v>
      </c>
      <c r="AZ763" s="2">
        <v>3.9449999999999998</v>
      </c>
      <c r="BB763" s="3">
        <v>45076</v>
      </c>
      <c r="BC763" s="1">
        <v>7</v>
      </c>
      <c r="BD763" s="3">
        <v>45092</v>
      </c>
      <c r="BE763" s="1">
        <v>7.14</v>
      </c>
      <c r="BF763" s="3">
        <v>45135</v>
      </c>
      <c r="BG763" s="1">
        <v>7.0549999999999997</v>
      </c>
      <c r="BH763" s="3">
        <v>45135</v>
      </c>
      <c r="BI763" s="1">
        <v>7.0149999999999997</v>
      </c>
      <c r="BJ763" s="3">
        <v>45135</v>
      </c>
      <c r="BK763" s="1">
        <v>6.8630000000000004</v>
      </c>
      <c r="BL763" s="3">
        <v>45135</v>
      </c>
      <c r="BM763" s="1">
        <v>6.0679999999999996</v>
      </c>
      <c r="BN763" s="3">
        <v>45135</v>
      </c>
      <c r="BO763" s="1">
        <v>5.1100000000000003</v>
      </c>
      <c r="BP763" s="3">
        <v>45135</v>
      </c>
      <c r="BQ763" s="1">
        <v>4.4429999999999996</v>
      </c>
      <c r="BR763" s="3">
        <v>45135</v>
      </c>
      <c r="BS763" s="1">
        <v>4.1349999999999998</v>
      </c>
      <c r="BT763" s="3">
        <v>45135</v>
      </c>
      <c r="BU763" s="1">
        <v>3.9729999999999999</v>
      </c>
      <c r="BV763" s="3">
        <v>45135</v>
      </c>
      <c r="BW763" s="1">
        <v>3.8250000000000002</v>
      </c>
      <c r="BY763" s="3">
        <v>45092</v>
      </c>
      <c r="BZ763" s="1">
        <v>13</v>
      </c>
      <c r="CA763" s="3">
        <v>45085</v>
      </c>
      <c r="CB763" s="1">
        <v>15.69</v>
      </c>
      <c r="CC763" s="3">
        <v>45135</v>
      </c>
      <c r="CD763" s="1">
        <v>13.65</v>
      </c>
      <c r="CE763" s="3">
        <v>45135</v>
      </c>
      <c r="CF763" s="1">
        <v>12.845000000000001</v>
      </c>
      <c r="CG763" s="3">
        <v>45135</v>
      </c>
      <c r="CH763" s="1">
        <v>11.99</v>
      </c>
      <c r="CI763" s="3">
        <v>45135</v>
      </c>
      <c r="CJ763" s="1">
        <v>10.25</v>
      </c>
      <c r="CK763" s="3">
        <v>45135</v>
      </c>
      <c r="CL763" s="1">
        <v>8.84</v>
      </c>
      <c r="CM763" s="3">
        <v>45135</v>
      </c>
      <c r="CN763" s="1">
        <v>7.8949999999999996</v>
      </c>
      <c r="CO763" s="3">
        <v>45127</v>
      </c>
      <c r="CP763" s="1">
        <v>7</v>
      </c>
      <c r="CQ763" s="3">
        <v>45127</v>
      </c>
      <c r="CR763" s="1">
        <v>6.31</v>
      </c>
      <c r="CS763" s="3">
        <v>45127</v>
      </c>
      <c r="CT763" s="1">
        <v>5.7450000000000001</v>
      </c>
    </row>
    <row r="764" spans="31:98" x14ac:dyDescent="0.2">
      <c r="AE764" s="3">
        <v>45126</v>
      </c>
      <c r="AF764" s="1">
        <v>6.75</v>
      </c>
      <c r="AG764" s="3">
        <v>45092</v>
      </c>
      <c r="AH764" s="1">
        <v>6.9</v>
      </c>
      <c r="AI764" s="3">
        <v>45134</v>
      </c>
      <c r="AJ764" s="2">
        <v>6.5556999999999999</v>
      </c>
      <c r="AK764" s="3">
        <v>45134</v>
      </c>
      <c r="AL764" s="2">
        <v>6.4050000000000002</v>
      </c>
      <c r="AM764" s="3">
        <v>45134</v>
      </c>
      <c r="AN764" s="2">
        <v>6.2050000000000001</v>
      </c>
      <c r="AO764" s="3">
        <v>45134</v>
      </c>
      <c r="AP764" s="2">
        <v>5.5350000000000001</v>
      </c>
      <c r="AQ764" s="3">
        <v>45134</v>
      </c>
      <c r="AR764" s="2">
        <v>5.0750000000000002</v>
      </c>
      <c r="AS764" s="3">
        <v>45134</v>
      </c>
      <c r="AT764" s="2">
        <v>4.6900000000000004</v>
      </c>
      <c r="AU764" s="3">
        <v>45134</v>
      </c>
      <c r="AV764" s="2">
        <v>4.335</v>
      </c>
      <c r="AW764" s="3">
        <v>45134</v>
      </c>
      <c r="AX764" s="2">
        <v>4.08</v>
      </c>
      <c r="AY764" s="3">
        <v>45134</v>
      </c>
      <c r="AZ764" s="2">
        <v>3.91</v>
      </c>
      <c r="BB764" s="3">
        <v>45075</v>
      </c>
      <c r="BC764" s="1">
        <v>7</v>
      </c>
      <c r="BD764" s="3">
        <v>45091</v>
      </c>
      <c r="BE764" s="1">
        <v>7.14</v>
      </c>
      <c r="BF764" s="3">
        <v>45134</v>
      </c>
      <c r="BG764" s="1">
        <v>7.06</v>
      </c>
      <c r="BH764" s="3">
        <v>45134</v>
      </c>
      <c r="BI764" s="1">
        <v>7.0049999999999999</v>
      </c>
      <c r="BJ764" s="3">
        <v>45134</v>
      </c>
      <c r="BK764" s="1">
        <v>6.85</v>
      </c>
      <c r="BL764" s="3">
        <v>45134</v>
      </c>
      <c r="BM764" s="1">
        <v>6.05</v>
      </c>
      <c r="BN764" s="3">
        <v>45134</v>
      </c>
      <c r="BO764" s="1">
        <v>5.085</v>
      </c>
      <c r="BP764" s="3">
        <v>45134</v>
      </c>
      <c r="BQ764" s="1">
        <v>4.4000000000000004</v>
      </c>
      <c r="BR764" s="3">
        <v>45134</v>
      </c>
      <c r="BS764" s="1">
        <v>4.07</v>
      </c>
      <c r="BT764" s="3">
        <v>45134</v>
      </c>
      <c r="BU764" s="1">
        <v>3.91</v>
      </c>
      <c r="BV764" s="3">
        <v>45134</v>
      </c>
      <c r="BW764" s="1">
        <v>3.75</v>
      </c>
      <c r="BY764" s="3">
        <v>45091</v>
      </c>
      <c r="BZ764" s="1">
        <v>13</v>
      </c>
      <c r="CA764" s="3">
        <v>45084</v>
      </c>
      <c r="CB764" s="1">
        <v>15.7</v>
      </c>
      <c r="CC764" s="3">
        <v>45134</v>
      </c>
      <c r="CD764" s="1">
        <v>13.94</v>
      </c>
      <c r="CE764" s="3">
        <v>45134</v>
      </c>
      <c r="CF764" s="1">
        <v>12.91</v>
      </c>
      <c r="CG764" s="3">
        <v>45134</v>
      </c>
      <c r="CH764" s="1">
        <v>12.03</v>
      </c>
      <c r="CI764" s="3">
        <v>45134</v>
      </c>
      <c r="CJ764" s="1">
        <v>10.26</v>
      </c>
      <c r="CK764" s="3">
        <v>45134</v>
      </c>
      <c r="CL764" s="1">
        <v>8.85</v>
      </c>
      <c r="CM764" s="3">
        <v>45134</v>
      </c>
      <c r="CN764" s="1">
        <v>7.915</v>
      </c>
      <c r="CO764" s="3">
        <v>45126</v>
      </c>
      <c r="CP764" s="1">
        <v>6.84</v>
      </c>
      <c r="CQ764" s="3">
        <v>45126</v>
      </c>
      <c r="CR764" s="1">
        <v>6.14</v>
      </c>
      <c r="CS764" s="3">
        <v>45126</v>
      </c>
      <c r="CT764" s="1">
        <v>5.5750000000000002</v>
      </c>
    </row>
    <row r="765" spans="31:98" x14ac:dyDescent="0.2">
      <c r="AE765" s="3">
        <v>45125</v>
      </c>
      <c r="AF765" s="1">
        <v>6.75</v>
      </c>
      <c r="AG765" s="3">
        <v>45091</v>
      </c>
      <c r="AH765" s="1">
        <v>6.9</v>
      </c>
      <c r="AI765" s="3">
        <v>45133</v>
      </c>
      <c r="AJ765" s="2">
        <v>6.5712999999999999</v>
      </c>
      <c r="AK765" s="3">
        <v>45133</v>
      </c>
      <c r="AL765" s="2">
        <v>6.4225000000000003</v>
      </c>
      <c r="AM765" s="3">
        <v>45133</v>
      </c>
      <c r="AN765" s="2">
        <v>6.2050000000000001</v>
      </c>
      <c r="AO765" s="3">
        <v>45133</v>
      </c>
      <c r="AP765" s="2">
        <v>5.55</v>
      </c>
      <c r="AQ765" s="3">
        <v>45133</v>
      </c>
      <c r="AR765" s="2">
        <v>5.0949999999999998</v>
      </c>
      <c r="AS765" s="3">
        <v>45133</v>
      </c>
      <c r="AT765" s="2">
        <v>4.6849999999999996</v>
      </c>
      <c r="AU765" s="3">
        <v>45133</v>
      </c>
      <c r="AV765" s="2">
        <v>4.3550000000000004</v>
      </c>
      <c r="AW765" s="3">
        <v>45133</v>
      </c>
      <c r="AX765" s="2">
        <v>4.125</v>
      </c>
      <c r="AY765" s="3">
        <v>45133</v>
      </c>
      <c r="AZ765" s="2">
        <v>3.96</v>
      </c>
      <c r="BB765" s="3">
        <v>45072</v>
      </c>
      <c r="BC765" s="1">
        <v>7</v>
      </c>
      <c r="BD765" s="3">
        <v>45090</v>
      </c>
      <c r="BE765" s="1">
        <v>7.15</v>
      </c>
      <c r="BF765" s="3">
        <v>45133</v>
      </c>
      <c r="BG765" s="1">
        <v>7.04</v>
      </c>
      <c r="BH765" s="3">
        <v>45133</v>
      </c>
      <c r="BI765" s="1">
        <v>7.01</v>
      </c>
      <c r="BJ765" s="3">
        <v>45133</v>
      </c>
      <c r="BK765" s="1">
        <v>6.84</v>
      </c>
      <c r="BL765" s="3">
        <v>45133</v>
      </c>
      <c r="BM765" s="1">
        <v>6.0549999999999997</v>
      </c>
      <c r="BN765" s="3">
        <v>45133</v>
      </c>
      <c r="BO765" s="1">
        <v>5.0949999999999998</v>
      </c>
      <c r="BP765" s="3">
        <v>45133</v>
      </c>
      <c r="BQ765" s="1">
        <v>4.4530000000000003</v>
      </c>
      <c r="BR765" s="3">
        <v>45133</v>
      </c>
      <c r="BS765" s="1">
        <v>4.1349999999999998</v>
      </c>
      <c r="BT765" s="3">
        <v>45133</v>
      </c>
      <c r="BU765" s="1">
        <v>3.9180000000000001</v>
      </c>
      <c r="BV765" s="3">
        <v>45133</v>
      </c>
      <c r="BW765" s="1">
        <v>3.7850000000000001</v>
      </c>
      <c r="BY765" s="3">
        <v>45090</v>
      </c>
      <c r="BZ765" s="1">
        <v>13</v>
      </c>
      <c r="CA765" s="3">
        <v>45083</v>
      </c>
      <c r="CB765" s="1">
        <v>15.7</v>
      </c>
      <c r="CC765" s="3">
        <v>45133</v>
      </c>
      <c r="CD765" s="1">
        <v>14.03</v>
      </c>
      <c r="CE765" s="3">
        <v>45133</v>
      </c>
      <c r="CF765" s="1">
        <v>13.2</v>
      </c>
      <c r="CG765" s="3">
        <v>45133</v>
      </c>
      <c r="CH765" s="1">
        <v>12.13</v>
      </c>
      <c r="CI765" s="3">
        <v>45133</v>
      </c>
      <c r="CJ765" s="1">
        <v>10.38</v>
      </c>
      <c r="CK765" s="3">
        <v>45133</v>
      </c>
      <c r="CL765" s="1">
        <v>8.9700000000000006</v>
      </c>
      <c r="CM765" s="3">
        <v>45133</v>
      </c>
      <c r="CN765" s="1">
        <v>7.98</v>
      </c>
      <c r="CO765" s="3">
        <v>45125</v>
      </c>
      <c r="CP765" s="1">
        <v>6.7350000000000003</v>
      </c>
      <c r="CQ765" s="3">
        <v>45125</v>
      </c>
      <c r="CR765" s="1">
        <v>6.0350000000000001</v>
      </c>
      <c r="CS765" s="3">
        <v>45125</v>
      </c>
      <c r="CT765" s="1">
        <v>5.47</v>
      </c>
    </row>
    <row r="766" spans="31:98" x14ac:dyDescent="0.2">
      <c r="AE766" s="3">
        <v>45124</v>
      </c>
      <c r="AF766" s="1">
        <v>6.75</v>
      </c>
      <c r="AG766" s="3">
        <v>45090</v>
      </c>
      <c r="AH766" s="1">
        <v>6.9</v>
      </c>
      <c r="AI766" s="3">
        <v>45132</v>
      </c>
      <c r="AJ766" s="2">
        <v>6.5625999999999998</v>
      </c>
      <c r="AK766" s="3">
        <v>45132</v>
      </c>
      <c r="AL766" s="2">
        <v>6.4349999999999996</v>
      </c>
      <c r="AM766" s="3">
        <v>45132</v>
      </c>
      <c r="AN766" s="2">
        <v>6.2</v>
      </c>
      <c r="AO766" s="3">
        <v>45132</v>
      </c>
      <c r="AP766" s="2">
        <v>5.5250000000000004</v>
      </c>
      <c r="AQ766" s="3">
        <v>45132</v>
      </c>
      <c r="AR766" s="2">
        <v>5.0149999999999997</v>
      </c>
      <c r="AS766" s="3">
        <v>45132</v>
      </c>
      <c r="AT766" s="2">
        <v>4.5949999999999998</v>
      </c>
      <c r="AU766" s="3">
        <v>45132</v>
      </c>
      <c r="AV766" s="2">
        <v>4.2699999999999996</v>
      </c>
      <c r="AW766" s="3">
        <v>45132</v>
      </c>
      <c r="AX766" s="2">
        <v>4.0149999999999997</v>
      </c>
      <c r="AY766" s="3">
        <v>45132</v>
      </c>
      <c r="AZ766" s="2">
        <v>3.85</v>
      </c>
      <c r="BB766" s="3">
        <v>45071</v>
      </c>
      <c r="BC766" s="1">
        <v>7</v>
      </c>
      <c r="BD766" s="3">
        <v>45089</v>
      </c>
      <c r="BE766" s="1">
        <v>7.15</v>
      </c>
      <c r="BF766" s="3">
        <v>45132</v>
      </c>
      <c r="BG766" s="1">
        <v>7.04</v>
      </c>
      <c r="BH766" s="3">
        <v>45132</v>
      </c>
      <c r="BI766" s="1">
        <v>6.98</v>
      </c>
      <c r="BJ766" s="3">
        <v>45132</v>
      </c>
      <c r="BK766" s="1">
        <v>6.8</v>
      </c>
      <c r="BL766" s="3">
        <v>45132</v>
      </c>
      <c r="BM766" s="1">
        <v>5.9950000000000001</v>
      </c>
      <c r="BN766" s="3">
        <v>45132</v>
      </c>
      <c r="BO766" s="1">
        <v>4.9749999999999996</v>
      </c>
      <c r="BP766" s="3">
        <v>45132</v>
      </c>
      <c r="BQ766" s="1">
        <v>4.3499999999999996</v>
      </c>
      <c r="BR766" s="3">
        <v>45132</v>
      </c>
      <c r="BS766" s="1">
        <v>4.0199999999999996</v>
      </c>
      <c r="BT766" s="3">
        <v>45132</v>
      </c>
      <c r="BU766" s="1">
        <v>3.8</v>
      </c>
      <c r="BV766" s="3">
        <v>45132</v>
      </c>
      <c r="BW766" s="1">
        <v>3.6680000000000001</v>
      </c>
      <c r="BY766" s="3">
        <v>45086</v>
      </c>
      <c r="BZ766" s="1">
        <v>13</v>
      </c>
      <c r="CA766" s="3">
        <v>45082</v>
      </c>
      <c r="CB766" s="1">
        <v>15.7</v>
      </c>
      <c r="CC766" s="3">
        <v>45132</v>
      </c>
      <c r="CD766" s="1">
        <v>14.015000000000001</v>
      </c>
      <c r="CE766" s="3">
        <v>45132</v>
      </c>
      <c r="CF766" s="1">
        <v>13.191000000000001</v>
      </c>
      <c r="CG766" s="3">
        <v>45132</v>
      </c>
      <c r="CH766" s="1">
        <v>12.1</v>
      </c>
      <c r="CI766" s="3">
        <v>45132</v>
      </c>
      <c r="CJ766" s="1">
        <v>10.35</v>
      </c>
      <c r="CK766" s="3">
        <v>45132</v>
      </c>
      <c r="CL766" s="1">
        <v>8.9</v>
      </c>
      <c r="CM766" s="3">
        <v>45132</v>
      </c>
      <c r="CN766" s="1">
        <v>8.07</v>
      </c>
      <c r="CO766" s="3">
        <v>45124</v>
      </c>
      <c r="CP766" s="1">
        <v>6.83</v>
      </c>
      <c r="CQ766" s="3">
        <v>45124</v>
      </c>
      <c r="CR766" s="1">
        <v>6.13</v>
      </c>
      <c r="CS766" s="3">
        <v>45124</v>
      </c>
      <c r="CT766" s="1">
        <v>5.5650000000000004</v>
      </c>
    </row>
    <row r="767" spans="31:98" x14ac:dyDescent="0.2">
      <c r="AE767" s="3">
        <v>45121</v>
      </c>
      <c r="AF767" s="1">
        <v>6.75</v>
      </c>
      <c r="AG767" s="3">
        <v>45089</v>
      </c>
      <c r="AH767" s="1">
        <v>6.9</v>
      </c>
      <c r="AI767" s="3">
        <v>45131</v>
      </c>
      <c r="AJ767" s="2">
        <v>6.6630000000000003</v>
      </c>
      <c r="AK767" s="3">
        <v>45131</v>
      </c>
      <c r="AL767" s="2">
        <v>6.4450000000000003</v>
      </c>
      <c r="AM767" s="3">
        <v>45131</v>
      </c>
      <c r="AN767" s="2">
        <v>6.2050000000000001</v>
      </c>
      <c r="AO767" s="3">
        <v>45131</v>
      </c>
      <c r="AP767" s="2">
        <v>5.4924999999999997</v>
      </c>
      <c r="AQ767" s="3">
        <v>45131</v>
      </c>
      <c r="AR767" s="2">
        <v>4.9675000000000002</v>
      </c>
      <c r="AS767" s="3">
        <v>45131</v>
      </c>
      <c r="AT767" s="2">
        <v>4.5525000000000002</v>
      </c>
      <c r="AU767" s="3">
        <v>45131</v>
      </c>
      <c r="AV767" s="2">
        <v>4.2249999999999996</v>
      </c>
      <c r="AW767" s="3">
        <v>45131</v>
      </c>
      <c r="AX767" s="2">
        <v>3.9750000000000001</v>
      </c>
      <c r="AY767" s="3">
        <v>45131</v>
      </c>
      <c r="AZ767" s="2">
        <v>3.8174999999999999</v>
      </c>
      <c r="BB767" s="3">
        <v>45070</v>
      </c>
      <c r="BC767" s="1">
        <v>7</v>
      </c>
      <c r="BD767" s="3">
        <v>45086</v>
      </c>
      <c r="BE767" s="1">
        <v>7.15</v>
      </c>
      <c r="BF767" s="3">
        <v>45131</v>
      </c>
      <c r="BG767" s="1">
        <v>7.04</v>
      </c>
      <c r="BH767" s="3">
        <v>45131</v>
      </c>
      <c r="BI767" s="1">
        <v>6.95</v>
      </c>
      <c r="BJ767" s="3">
        <v>45131</v>
      </c>
      <c r="BK767" s="1">
        <v>6.75</v>
      </c>
      <c r="BL767" s="3">
        <v>45131</v>
      </c>
      <c r="BM767" s="1">
        <v>5.96</v>
      </c>
      <c r="BN767" s="3">
        <v>45131</v>
      </c>
      <c r="BO767" s="1">
        <v>4.9749999999999996</v>
      </c>
      <c r="BP767" s="3">
        <v>45131</v>
      </c>
      <c r="BQ767" s="1">
        <v>4.29</v>
      </c>
      <c r="BR767" s="3">
        <v>45131</v>
      </c>
      <c r="BS767" s="1">
        <v>3.9350000000000001</v>
      </c>
      <c r="BT767" s="3">
        <v>45131</v>
      </c>
      <c r="BU767" s="1">
        <v>3.6930000000000001</v>
      </c>
      <c r="BV767" s="3">
        <v>45131</v>
      </c>
      <c r="BW767" s="1">
        <v>3.5179999999999998</v>
      </c>
      <c r="BY767" s="3">
        <v>45085</v>
      </c>
      <c r="BZ767" s="1">
        <v>13</v>
      </c>
      <c r="CA767" s="3">
        <v>45079</v>
      </c>
      <c r="CB767" s="1">
        <v>15.7</v>
      </c>
      <c r="CC767" s="3">
        <v>45131</v>
      </c>
      <c r="CD767" s="1">
        <v>14.22</v>
      </c>
      <c r="CE767" s="3">
        <v>45131</v>
      </c>
      <c r="CF767" s="1">
        <v>13.33</v>
      </c>
      <c r="CG767" s="3">
        <v>45131</v>
      </c>
      <c r="CH767" s="1">
        <v>12.4</v>
      </c>
      <c r="CI767" s="3">
        <v>45131</v>
      </c>
      <c r="CJ767" s="1">
        <v>10.5</v>
      </c>
      <c r="CK767" s="3">
        <v>45131</v>
      </c>
      <c r="CL767" s="1">
        <v>9.02</v>
      </c>
      <c r="CM767" s="3">
        <v>45131</v>
      </c>
      <c r="CN767" s="1">
        <v>8.0449999999999999</v>
      </c>
      <c r="CO767" s="3">
        <v>45121</v>
      </c>
      <c r="CP767" s="1">
        <v>6.8849999999999998</v>
      </c>
      <c r="CQ767" s="3">
        <v>45121</v>
      </c>
      <c r="CR767" s="1">
        <v>6.1849999999999996</v>
      </c>
      <c r="CS767" s="3">
        <v>45121</v>
      </c>
      <c r="CT767" s="1">
        <v>5.62</v>
      </c>
    </row>
    <row r="768" spans="31:98" x14ac:dyDescent="0.2">
      <c r="AE768" s="3">
        <v>45120</v>
      </c>
      <c r="AF768" s="1">
        <v>6.75</v>
      </c>
      <c r="AG768" s="3">
        <v>45086</v>
      </c>
      <c r="AH768" s="1">
        <v>6.9</v>
      </c>
      <c r="AI768" s="3">
        <v>45128</v>
      </c>
      <c r="AJ768" s="2">
        <v>6.6734999999999998</v>
      </c>
      <c r="AK768" s="3">
        <v>45128</v>
      </c>
      <c r="AL768" s="2">
        <v>6.4550000000000001</v>
      </c>
      <c r="AM768" s="3">
        <v>45128</v>
      </c>
      <c r="AN768" s="2">
        <v>6.22</v>
      </c>
      <c r="AO768" s="3">
        <v>45128</v>
      </c>
      <c r="AP768" s="2">
        <v>5.5149999999999997</v>
      </c>
      <c r="AQ768" s="3">
        <v>45128</v>
      </c>
      <c r="AR768" s="2">
        <v>5.01</v>
      </c>
      <c r="AS768" s="3">
        <v>45128</v>
      </c>
      <c r="AT768" s="2">
        <v>4.59</v>
      </c>
      <c r="AU768" s="3">
        <v>45128</v>
      </c>
      <c r="AV768" s="2">
        <v>4.26</v>
      </c>
      <c r="AW768" s="3">
        <v>45128</v>
      </c>
      <c r="AX768" s="2">
        <v>4.01</v>
      </c>
      <c r="AY768" s="3">
        <v>45128</v>
      </c>
      <c r="AZ768" s="2">
        <v>3.85</v>
      </c>
      <c r="BB768" s="3">
        <v>45069</v>
      </c>
      <c r="BC768" s="1">
        <v>7</v>
      </c>
      <c r="BD768" s="3">
        <v>45085</v>
      </c>
      <c r="BE768" s="1">
        <v>7.16</v>
      </c>
      <c r="BF768" s="3">
        <v>45128</v>
      </c>
      <c r="BG768" s="1">
        <v>7.04</v>
      </c>
      <c r="BH768" s="3">
        <v>45128</v>
      </c>
      <c r="BI768" s="1">
        <v>6.97</v>
      </c>
      <c r="BJ768" s="3">
        <v>45128</v>
      </c>
      <c r="BK768" s="1">
        <v>6.77</v>
      </c>
      <c r="BL768" s="3">
        <v>45128</v>
      </c>
      <c r="BM768" s="1">
        <v>6.01</v>
      </c>
      <c r="BN768" s="3">
        <v>45128</v>
      </c>
      <c r="BO768" s="1">
        <v>5.05</v>
      </c>
      <c r="BP768" s="3">
        <v>45128</v>
      </c>
      <c r="BQ768" s="1">
        <v>4.37</v>
      </c>
      <c r="BR768" s="3">
        <v>45128</v>
      </c>
      <c r="BS768" s="1">
        <v>4.0350000000000001</v>
      </c>
      <c r="BT768" s="3">
        <v>45128</v>
      </c>
      <c r="BU768" s="1">
        <v>3.82</v>
      </c>
      <c r="BV768" s="3">
        <v>45128</v>
      </c>
      <c r="BW768" s="1">
        <v>3.6579999999999999</v>
      </c>
      <c r="BY768" s="3">
        <v>45084</v>
      </c>
      <c r="BZ768" s="1">
        <v>13</v>
      </c>
      <c r="CA768" s="3">
        <v>45078</v>
      </c>
      <c r="CB768" s="1">
        <v>15.7</v>
      </c>
      <c r="CC768" s="3">
        <v>45128</v>
      </c>
      <c r="CD768" s="1">
        <v>14.37</v>
      </c>
      <c r="CE768" s="3">
        <v>45128</v>
      </c>
      <c r="CF768" s="1">
        <v>13.5</v>
      </c>
      <c r="CG768" s="3">
        <v>45128</v>
      </c>
      <c r="CH768" s="1">
        <v>12.6</v>
      </c>
      <c r="CI768" s="3">
        <v>45128</v>
      </c>
      <c r="CJ768" s="1">
        <v>10.76</v>
      </c>
      <c r="CK768" s="3">
        <v>45128</v>
      </c>
      <c r="CL768" s="1">
        <v>9.23</v>
      </c>
      <c r="CM768" s="3">
        <v>45128</v>
      </c>
      <c r="CN768" s="1">
        <v>8.16</v>
      </c>
      <c r="CO768" s="3">
        <v>45120</v>
      </c>
      <c r="CP768" s="1">
        <v>6.8949999999999996</v>
      </c>
      <c r="CQ768" s="3">
        <v>45120</v>
      </c>
      <c r="CR768" s="1">
        <v>6.165</v>
      </c>
      <c r="CS768" s="3">
        <v>45120</v>
      </c>
      <c r="CT768" s="1">
        <v>5.68</v>
      </c>
    </row>
    <row r="769" spans="31:98" x14ac:dyDescent="0.2">
      <c r="AE769" s="3">
        <v>45119</v>
      </c>
      <c r="AF769" s="1">
        <v>6.75</v>
      </c>
      <c r="AG769" s="3">
        <v>45084</v>
      </c>
      <c r="AH769" s="1">
        <v>6.9</v>
      </c>
      <c r="AI769" s="3">
        <v>45127</v>
      </c>
      <c r="AJ769" s="2">
        <v>6.6955</v>
      </c>
      <c r="AK769" s="3">
        <v>45127</v>
      </c>
      <c r="AL769" s="2">
        <v>6.46</v>
      </c>
      <c r="AM769" s="3">
        <v>45127</v>
      </c>
      <c r="AN769" s="2">
        <v>6.24</v>
      </c>
      <c r="AO769" s="3">
        <v>45127</v>
      </c>
      <c r="AP769" s="2">
        <v>5.58</v>
      </c>
      <c r="AQ769" s="3">
        <v>45127</v>
      </c>
      <c r="AR769" s="2">
        <v>5.0599999999999996</v>
      </c>
      <c r="AS769" s="3">
        <v>45127</v>
      </c>
      <c r="AT769" s="2">
        <v>4.66</v>
      </c>
      <c r="AU769" s="3">
        <v>45127</v>
      </c>
      <c r="AV769" s="2">
        <v>4.335</v>
      </c>
      <c r="AW769" s="3">
        <v>45127</v>
      </c>
      <c r="AX769" s="2">
        <v>4.0750000000000002</v>
      </c>
      <c r="AY769" s="3">
        <v>45127</v>
      </c>
      <c r="AZ769" s="2">
        <v>3.91</v>
      </c>
      <c r="BB769" s="3">
        <v>45068</v>
      </c>
      <c r="BC769" s="1">
        <v>7</v>
      </c>
      <c r="BD769" s="3">
        <v>45084</v>
      </c>
      <c r="BE769" s="1">
        <v>7.16</v>
      </c>
      <c r="BF769" s="3">
        <v>45127</v>
      </c>
      <c r="BG769" s="1">
        <v>7.04</v>
      </c>
      <c r="BH769" s="3">
        <v>45127</v>
      </c>
      <c r="BI769" s="1">
        <v>6.9749999999999996</v>
      </c>
      <c r="BJ769" s="3">
        <v>45127</v>
      </c>
      <c r="BK769" s="1">
        <v>6.8049999999999997</v>
      </c>
      <c r="BL769" s="3">
        <v>45127</v>
      </c>
      <c r="BM769" s="1">
        <v>6.0330000000000004</v>
      </c>
      <c r="BN769" s="3">
        <v>45127</v>
      </c>
      <c r="BO769" s="1">
        <v>5.1050000000000004</v>
      </c>
      <c r="BP769" s="3">
        <v>45127</v>
      </c>
      <c r="BQ769" s="1">
        <v>4.47</v>
      </c>
      <c r="BR769" s="3">
        <v>45127</v>
      </c>
      <c r="BS769" s="1">
        <v>4.1500000000000004</v>
      </c>
      <c r="BT769" s="3">
        <v>45127</v>
      </c>
      <c r="BU769" s="1">
        <v>3.9380000000000002</v>
      </c>
      <c r="BV769" s="3">
        <v>45127</v>
      </c>
      <c r="BW769" s="1">
        <v>3.78</v>
      </c>
      <c r="BY769" s="3">
        <v>45083</v>
      </c>
      <c r="BZ769" s="1">
        <v>13</v>
      </c>
      <c r="CA769" s="3">
        <v>45077</v>
      </c>
      <c r="CB769" s="1">
        <v>15.7</v>
      </c>
      <c r="CC769" s="3">
        <v>45127</v>
      </c>
      <c r="CD769" s="1">
        <v>14.42</v>
      </c>
      <c r="CE769" s="3">
        <v>45127</v>
      </c>
      <c r="CF769" s="1">
        <v>13.6</v>
      </c>
      <c r="CG769" s="3">
        <v>45127</v>
      </c>
      <c r="CH769" s="1">
        <v>12.68</v>
      </c>
      <c r="CI769" s="3">
        <v>45127</v>
      </c>
      <c r="CJ769" s="1">
        <v>10.75</v>
      </c>
      <c r="CK769" s="3">
        <v>45127</v>
      </c>
      <c r="CL769" s="1">
        <v>9.2200000000000006</v>
      </c>
      <c r="CM769" s="3">
        <v>45127</v>
      </c>
      <c r="CN769" s="1">
        <v>8.07</v>
      </c>
      <c r="CO769" s="3">
        <v>45119</v>
      </c>
      <c r="CP769" s="1">
        <v>7.415</v>
      </c>
      <c r="CQ769" s="3">
        <v>45119</v>
      </c>
      <c r="CR769" s="1">
        <v>6.6950000000000003</v>
      </c>
      <c r="CS769" s="3">
        <v>45119</v>
      </c>
      <c r="CT769" s="1">
        <v>6.1950000000000003</v>
      </c>
    </row>
    <row r="770" spans="31:98" x14ac:dyDescent="0.2">
      <c r="AE770" s="3">
        <v>45118</v>
      </c>
      <c r="AF770" s="1">
        <v>6.75</v>
      </c>
      <c r="AG770" s="3">
        <v>45083</v>
      </c>
      <c r="AH770" s="1">
        <v>6.9</v>
      </c>
      <c r="AI770" s="3">
        <v>45126</v>
      </c>
      <c r="AJ770" s="2">
        <v>6.7</v>
      </c>
      <c r="AK770" s="3">
        <v>45126</v>
      </c>
      <c r="AL770" s="2">
        <v>6.4550000000000001</v>
      </c>
      <c r="AM770" s="3">
        <v>45126</v>
      </c>
      <c r="AN770" s="2">
        <v>6.21</v>
      </c>
      <c r="AO770" s="3">
        <v>45126</v>
      </c>
      <c r="AP770" s="2">
        <v>5.5</v>
      </c>
      <c r="AQ770" s="3">
        <v>45126</v>
      </c>
      <c r="AR770" s="2">
        <v>4.9850000000000003</v>
      </c>
      <c r="AS770" s="3">
        <v>45126</v>
      </c>
      <c r="AT770" s="2">
        <v>4.58</v>
      </c>
      <c r="AU770" s="3">
        <v>45126</v>
      </c>
      <c r="AV770" s="2">
        <v>4.2525000000000004</v>
      </c>
      <c r="AW770" s="3">
        <v>45126</v>
      </c>
      <c r="AX770" s="2">
        <v>3.9925000000000002</v>
      </c>
      <c r="AY770" s="3">
        <v>45126</v>
      </c>
      <c r="AZ770" s="2">
        <v>3.8025000000000002</v>
      </c>
      <c r="BB770" s="3">
        <v>45065</v>
      </c>
      <c r="BC770" s="1">
        <v>7</v>
      </c>
      <c r="BD770" s="3">
        <v>45083</v>
      </c>
      <c r="BE770" s="1">
        <v>7.17</v>
      </c>
      <c r="BF770" s="3">
        <v>45126</v>
      </c>
      <c r="BG770" s="1">
        <v>7.03</v>
      </c>
      <c r="BH770" s="3">
        <v>45126</v>
      </c>
      <c r="BI770" s="1">
        <v>6.9450000000000003</v>
      </c>
      <c r="BJ770" s="3">
        <v>45126</v>
      </c>
      <c r="BK770" s="1">
        <v>6.78</v>
      </c>
      <c r="BL770" s="3">
        <v>45126</v>
      </c>
      <c r="BM770" s="1">
        <v>5.98</v>
      </c>
      <c r="BN770" s="3">
        <v>45126</v>
      </c>
      <c r="BO770" s="1">
        <v>5.0199999999999996</v>
      </c>
      <c r="BP770" s="3">
        <v>45126</v>
      </c>
      <c r="BQ770" s="1">
        <v>4.3899999999999997</v>
      </c>
      <c r="BR770" s="3">
        <v>45126</v>
      </c>
      <c r="BS770" s="1">
        <v>4.03</v>
      </c>
      <c r="BT770" s="3">
        <v>45126</v>
      </c>
      <c r="BU770" s="1">
        <v>3.7679999999999998</v>
      </c>
      <c r="BV770" s="3">
        <v>45126</v>
      </c>
      <c r="BW770" s="1">
        <v>3.6080000000000001</v>
      </c>
      <c r="BY770" s="3">
        <v>45082</v>
      </c>
      <c r="BZ770" s="1">
        <v>13</v>
      </c>
      <c r="CA770" s="3">
        <v>45076</v>
      </c>
      <c r="CB770" s="1">
        <v>15.7</v>
      </c>
      <c r="CC770" s="3">
        <v>45126</v>
      </c>
      <c r="CD770" s="1">
        <v>14.5</v>
      </c>
      <c r="CE770" s="3">
        <v>45126</v>
      </c>
      <c r="CF770" s="1">
        <v>13.75</v>
      </c>
      <c r="CG770" s="3">
        <v>45126</v>
      </c>
      <c r="CH770" s="1">
        <v>12.85</v>
      </c>
      <c r="CI770" s="3">
        <v>45126</v>
      </c>
      <c r="CJ770" s="1">
        <v>10.7</v>
      </c>
      <c r="CK770" s="3">
        <v>45126</v>
      </c>
      <c r="CL770" s="1">
        <v>9.15</v>
      </c>
      <c r="CM770" s="3">
        <v>45126</v>
      </c>
      <c r="CN770" s="1">
        <v>7.9</v>
      </c>
      <c r="CO770" s="3">
        <v>45118</v>
      </c>
      <c r="CP770" s="1">
        <v>7.44</v>
      </c>
      <c r="CQ770" s="3">
        <v>45118</v>
      </c>
      <c r="CR770" s="1">
        <v>6.74</v>
      </c>
      <c r="CS770" s="3">
        <v>45118</v>
      </c>
      <c r="CT770" s="1">
        <v>6.29</v>
      </c>
    </row>
    <row r="771" spans="31:98" x14ac:dyDescent="0.2">
      <c r="AE771" s="3">
        <v>45117</v>
      </c>
      <c r="AF771" s="1">
        <v>6.75</v>
      </c>
      <c r="AG771" s="3">
        <v>45082</v>
      </c>
      <c r="AH771" s="1">
        <v>6.9</v>
      </c>
      <c r="AI771" s="3">
        <v>45125</v>
      </c>
      <c r="AJ771" s="2">
        <v>6.694</v>
      </c>
      <c r="AK771" s="3">
        <v>45125</v>
      </c>
      <c r="AL771" s="2">
        <v>6.4349999999999996</v>
      </c>
      <c r="AM771" s="3">
        <v>45125</v>
      </c>
      <c r="AN771" s="2">
        <v>6.165</v>
      </c>
      <c r="AO771" s="3">
        <v>45125</v>
      </c>
      <c r="AP771" s="2">
        <v>5.3949999999999996</v>
      </c>
      <c r="AQ771" s="3">
        <v>45125</v>
      </c>
      <c r="AR771" s="2">
        <v>4.8099999999999996</v>
      </c>
      <c r="AS771" s="3">
        <v>45125</v>
      </c>
      <c r="AT771" s="2">
        <v>4.4000000000000004</v>
      </c>
      <c r="AU771" s="3">
        <v>45125</v>
      </c>
      <c r="AV771" s="2">
        <v>4.08</v>
      </c>
      <c r="AW771" s="3">
        <v>45125</v>
      </c>
      <c r="AX771" s="2">
        <v>3.835</v>
      </c>
      <c r="AY771" s="3">
        <v>45125</v>
      </c>
      <c r="AZ771" s="2">
        <v>3.6549999999999998</v>
      </c>
      <c r="BB771" s="3">
        <v>45064</v>
      </c>
      <c r="BC771" s="1">
        <v>7</v>
      </c>
      <c r="BD771" s="3">
        <v>45082</v>
      </c>
      <c r="BE771" s="1">
        <v>7.17</v>
      </c>
      <c r="BF771" s="3">
        <v>45125</v>
      </c>
      <c r="BG771" s="1">
        <v>7.03</v>
      </c>
      <c r="BH771" s="3">
        <v>45125</v>
      </c>
      <c r="BI771" s="1">
        <v>6.915</v>
      </c>
      <c r="BJ771" s="3">
        <v>45125</v>
      </c>
      <c r="BK771" s="1">
        <v>6.77</v>
      </c>
      <c r="BL771" s="3">
        <v>45125</v>
      </c>
      <c r="BM771" s="1">
        <v>5.9349999999999996</v>
      </c>
      <c r="BN771" s="3">
        <v>45125</v>
      </c>
      <c r="BO771" s="1">
        <v>4.9550000000000001</v>
      </c>
      <c r="BP771" s="3">
        <v>45125</v>
      </c>
      <c r="BQ771" s="1">
        <v>4.2930000000000001</v>
      </c>
      <c r="BR771" s="3">
        <v>45125</v>
      </c>
      <c r="BS771" s="1">
        <v>3.92</v>
      </c>
      <c r="BT771" s="3">
        <v>45125</v>
      </c>
      <c r="BU771" s="1">
        <v>3.65</v>
      </c>
      <c r="BV771" s="3">
        <v>45125</v>
      </c>
      <c r="BW771" s="1">
        <v>3.49</v>
      </c>
      <c r="BY771" s="3">
        <v>45079</v>
      </c>
      <c r="BZ771" s="1">
        <v>13</v>
      </c>
      <c r="CA771" s="3">
        <v>45072</v>
      </c>
      <c r="CB771" s="1">
        <v>15.7</v>
      </c>
      <c r="CC771" s="3">
        <v>45125</v>
      </c>
      <c r="CD771" s="1">
        <v>14.5</v>
      </c>
      <c r="CE771" s="3">
        <v>45125</v>
      </c>
      <c r="CF771" s="1">
        <v>13.75</v>
      </c>
      <c r="CG771" s="3">
        <v>45125</v>
      </c>
      <c r="CH771" s="1">
        <v>12.87</v>
      </c>
      <c r="CI771" s="3">
        <v>45125</v>
      </c>
      <c r="CJ771" s="1">
        <v>10.67</v>
      </c>
      <c r="CK771" s="3">
        <v>45125</v>
      </c>
      <c r="CL771" s="1">
        <v>9.07</v>
      </c>
      <c r="CM771" s="3">
        <v>45125</v>
      </c>
      <c r="CN771" s="1">
        <v>7.7949999999999999</v>
      </c>
      <c r="CO771" s="3">
        <v>45117</v>
      </c>
      <c r="CP771" s="1">
        <v>7.35</v>
      </c>
      <c r="CQ771" s="3">
        <v>45117</v>
      </c>
      <c r="CR771" s="1">
        <v>6.63</v>
      </c>
      <c r="CS771" s="3">
        <v>45117</v>
      </c>
      <c r="CT771" s="1">
        <v>6.13</v>
      </c>
    </row>
    <row r="772" spans="31:98" x14ac:dyDescent="0.2">
      <c r="AE772" s="3">
        <v>45114</v>
      </c>
      <c r="AF772" s="1">
        <v>6.75</v>
      </c>
      <c r="AG772" s="3">
        <v>45079</v>
      </c>
      <c r="AH772" s="1">
        <v>6.9</v>
      </c>
      <c r="AI772" s="3">
        <v>45124</v>
      </c>
      <c r="AJ772" s="2">
        <v>6.6950000000000003</v>
      </c>
      <c r="AK772" s="3">
        <v>45124</v>
      </c>
      <c r="AL772" s="2">
        <v>6.4249999999999998</v>
      </c>
      <c r="AM772" s="3">
        <v>45124</v>
      </c>
      <c r="AN772" s="2">
        <v>6.16</v>
      </c>
      <c r="AO772" s="3">
        <v>45124</v>
      </c>
      <c r="AP772" s="2">
        <v>5.41</v>
      </c>
      <c r="AQ772" s="3">
        <v>45124</v>
      </c>
      <c r="AR772" s="2">
        <v>4.8550000000000004</v>
      </c>
      <c r="AS772" s="3">
        <v>45124</v>
      </c>
      <c r="AT772" s="2">
        <v>4.4749999999999996</v>
      </c>
      <c r="AU772" s="3">
        <v>45124</v>
      </c>
      <c r="AV772" s="2">
        <v>4.17</v>
      </c>
      <c r="AW772" s="3">
        <v>45124</v>
      </c>
      <c r="AX772" s="2">
        <v>3.915</v>
      </c>
      <c r="AY772" s="3">
        <v>45124</v>
      </c>
      <c r="AZ772" s="2">
        <v>3.71</v>
      </c>
      <c r="BB772" s="3">
        <v>45063</v>
      </c>
      <c r="BC772" s="1">
        <v>7</v>
      </c>
      <c r="BD772" s="3">
        <v>45079</v>
      </c>
      <c r="BE772" s="1">
        <v>7.17</v>
      </c>
      <c r="BF772" s="3">
        <v>45124</v>
      </c>
      <c r="BG772" s="1">
        <v>7.04</v>
      </c>
      <c r="BH772" s="3">
        <v>45124</v>
      </c>
      <c r="BI772" s="1">
        <v>6.9450000000000003</v>
      </c>
      <c r="BJ772" s="3">
        <v>45124</v>
      </c>
      <c r="BK772" s="1">
        <v>6.8049999999999997</v>
      </c>
      <c r="BL772" s="3">
        <v>45124</v>
      </c>
      <c r="BM772" s="1">
        <v>6.04</v>
      </c>
      <c r="BN772" s="3">
        <v>45124</v>
      </c>
      <c r="BO772" s="1">
        <v>5.1050000000000004</v>
      </c>
      <c r="BP772" s="3">
        <v>45124</v>
      </c>
      <c r="BQ772" s="1">
        <v>4.4249999999999998</v>
      </c>
      <c r="BR772" s="3">
        <v>45124</v>
      </c>
      <c r="BS772" s="1">
        <v>4.0330000000000004</v>
      </c>
      <c r="BT772" s="3">
        <v>45124</v>
      </c>
      <c r="BU772" s="1">
        <v>3.7650000000000001</v>
      </c>
      <c r="BV772" s="3">
        <v>45124</v>
      </c>
      <c r="BW772" s="1">
        <v>3.6349999999999998</v>
      </c>
      <c r="BY772" s="3">
        <v>45078</v>
      </c>
      <c r="BZ772" s="1">
        <v>13</v>
      </c>
      <c r="CA772" s="3">
        <v>45071</v>
      </c>
      <c r="CB772" s="1">
        <v>15.71</v>
      </c>
      <c r="CC772" s="3">
        <v>45124</v>
      </c>
      <c r="CD772" s="1">
        <v>14.51</v>
      </c>
      <c r="CE772" s="3">
        <v>45124</v>
      </c>
      <c r="CF772" s="1">
        <v>13.81</v>
      </c>
      <c r="CG772" s="3">
        <v>45124</v>
      </c>
      <c r="CH772" s="1">
        <v>12.95</v>
      </c>
      <c r="CI772" s="3">
        <v>45124</v>
      </c>
      <c r="CJ772" s="1">
        <v>10.75</v>
      </c>
      <c r="CK772" s="3">
        <v>45124</v>
      </c>
      <c r="CL772" s="1">
        <v>9.15</v>
      </c>
      <c r="CM772" s="3">
        <v>45124</v>
      </c>
      <c r="CN772" s="1">
        <v>7.915</v>
      </c>
      <c r="CO772" s="3">
        <v>45114</v>
      </c>
      <c r="CP772" s="1">
        <v>7.52</v>
      </c>
      <c r="CQ772" s="3">
        <v>45114</v>
      </c>
      <c r="CR772" s="1">
        <v>6.8</v>
      </c>
      <c r="CS772" s="3">
        <v>45114</v>
      </c>
      <c r="CT772" s="1">
        <v>6.3</v>
      </c>
    </row>
    <row r="773" spans="31:98" x14ac:dyDescent="0.2">
      <c r="AE773" s="3">
        <v>45113</v>
      </c>
      <c r="AF773" s="1">
        <v>6.75</v>
      </c>
      <c r="AG773" s="3">
        <v>45078</v>
      </c>
      <c r="AH773" s="1">
        <v>6.9</v>
      </c>
      <c r="AI773" s="3">
        <v>45121</v>
      </c>
      <c r="AJ773" s="2">
        <v>6.718</v>
      </c>
      <c r="AK773" s="3">
        <v>45121</v>
      </c>
      <c r="AL773" s="2">
        <v>6.44</v>
      </c>
      <c r="AM773" s="3">
        <v>45121</v>
      </c>
      <c r="AN773" s="2">
        <v>6.17</v>
      </c>
      <c r="AO773" s="3">
        <v>45121</v>
      </c>
      <c r="AP773" s="2">
        <v>5.4450000000000003</v>
      </c>
      <c r="AQ773" s="3">
        <v>45121</v>
      </c>
      <c r="AR773" s="2">
        <v>4.9349999999999996</v>
      </c>
      <c r="AS773" s="3">
        <v>45121</v>
      </c>
      <c r="AT773" s="2">
        <v>4.54</v>
      </c>
      <c r="AU773" s="3">
        <v>45121</v>
      </c>
      <c r="AV773" s="2">
        <v>4.2450000000000001</v>
      </c>
      <c r="AW773" s="3">
        <v>45121</v>
      </c>
      <c r="AX773" s="2">
        <v>4.0250000000000004</v>
      </c>
      <c r="AY773" s="3">
        <v>45121</v>
      </c>
      <c r="AZ773" s="2">
        <v>3.8650000000000002</v>
      </c>
      <c r="BB773" s="3">
        <v>45062</v>
      </c>
      <c r="BC773" s="1">
        <v>7</v>
      </c>
      <c r="BD773" s="3">
        <v>45078</v>
      </c>
      <c r="BE773" s="1">
        <v>7.17</v>
      </c>
      <c r="BF773" s="3">
        <v>45121</v>
      </c>
      <c r="BG773" s="1">
        <v>7.04</v>
      </c>
      <c r="BH773" s="3">
        <v>45121</v>
      </c>
      <c r="BI773" s="1">
        <v>6.9749999999999996</v>
      </c>
      <c r="BJ773" s="3">
        <v>45121</v>
      </c>
      <c r="BK773" s="1">
        <v>6.81</v>
      </c>
      <c r="BL773" s="3">
        <v>45121</v>
      </c>
      <c r="BM773" s="1">
        <v>6.05</v>
      </c>
      <c r="BN773" s="3">
        <v>45121</v>
      </c>
      <c r="BO773" s="1">
        <v>5.1150000000000002</v>
      </c>
      <c r="BP773" s="3">
        <v>45121</v>
      </c>
      <c r="BQ773" s="1">
        <v>4.4400000000000004</v>
      </c>
      <c r="BR773" s="3">
        <v>45121</v>
      </c>
      <c r="BS773" s="1">
        <v>4.0199999999999996</v>
      </c>
      <c r="BT773" s="3">
        <v>45121</v>
      </c>
      <c r="BU773" s="1">
        <v>3.7650000000000001</v>
      </c>
      <c r="BV773" s="3">
        <v>45121</v>
      </c>
      <c r="BW773" s="1">
        <v>3.6480000000000001</v>
      </c>
      <c r="BY773" s="3">
        <v>45077</v>
      </c>
      <c r="BZ773" s="1">
        <v>13</v>
      </c>
      <c r="CA773" s="3">
        <v>45070</v>
      </c>
      <c r="CB773" s="1">
        <v>15.71</v>
      </c>
      <c r="CC773" s="3">
        <v>45121</v>
      </c>
      <c r="CD773" s="1">
        <v>14.56</v>
      </c>
      <c r="CE773" s="3">
        <v>45121</v>
      </c>
      <c r="CF773" s="1">
        <v>13.87</v>
      </c>
      <c r="CG773" s="3">
        <v>45121</v>
      </c>
      <c r="CH773" s="1">
        <v>13.05</v>
      </c>
      <c r="CI773" s="3">
        <v>45121</v>
      </c>
      <c r="CJ773" s="1">
        <v>10.85</v>
      </c>
      <c r="CK773" s="3">
        <v>45121</v>
      </c>
      <c r="CL773" s="1">
        <v>9.25</v>
      </c>
      <c r="CM773" s="3">
        <v>45121</v>
      </c>
      <c r="CN773" s="1">
        <v>7.9649999999999999</v>
      </c>
      <c r="CO773" s="1">
        <v>45113</v>
      </c>
      <c r="CP773" s="1">
        <v>7.34</v>
      </c>
      <c r="CQ773" s="1">
        <v>45113</v>
      </c>
      <c r="CR773" s="1">
        <v>6.62</v>
      </c>
      <c r="CS773" s="1">
        <v>45113</v>
      </c>
      <c r="CT773" s="1">
        <v>6.12</v>
      </c>
    </row>
    <row r="774" spans="31:98" x14ac:dyDescent="0.2">
      <c r="AE774" s="3">
        <v>45112</v>
      </c>
      <c r="AF774" s="1">
        <v>6.75</v>
      </c>
      <c r="AG774" s="3">
        <v>45077</v>
      </c>
      <c r="AH774" s="1">
        <v>6.9</v>
      </c>
      <c r="AI774" s="3">
        <v>45120</v>
      </c>
      <c r="AJ774" s="2">
        <v>6.6929999999999996</v>
      </c>
      <c r="AK774" s="3">
        <v>45120</v>
      </c>
      <c r="AL774" s="2">
        <v>6.41</v>
      </c>
      <c r="AM774" s="3">
        <v>45120</v>
      </c>
      <c r="AN774" s="2">
        <v>6.1449999999999996</v>
      </c>
      <c r="AO774" s="3">
        <v>45120</v>
      </c>
      <c r="AP774" s="2">
        <v>5.45</v>
      </c>
      <c r="AQ774" s="3">
        <v>45120</v>
      </c>
      <c r="AR774" s="2">
        <v>4.96</v>
      </c>
      <c r="AS774" s="3">
        <v>45120</v>
      </c>
      <c r="AT774" s="2">
        <v>4.5449999999999999</v>
      </c>
      <c r="AU774" s="3">
        <v>45120</v>
      </c>
      <c r="AV774" s="2">
        <v>4.22</v>
      </c>
      <c r="AW774" s="3">
        <v>45120</v>
      </c>
      <c r="AX774" s="2">
        <v>4.0049999999999999</v>
      </c>
      <c r="AY774" s="3">
        <v>45120</v>
      </c>
      <c r="AZ774" s="2">
        <v>3.8650000000000002</v>
      </c>
      <c r="BB774" s="3">
        <v>45061</v>
      </c>
      <c r="BC774" s="1">
        <v>7</v>
      </c>
      <c r="BD774" s="3">
        <v>45077</v>
      </c>
      <c r="BE774" s="1">
        <v>7.17</v>
      </c>
      <c r="BF774" s="3">
        <v>45120</v>
      </c>
      <c r="BG774" s="1">
        <v>7.04</v>
      </c>
      <c r="BH774" s="3">
        <v>45120</v>
      </c>
      <c r="BI774" s="1">
        <v>6.97</v>
      </c>
      <c r="BJ774" s="3">
        <v>45120</v>
      </c>
      <c r="BK774" s="1">
        <v>6.81</v>
      </c>
      <c r="BL774" s="3">
        <v>45120</v>
      </c>
      <c r="BM774" s="1">
        <v>6.0449999999999999</v>
      </c>
      <c r="BN774" s="3">
        <v>45120</v>
      </c>
      <c r="BO774" s="1">
        <v>5.09</v>
      </c>
      <c r="BP774" s="3">
        <v>45120</v>
      </c>
      <c r="BQ774" s="1">
        <v>4.4279999999999999</v>
      </c>
      <c r="BR774" s="3">
        <v>45120</v>
      </c>
      <c r="BS774" s="1">
        <v>4.008</v>
      </c>
      <c r="BT774" s="3">
        <v>45120</v>
      </c>
      <c r="BU774" s="1">
        <v>3.7229999999999999</v>
      </c>
      <c r="BV774" s="3">
        <v>45120</v>
      </c>
      <c r="BW774" s="1">
        <v>3.6030000000000002</v>
      </c>
      <c r="BY774" s="3">
        <v>45076</v>
      </c>
      <c r="BZ774" s="1">
        <v>13</v>
      </c>
      <c r="CA774" s="3">
        <v>45069</v>
      </c>
      <c r="CB774" s="1">
        <v>16.02</v>
      </c>
      <c r="CC774" s="3">
        <v>45120</v>
      </c>
      <c r="CD774" s="1">
        <v>14.56</v>
      </c>
      <c r="CE774" s="3">
        <v>45120</v>
      </c>
      <c r="CF774" s="1">
        <v>13.85</v>
      </c>
      <c r="CG774" s="3">
        <v>45120</v>
      </c>
      <c r="CH774" s="1">
        <v>13.04</v>
      </c>
      <c r="CI774" s="3">
        <v>45120</v>
      </c>
      <c r="CJ774" s="1">
        <v>10.84</v>
      </c>
      <c r="CK774" s="3">
        <v>45120</v>
      </c>
      <c r="CL774" s="1">
        <v>9.24</v>
      </c>
      <c r="CM774" s="1">
        <v>45120</v>
      </c>
      <c r="CN774" s="1">
        <v>7.9950000000000001</v>
      </c>
      <c r="CO774" s="1">
        <v>45112</v>
      </c>
      <c r="CP774" s="1">
        <v>7.0250000000000004</v>
      </c>
      <c r="CQ774" s="1">
        <v>45112</v>
      </c>
      <c r="CR774" s="1">
        <v>6.3049999999999997</v>
      </c>
      <c r="CS774" s="1">
        <v>45112</v>
      </c>
      <c r="CT774" s="1">
        <v>5.8049999999999997</v>
      </c>
    </row>
    <row r="775" spans="31:98" x14ac:dyDescent="0.2">
      <c r="AE775" s="3">
        <v>45111</v>
      </c>
      <c r="AF775" s="1">
        <v>6.75</v>
      </c>
      <c r="AG775" s="3">
        <v>45076</v>
      </c>
      <c r="AH775" s="1">
        <v>6.9</v>
      </c>
      <c r="AI775" s="3">
        <v>45119</v>
      </c>
      <c r="AJ775" s="2">
        <v>6.6894999999999998</v>
      </c>
      <c r="AK775" s="3">
        <v>45119</v>
      </c>
      <c r="AL775" s="2">
        <v>6.42</v>
      </c>
      <c r="AM775" s="3">
        <v>45119</v>
      </c>
      <c r="AN775" s="2">
        <v>6.1349999999999998</v>
      </c>
      <c r="AO775" s="3">
        <v>45119</v>
      </c>
      <c r="AP775" s="2">
        <v>5.5149999999999997</v>
      </c>
      <c r="AQ775" s="3">
        <v>45119</v>
      </c>
      <c r="AR775" s="2">
        <v>5.03</v>
      </c>
      <c r="AS775" s="3">
        <v>45119</v>
      </c>
      <c r="AT775" s="2">
        <v>4.6950000000000003</v>
      </c>
      <c r="AU775" s="3">
        <v>45119</v>
      </c>
      <c r="AV775" s="2">
        <v>4.4249999999999998</v>
      </c>
      <c r="AW775" s="3">
        <v>45119</v>
      </c>
      <c r="AX775" s="2">
        <v>4.2</v>
      </c>
      <c r="AY775" s="3">
        <v>45119</v>
      </c>
      <c r="AZ775" s="2">
        <v>4.05</v>
      </c>
      <c r="BB775" s="3">
        <v>45058</v>
      </c>
      <c r="BC775" s="1">
        <v>7</v>
      </c>
      <c r="BD775" s="3">
        <v>45076</v>
      </c>
      <c r="BE775" s="1">
        <v>7.17</v>
      </c>
      <c r="BF775" s="3">
        <v>45119</v>
      </c>
      <c r="BG775" s="1">
        <v>7.085</v>
      </c>
      <c r="BH775" s="3">
        <v>45119</v>
      </c>
      <c r="BI775" s="1">
        <v>7.03</v>
      </c>
      <c r="BJ775" s="3">
        <v>45119</v>
      </c>
      <c r="BK775" s="1">
        <v>6.88</v>
      </c>
      <c r="BL775" s="3">
        <v>45119</v>
      </c>
      <c r="BM775" s="1">
        <v>6.12</v>
      </c>
      <c r="BN775" s="3">
        <v>45119</v>
      </c>
      <c r="BO775" s="1">
        <v>5.2249999999999996</v>
      </c>
      <c r="BP775" s="3">
        <v>45119</v>
      </c>
      <c r="BQ775" s="1">
        <v>4.59</v>
      </c>
      <c r="BR775" s="3">
        <v>45119</v>
      </c>
      <c r="BS775" s="1">
        <v>4.1680000000000001</v>
      </c>
      <c r="BT775" s="3">
        <v>45119</v>
      </c>
      <c r="BU775" s="1">
        <v>3.88</v>
      </c>
      <c r="BV775" s="3">
        <v>45119</v>
      </c>
      <c r="BW775" s="1">
        <v>3.74</v>
      </c>
      <c r="BY775" s="3">
        <v>45075</v>
      </c>
      <c r="BZ775" s="1">
        <v>13</v>
      </c>
      <c r="CA775" s="3">
        <v>45068</v>
      </c>
      <c r="CB775" s="1">
        <v>16.059999999999999</v>
      </c>
      <c r="CC775" s="3">
        <v>45119</v>
      </c>
      <c r="CD775" s="1">
        <v>14.58</v>
      </c>
      <c r="CE775" s="3">
        <v>45119</v>
      </c>
      <c r="CF775" s="1">
        <v>13.9</v>
      </c>
      <c r="CG775" s="3">
        <v>45119</v>
      </c>
      <c r="CH775" s="1">
        <v>13.15</v>
      </c>
      <c r="CI775" s="3">
        <v>45119</v>
      </c>
      <c r="CJ775" s="1">
        <v>10.96</v>
      </c>
      <c r="CK775" s="3">
        <v>45119</v>
      </c>
      <c r="CL775" s="1">
        <v>9.4</v>
      </c>
      <c r="CM775" s="1">
        <v>45119</v>
      </c>
      <c r="CN775" s="1">
        <v>8.3000000000000007</v>
      </c>
      <c r="CO775" s="1">
        <v>45111</v>
      </c>
      <c r="CP775" s="1">
        <v>6.9450000000000003</v>
      </c>
      <c r="CQ775" s="1">
        <v>45111</v>
      </c>
      <c r="CR775" s="1">
        <v>6.2249999999999996</v>
      </c>
      <c r="CS775" s="1">
        <v>45111</v>
      </c>
      <c r="CT775" s="1">
        <v>5.76</v>
      </c>
    </row>
    <row r="776" spans="31:98" x14ac:dyDescent="0.2">
      <c r="AE776" s="3">
        <v>45110</v>
      </c>
      <c r="AF776" s="1">
        <v>6.75</v>
      </c>
      <c r="AG776" s="3">
        <v>45075</v>
      </c>
      <c r="AH776" s="1">
        <v>6.9</v>
      </c>
      <c r="AI776" s="3">
        <v>45118</v>
      </c>
      <c r="AJ776" s="2">
        <v>6.6855000000000002</v>
      </c>
      <c r="AK776" s="3">
        <v>45118</v>
      </c>
      <c r="AL776" s="2">
        <v>6.42</v>
      </c>
      <c r="AM776" s="3">
        <v>45118</v>
      </c>
      <c r="AN776" s="2">
        <v>6.17</v>
      </c>
      <c r="AO776" s="3">
        <v>45118</v>
      </c>
      <c r="AP776" s="2">
        <v>5.62</v>
      </c>
      <c r="AQ776" s="3">
        <v>45118</v>
      </c>
      <c r="AR776" s="2">
        <v>5.16</v>
      </c>
      <c r="AS776" s="3">
        <v>45118</v>
      </c>
      <c r="AT776" s="2">
        <v>4.87</v>
      </c>
      <c r="AU776" s="3">
        <v>45118</v>
      </c>
      <c r="AV776" s="2">
        <v>4.62</v>
      </c>
      <c r="AW776" s="3">
        <v>45118</v>
      </c>
      <c r="AX776" s="2">
        <v>4.42</v>
      </c>
      <c r="AY776" s="3">
        <v>45118</v>
      </c>
      <c r="AZ776" s="2">
        <v>4.25</v>
      </c>
      <c r="BB776" s="3">
        <v>45057</v>
      </c>
      <c r="BC776" s="1">
        <v>7</v>
      </c>
      <c r="BD776" s="3">
        <v>45075</v>
      </c>
      <c r="BE776" s="1">
        <v>7.18</v>
      </c>
      <c r="BF776" s="3">
        <v>45118</v>
      </c>
      <c r="BG776" s="1">
        <v>7.1150000000000002</v>
      </c>
      <c r="BH776" s="3">
        <v>45118</v>
      </c>
      <c r="BI776" s="1">
        <v>7.0549999999999997</v>
      </c>
      <c r="BJ776" s="3">
        <v>45118</v>
      </c>
      <c r="BK776" s="1">
        <v>6.92</v>
      </c>
      <c r="BL776" s="3">
        <v>45118</v>
      </c>
      <c r="BM776" s="1">
        <v>6.26</v>
      </c>
      <c r="BN776" s="3">
        <v>45118</v>
      </c>
      <c r="BO776" s="1">
        <v>5.3979999999999997</v>
      </c>
      <c r="BP776" s="3">
        <v>45118</v>
      </c>
      <c r="BQ776" s="1">
        <v>4.7930000000000001</v>
      </c>
      <c r="BR776" s="3">
        <v>45118</v>
      </c>
      <c r="BS776" s="1">
        <v>4.383</v>
      </c>
      <c r="BT776" s="3">
        <v>45118</v>
      </c>
      <c r="BU776" s="1">
        <v>4.0880000000000001</v>
      </c>
      <c r="BV776" s="3">
        <v>45118</v>
      </c>
      <c r="BW776" s="1">
        <v>3.9550000000000001</v>
      </c>
      <c r="BY776" s="3">
        <v>45072</v>
      </c>
      <c r="BZ776" s="1">
        <v>13</v>
      </c>
      <c r="CA776" s="3">
        <v>45065</v>
      </c>
      <c r="CB776" s="1">
        <v>16.09</v>
      </c>
      <c r="CC776" s="3">
        <v>45118</v>
      </c>
      <c r="CD776" s="1">
        <v>14.58</v>
      </c>
      <c r="CE776" s="3">
        <v>45118</v>
      </c>
      <c r="CF776" s="1">
        <v>13.91</v>
      </c>
      <c r="CG776" s="3">
        <v>45118</v>
      </c>
      <c r="CH776" s="1">
        <v>13.17</v>
      </c>
      <c r="CI776" s="3">
        <v>45118</v>
      </c>
      <c r="CJ776" s="1">
        <v>10.97</v>
      </c>
      <c r="CK776" s="3">
        <v>45118</v>
      </c>
      <c r="CL776" s="1">
        <v>9.52</v>
      </c>
      <c r="CM776" s="1">
        <v>45118</v>
      </c>
      <c r="CN776" s="1">
        <v>8.3650000000000002</v>
      </c>
      <c r="CO776" s="1">
        <v>45110</v>
      </c>
      <c r="CP776" s="1">
        <v>7.1449999999999996</v>
      </c>
      <c r="CQ776" s="1">
        <v>45110</v>
      </c>
      <c r="CR776" s="1">
        <v>6.4249999999999998</v>
      </c>
      <c r="CS776" s="1">
        <v>45110</v>
      </c>
      <c r="CT776" s="1">
        <v>6</v>
      </c>
    </row>
    <row r="777" spans="31:98" x14ac:dyDescent="0.2">
      <c r="AE777" s="3">
        <v>45107</v>
      </c>
      <c r="AF777" s="1">
        <v>6.75</v>
      </c>
      <c r="AG777" s="3">
        <v>45072</v>
      </c>
      <c r="AH777" s="1">
        <v>6.9</v>
      </c>
      <c r="AI777" s="3">
        <v>45117</v>
      </c>
      <c r="AJ777" s="2">
        <v>6.7859999999999996</v>
      </c>
      <c r="AK777" s="3">
        <v>45117</v>
      </c>
      <c r="AL777" s="2">
        <v>6.59</v>
      </c>
      <c r="AM777" s="3">
        <v>45117</v>
      </c>
      <c r="AN777" s="2">
        <v>6.33</v>
      </c>
      <c r="AO777" s="3">
        <v>45117</v>
      </c>
      <c r="AP777" s="2">
        <v>5.83</v>
      </c>
      <c r="AQ777" s="3">
        <v>45117</v>
      </c>
      <c r="AR777" s="2">
        <v>5.2750000000000004</v>
      </c>
      <c r="AS777" s="3">
        <v>45117</v>
      </c>
      <c r="AT777" s="2">
        <v>4.9800000000000004</v>
      </c>
      <c r="AU777" s="3">
        <v>45117</v>
      </c>
      <c r="AV777" s="2">
        <v>4.7450000000000001</v>
      </c>
      <c r="AW777" s="3">
        <v>45117</v>
      </c>
      <c r="AX777" s="2">
        <v>4.55</v>
      </c>
      <c r="AY777" s="3">
        <v>45117</v>
      </c>
      <c r="AZ777" s="2">
        <v>4.38</v>
      </c>
      <c r="BB777" s="3">
        <v>45056</v>
      </c>
      <c r="BC777" s="1">
        <v>7</v>
      </c>
      <c r="BD777" s="3">
        <v>45072</v>
      </c>
      <c r="BE777" s="1">
        <v>7.19</v>
      </c>
      <c r="BF777" s="3">
        <v>45117</v>
      </c>
      <c r="BG777" s="1">
        <v>7.1150000000000002</v>
      </c>
      <c r="BH777" s="3">
        <v>45117</v>
      </c>
      <c r="BI777" s="1">
        <v>7.07</v>
      </c>
      <c r="BJ777" s="3">
        <v>45117</v>
      </c>
      <c r="BK777" s="1">
        <v>6.9349999999999996</v>
      </c>
      <c r="BL777" s="3">
        <v>45117</v>
      </c>
      <c r="BM777" s="1">
        <v>6.31</v>
      </c>
      <c r="BN777" s="3">
        <v>45117</v>
      </c>
      <c r="BO777" s="1">
        <v>5.47</v>
      </c>
      <c r="BP777" s="3">
        <v>45117</v>
      </c>
      <c r="BQ777" s="1">
        <v>4.8949999999999996</v>
      </c>
      <c r="BR777" s="3">
        <v>45117</v>
      </c>
      <c r="BS777" s="1">
        <v>4.49</v>
      </c>
      <c r="BT777" s="3">
        <v>45117</v>
      </c>
      <c r="BU777" s="1">
        <v>4.21</v>
      </c>
      <c r="BV777" s="3">
        <v>45117</v>
      </c>
      <c r="BW777" s="1">
        <v>4.0599999999999996</v>
      </c>
      <c r="BY777" s="3">
        <v>45071</v>
      </c>
      <c r="BZ777" s="1">
        <v>13</v>
      </c>
      <c r="CA777" s="3">
        <v>45064</v>
      </c>
      <c r="CB777" s="1">
        <v>16.12</v>
      </c>
      <c r="CC777" s="3">
        <v>45117</v>
      </c>
      <c r="CD777" s="1">
        <v>14.57</v>
      </c>
      <c r="CE777" s="3">
        <v>45117</v>
      </c>
      <c r="CF777" s="1">
        <v>13.95</v>
      </c>
      <c r="CG777" s="3">
        <v>45117</v>
      </c>
      <c r="CH777" s="1">
        <v>13.21</v>
      </c>
      <c r="CI777" s="3">
        <v>45117</v>
      </c>
      <c r="CJ777" s="1">
        <v>11.01</v>
      </c>
      <c r="CK777" s="3">
        <v>45117</v>
      </c>
      <c r="CL777" s="1">
        <v>9.56</v>
      </c>
      <c r="CM777" s="1">
        <v>45117</v>
      </c>
      <c r="CN777" s="1">
        <v>8.4</v>
      </c>
      <c r="CO777" s="1">
        <v>45107</v>
      </c>
      <c r="CP777" s="1">
        <v>7.1849999999999996</v>
      </c>
      <c r="CQ777" s="1">
        <v>45107</v>
      </c>
      <c r="CR777" s="1">
        <v>6.4649999999999999</v>
      </c>
      <c r="CS777" s="1">
        <v>45107</v>
      </c>
      <c r="CT777" s="1">
        <v>6.04</v>
      </c>
    </row>
    <row r="778" spans="31:98" x14ac:dyDescent="0.2">
      <c r="AE778" s="3">
        <v>45106</v>
      </c>
      <c r="AF778" s="1">
        <v>6.75</v>
      </c>
      <c r="AG778" s="3">
        <v>45071</v>
      </c>
      <c r="AH778" s="1">
        <v>6.9</v>
      </c>
      <c r="AI778" s="3">
        <v>45114</v>
      </c>
      <c r="AJ778" s="2">
        <v>6.8295000000000003</v>
      </c>
      <c r="AK778" s="3">
        <v>45114</v>
      </c>
      <c r="AL778" s="2">
        <v>6.665</v>
      </c>
      <c r="AM778" s="3">
        <v>45114</v>
      </c>
      <c r="AN778" s="2">
        <v>6.41</v>
      </c>
      <c r="AO778" s="3">
        <v>45114</v>
      </c>
      <c r="AP778" s="2">
        <v>5.89</v>
      </c>
      <c r="AQ778" s="3">
        <v>45114</v>
      </c>
      <c r="AR778" s="2">
        <v>5.4175000000000004</v>
      </c>
      <c r="AS778" s="3">
        <v>45114</v>
      </c>
      <c r="AT778" s="2">
        <v>5.1275000000000004</v>
      </c>
      <c r="AU778" s="3">
        <v>45114</v>
      </c>
      <c r="AV778" s="2">
        <v>4.8775000000000004</v>
      </c>
      <c r="AW778" s="3">
        <v>45114</v>
      </c>
      <c r="AX778" s="2">
        <v>4.6825000000000001</v>
      </c>
      <c r="AY778" s="3">
        <v>45114</v>
      </c>
      <c r="AZ778" s="2">
        <v>4.5075000000000003</v>
      </c>
      <c r="BB778" s="3">
        <v>45055</v>
      </c>
      <c r="BC778" s="1">
        <v>7</v>
      </c>
      <c r="BD778" s="3">
        <v>45071</v>
      </c>
      <c r="BE778" s="1">
        <v>7.19</v>
      </c>
      <c r="BF778" s="3">
        <v>45114</v>
      </c>
      <c r="BG778" s="1">
        <v>7.1150000000000002</v>
      </c>
      <c r="BH778" s="3">
        <v>45114</v>
      </c>
      <c r="BI778" s="1">
        <v>7.085</v>
      </c>
      <c r="BJ778" s="3">
        <v>45114</v>
      </c>
      <c r="BK778" s="1">
        <v>6.96</v>
      </c>
      <c r="BL778" s="3">
        <v>45114</v>
      </c>
      <c r="BM778" s="1">
        <v>6.35</v>
      </c>
      <c r="BN778" s="3">
        <v>45114</v>
      </c>
      <c r="BO778" s="1">
        <v>5.5</v>
      </c>
      <c r="BP778" s="3">
        <v>45114</v>
      </c>
      <c r="BQ778" s="1">
        <v>4.93</v>
      </c>
      <c r="BR778" s="3">
        <v>45114</v>
      </c>
      <c r="BS778" s="1">
        <v>4.5250000000000004</v>
      </c>
      <c r="BT778" s="3">
        <v>45114</v>
      </c>
      <c r="BU778" s="1">
        <v>4.24</v>
      </c>
      <c r="BV778" s="3">
        <v>45114</v>
      </c>
      <c r="BW778" s="1">
        <v>4.093</v>
      </c>
      <c r="BY778" s="3">
        <v>45070</v>
      </c>
      <c r="BZ778" s="1">
        <v>13</v>
      </c>
      <c r="CA778" s="3">
        <v>45063</v>
      </c>
      <c r="CB778" s="1">
        <v>16.14</v>
      </c>
      <c r="CC778" s="3">
        <v>45114</v>
      </c>
      <c r="CD778" s="1">
        <v>14.68</v>
      </c>
      <c r="CE778" s="3">
        <v>45114</v>
      </c>
      <c r="CF778" s="1">
        <v>14.09</v>
      </c>
      <c r="CG778" s="3">
        <v>45114</v>
      </c>
      <c r="CH778" s="1">
        <v>13.35</v>
      </c>
      <c r="CI778" s="3">
        <v>45114</v>
      </c>
      <c r="CJ778" s="1">
        <v>11.2</v>
      </c>
      <c r="CK778" s="3">
        <v>45114</v>
      </c>
      <c r="CL778" s="1">
        <v>9.75</v>
      </c>
      <c r="CM778" s="1">
        <v>45114</v>
      </c>
      <c r="CN778" s="1">
        <v>8.5649999999999995</v>
      </c>
      <c r="CO778" s="1">
        <v>45106</v>
      </c>
      <c r="CP778" s="1">
        <v>7.19</v>
      </c>
      <c r="CQ778" s="1">
        <v>45106</v>
      </c>
      <c r="CR778" s="1">
        <v>6.47</v>
      </c>
      <c r="CS778" s="1">
        <v>45106</v>
      </c>
      <c r="CT778" s="1">
        <v>5.99</v>
      </c>
    </row>
    <row r="779" spans="31:98" x14ac:dyDescent="0.2">
      <c r="AE779" s="3">
        <v>45105</v>
      </c>
      <c r="AF779" s="1">
        <v>6.75</v>
      </c>
      <c r="AG779" s="3">
        <v>45070</v>
      </c>
      <c r="AH779" s="1">
        <v>6.9</v>
      </c>
      <c r="AI779" s="3">
        <v>45113</v>
      </c>
      <c r="AJ779" s="2">
        <v>6.8535000000000004</v>
      </c>
      <c r="AK779" s="3">
        <v>45113</v>
      </c>
      <c r="AL779" s="2">
        <v>6.76</v>
      </c>
      <c r="AM779" s="3">
        <v>45113</v>
      </c>
      <c r="AN779" s="2">
        <v>6.53</v>
      </c>
      <c r="AO779" s="3">
        <v>45113</v>
      </c>
      <c r="AP779" s="2">
        <v>6.09</v>
      </c>
      <c r="AQ779" s="3">
        <v>45113</v>
      </c>
      <c r="AR779" s="2">
        <v>5.6</v>
      </c>
      <c r="AS779" s="3">
        <v>45113</v>
      </c>
      <c r="AT779" s="2">
        <v>5.32</v>
      </c>
      <c r="AU779" s="3">
        <v>45113</v>
      </c>
      <c r="AV779" s="2">
        <v>5.08</v>
      </c>
      <c r="AW779" s="3">
        <v>45113</v>
      </c>
      <c r="AX779" s="2">
        <v>4.88</v>
      </c>
      <c r="AY779" s="3">
        <v>45113</v>
      </c>
      <c r="AZ779" s="2">
        <v>4.7050000000000001</v>
      </c>
      <c r="BB779" s="3">
        <v>45051</v>
      </c>
      <c r="BC779" s="1">
        <v>7</v>
      </c>
      <c r="BD779" s="3">
        <v>45070</v>
      </c>
      <c r="BE779" s="1">
        <v>7.19</v>
      </c>
      <c r="BF779" s="3">
        <v>45113</v>
      </c>
      <c r="BG779" s="1">
        <v>7.1050000000000004</v>
      </c>
      <c r="BH779" s="3">
        <v>45113</v>
      </c>
      <c r="BI779" s="1">
        <v>7.06</v>
      </c>
      <c r="BJ779" s="3">
        <v>45113</v>
      </c>
      <c r="BK779" s="1">
        <v>6.95</v>
      </c>
      <c r="BL779" s="3">
        <v>45113</v>
      </c>
      <c r="BM779" s="1">
        <v>6.28</v>
      </c>
      <c r="BN779" s="3">
        <v>45113</v>
      </c>
      <c r="BO779" s="1">
        <v>5.46</v>
      </c>
      <c r="BP779" s="3">
        <v>45113</v>
      </c>
      <c r="BQ779" s="1">
        <v>4.8029999999999999</v>
      </c>
      <c r="BR779" s="3">
        <v>45113</v>
      </c>
      <c r="BS779" s="1">
        <v>4.3600000000000003</v>
      </c>
      <c r="BT779" s="3">
        <v>45113</v>
      </c>
      <c r="BU779" s="1">
        <v>4.0350000000000001</v>
      </c>
      <c r="BV779" s="3">
        <v>45113</v>
      </c>
      <c r="BW779" s="1">
        <v>3.86</v>
      </c>
      <c r="BY779" s="3">
        <v>45069</v>
      </c>
      <c r="BZ779" s="1">
        <v>13</v>
      </c>
      <c r="CA779" s="3">
        <v>45062</v>
      </c>
      <c r="CB779" s="1">
        <v>16.16</v>
      </c>
      <c r="CC779" s="3">
        <v>45113</v>
      </c>
      <c r="CD779" s="1">
        <v>14.62</v>
      </c>
      <c r="CE779" s="3">
        <v>45113</v>
      </c>
      <c r="CF779" s="1">
        <v>14</v>
      </c>
      <c r="CG779" s="3">
        <v>45113</v>
      </c>
      <c r="CH779" s="1">
        <v>13.24</v>
      </c>
      <c r="CI779" s="3">
        <v>45113</v>
      </c>
      <c r="CJ779" s="1">
        <v>11.06</v>
      </c>
      <c r="CK779" s="3">
        <v>45113</v>
      </c>
      <c r="CL779" s="1">
        <v>9.6300000000000008</v>
      </c>
      <c r="CM779" s="1">
        <v>45113</v>
      </c>
      <c r="CN779" s="1">
        <v>8.3949999999999996</v>
      </c>
      <c r="CO779" s="1">
        <v>45105</v>
      </c>
      <c r="CP779" s="1">
        <v>7.12</v>
      </c>
      <c r="CQ779" s="1">
        <v>45105</v>
      </c>
      <c r="CR779" s="1">
        <v>6.38</v>
      </c>
      <c r="CS779" s="1">
        <v>45105</v>
      </c>
      <c r="CT779" s="1">
        <v>5.98</v>
      </c>
    </row>
    <row r="780" spans="31:98" x14ac:dyDescent="0.2">
      <c r="AE780" s="3">
        <v>45104</v>
      </c>
      <c r="AF780" s="1">
        <v>6.75</v>
      </c>
      <c r="AG780" s="3">
        <v>45069</v>
      </c>
      <c r="AH780" s="1">
        <v>6.9</v>
      </c>
      <c r="AI780" s="3">
        <v>45112</v>
      </c>
      <c r="AJ780" s="2">
        <v>6.8319999999999999</v>
      </c>
      <c r="AK780" s="3">
        <v>45112</v>
      </c>
      <c r="AL780" s="2">
        <v>6.7450000000000001</v>
      </c>
      <c r="AM780" s="3">
        <v>45112</v>
      </c>
      <c r="AN780" s="2">
        <v>6.44</v>
      </c>
      <c r="AO780" s="3">
        <v>45112</v>
      </c>
      <c r="AP780" s="2">
        <v>5.89</v>
      </c>
      <c r="AQ780" s="3">
        <v>45112</v>
      </c>
      <c r="AR780" s="2">
        <v>5.3650000000000002</v>
      </c>
      <c r="AS780" s="3">
        <v>45112</v>
      </c>
      <c r="AT780" s="2">
        <v>5.085</v>
      </c>
      <c r="AU780" s="3">
        <v>45112</v>
      </c>
      <c r="AV780" s="2">
        <v>4.84</v>
      </c>
      <c r="AW780" s="3">
        <v>45112</v>
      </c>
      <c r="AX780" s="2">
        <v>4.62</v>
      </c>
      <c r="AY780" s="3">
        <v>45112</v>
      </c>
      <c r="AZ780" s="2">
        <v>4.4450000000000003</v>
      </c>
      <c r="BB780" s="3">
        <v>45050</v>
      </c>
      <c r="BC780" s="1">
        <v>7</v>
      </c>
      <c r="BD780" s="3">
        <v>45069</v>
      </c>
      <c r="BE780" s="1">
        <v>7.18</v>
      </c>
      <c r="BF780" s="3">
        <v>45112</v>
      </c>
      <c r="BG780" s="1">
        <v>7.1050000000000004</v>
      </c>
      <c r="BH780" s="3">
        <v>45112</v>
      </c>
      <c r="BI780" s="1">
        <v>7.06</v>
      </c>
      <c r="BJ780" s="3">
        <v>45112</v>
      </c>
      <c r="BK780" s="1">
        <v>6.95</v>
      </c>
      <c r="BL780" s="3">
        <v>45112</v>
      </c>
      <c r="BM780" s="1">
        <v>6.28</v>
      </c>
      <c r="BN780" s="1">
        <v>45112</v>
      </c>
      <c r="BO780" s="1">
        <v>5.46</v>
      </c>
      <c r="BP780" s="3">
        <v>45112</v>
      </c>
      <c r="BQ780" s="1">
        <v>4.8029999999999999</v>
      </c>
      <c r="BR780" s="3">
        <v>45112</v>
      </c>
      <c r="BS780" s="1">
        <v>4.3600000000000003</v>
      </c>
      <c r="BT780" s="3">
        <v>45112</v>
      </c>
      <c r="BU780" s="1">
        <v>4.0350000000000001</v>
      </c>
      <c r="BV780" s="3">
        <v>45112</v>
      </c>
      <c r="BW780" s="1">
        <v>3.86</v>
      </c>
      <c r="BY780" s="3">
        <v>45068</v>
      </c>
      <c r="BZ780" s="1">
        <v>13</v>
      </c>
      <c r="CA780" s="3">
        <v>45061</v>
      </c>
      <c r="CB780" s="1">
        <v>16.18</v>
      </c>
      <c r="CC780" s="3">
        <v>45112</v>
      </c>
      <c r="CD780" s="1">
        <v>14.57</v>
      </c>
      <c r="CE780" s="3">
        <v>45112</v>
      </c>
      <c r="CF780" s="1">
        <v>13.91</v>
      </c>
      <c r="CG780" s="3">
        <v>45112</v>
      </c>
      <c r="CH780" s="1">
        <v>13.01</v>
      </c>
      <c r="CI780" s="3">
        <v>45112</v>
      </c>
      <c r="CJ780" s="1">
        <v>10.77</v>
      </c>
      <c r="CK780" s="3">
        <v>45112</v>
      </c>
      <c r="CL780" s="1">
        <v>9.32</v>
      </c>
      <c r="CM780" s="1">
        <v>45112</v>
      </c>
      <c r="CN780" s="1">
        <v>8.08</v>
      </c>
      <c r="CO780" s="1">
        <v>45104</v>
      </c>
      <c r="CP780" s="1">
        <v>7.13</v>
      </c>
      <c r="CQ780" s="1">
        <v>45104</v>
      </c>
      <c r="CR780" s="1">
        <v>6.37</v>
      </c>
      <c r="CS780" s="1">
        <v>45104</v>
      </c>
      <c r="CT780" s="1">
        <v>5.99</v>
      </c>
    </row>
    <row r="781" spans="31:98" x14ac:dyDescent="0.2">
      <c r="AE781" s="1">
        <v>45103</v>
      </c>
      <c r="AF781" s="1">
        <v>6.75</v>
      </c>
      <c r="AG781" s="3">
        <v>45068</v>
      </c>
      <c r="AH781" s="1">
        <v>6.9</v>
      </c>
      <c r="AI781" s="3">
        <v>45111</v>
      </c>
      <c r="AJ781" s="2">
        <v>6.7934999999999999</v>
      </c>
      <c r="AK781" s="3">
        <v>45111</v>
      </c>
      <c r="AL781" s="2">
        <v>6.7050000000000001</v>
      </c>
      <c r="AM781" s="1">
        <v>45111</v>
      </c>
      <c r="AN781" s="2">
        <v>6.4649999999999999</v>
      </c>
      <c r="AO781" s="1">
        <v>45111</v>
      </c>
      <c r="AP781" s="2">
        <v>5.875</v>
      </c>
      <c r="AQ781" s="1">
        <v>45111</v>
      </c>
      <c r="AR781" s="2">
        <v>5.3425000000000002</v>
      </c>
      <c r="AS781" s="1">
        <v>45111</v>
      </c>
      <c r="AT781" s="2">
        <v>5.0525000000000002</v>
      </c>
      <c r="AU781" s="1">
        <v>45111</v>
      </c>
      <c r="AV781" s="2">
        <v>4.8049999999999997</v>
      </c>
      <c r="AW781" s="1">
        <v>45111</v>
      </c>
      <c r="AX781" s="2">
        <v>4.585</v>
      </c>
      <c r="AY781" s="1">
        <v>45111</v>
      </c>
      <c r="AZ781" s="2">
        <v>4.41</v>
      </c>
      <c r="BB781" s="1">
        <v>45049</v>
      </c>
      <c r="BC781" s="1">
        <v>7</v>
      </c>
      <c r="BD781" s="3">
        <v>45068</v>
      </c>
      <c r="BE781" s="1">
        <v>7.18</v>
      </c>
      <c r="BF781" s="3">
        <v>45111</v>
      </c>
      <c r="BG781" s="1">
        <v>7.1150000000000002</v>
      </c>
      <c r="BH781" s="3">
        <v>45111</v>
      </c>
      <c r="BI781" s="1">
        <v>7.06</v>
      </c>
      <c r="BJ781" s="1">
        <v>45111</v>
      </c>
      <c r="BK781" s="1">
        <v>6.95</v>
      </c>
      <c r="BL781" s="1">
        <v>45111</v>
      </c>
      <c r="BM781" s="1">
        <v>6.28</v>
      </c>
      <c r="BN781" s="1">
        <v>45111</v>
      </c>
      <c r="BO781" s="1">
        <v>5.46</v>
      </c>
      <c r="BP781" s="1">
        <v>45111</v>
      </c>
      <c r="BQ781" s="1">
        <v>4.8029999999999999</v>
      </c>
      <c r="BR781" s="1">
        <v>45111</v>
      </c>
      <c r="BS781" s="1">
        <v>4.3600000000000003</v>
      </c>
      <c r="BT781" s="1">
        <v>45111</v>
      </c>
      <c r="BU781" s="1">
        <v>4.0350000000000001</v>
      </c>
      <c r="BV781" s="1">
        <v>45111</v>
      </c>
      <c r="BW781" s="1">
        <v>3.86</v>
      </c>
      <c r="BY781" s="1">
        <v>45065</v>
      </c>
      <c r="BZ781" s="1">
        <v>13</v>
      </c>
      <c r="CA781" s="3">
        <v>45058</v>
      </c>
      <c r="CB781" s="1">
        <v>16.190000000000001</v>
      </c>
      <c r="CC781" s="3">
        <v>45111</v>
      </c>
      <c r="CD781" s="1">
        <v>14.57</v>
      </c>
      <c r="CE781" s="3">
        <v>45111</v>
      </c>
      <c r="CF781" s="1">
        <v>13.87</v>
      </c>
      <c r="CG781" s="1">
        <v>45111</v>
      </c>
      <c r="CH781" s="1">
        <v>12.92</v>
      </c>
      <c r="CI781" s="1">
        <v>45111</v>
      </c>
      <c r="CJ781" s="1">
        <v>10.7</v>
      </c>
      <c r="CK781" s="1">
        <v>45111</v>
      </c>
      <c r="CL781" s="1">
        <v>9.25</v>
      </c>
      <c r="CM781" s="1">
        <v>45111</v>
      </c>
      <c r="CN781" s="1">
        <v>8</v>
      </c>
      <c r="CO781" s="1">
        <v>45103</v>
      </c>
      <c r="CP781" s="1">
        <v>7.4</v>
      </c>
      <c r="CQ781" s="1">
        <v>45103</v>
      </c>
      <c r="CR781" s="1">
        <v>6.67</v>
      </c>
      <c r="CS781" s="1">
        <v>45103</v>
      </c>
      <c r="CT781" s="1">
        <v>6.17</v>
      </c>
    </row>
    <row r="782" spans="31:98" x14ac:dyDescent="0.2">
      <c r="AE782" s="1">
        <v>45100</v>
      </c>
      <c r="AF782" s="1">
        <v>6.75</v>
      </c>
      <c r="AG782" s="3">
        <v>45065</v>
      </c>
      <c r="AH782" s="1">
        <v>6.9</v>
      </c>
      <c r="AI782" s="3">
        <v>45110</v>
      </c>
      <c r="AJ782" s="2">
        <v>6.8110999999999997</v>
      </c>
      <c r="AK782" s="3">
        <v>45110</v>
      </c>
      <c r="AL782" s="2">
        <v>6.7249999999999996</v>
      </c>
      <c r="AM782" s="1">
        <v>45110</v>
      </c>
      <c r="AN782" s="2">
        <v>6.4874999999999998</v>
      </c>
      <c r="AO782" s="1">
        <v>45110</v>
      </c>
      <c r="AP782" s="2">
        <v>5.9024999999999999</v>
      </c>
      <c r="AQ782" s="1">
        <v>45110</v>
      </c>
      <c r="AR782" s="2">
        <v>5.3775000000000004</v>
      </c>
      <c r="AS782" s="1">
        <v>45110</v>
      </c>
      <c r="AT782" s="2">
        <v>5.0875000000000004</v>
      </c>
      <c r="AU782" s="1">
        <v>45110</v>
      </c>
      <c r="AV782" s="2">
        <v>4.8274999999999997</v>
      </c>
      <c r="AW782" s="1">
        <v>45110</v>
      </c>
      <c r="AX782" s="2">
        <v>4.6074999999999999</v>
      </c>
      <c r="AY782" s="1">
        <v>45110</v>
      </c>
      <c r="AZ782" s="2">
        <v>4.4275000000000002</v>
      </c>
      <c r="BB782" s="1">
        <v>45048</v>
      </c>
      <c r="BC782" s="1">
        <v>7</v>
      </c>
      <c r="BD782" s="3">
        <v>45065</v>
      </c>
      <c r="BE782" s="1">
        <v>7.17</v>
      </c>
      <c r="BF782" s="3">
        <v>45110</v>
      </c>
      <c r="BG782" s="1">
        <v>7.13</v>
      </c>
      <c r="BH782" s="3">
        <v>45110</v>
      </c>
      <c r="BI782" s="1">
        <v>7.08</v>
      </c>
      <c r="BJ782" s="1">
        <v>45110</v>
      </c>
      <c r="BK782" s="1">
        <v>6.97</v>
      </c>
      <c r="BL782" s="1">
        <v>45110</v>
      </c>
      <c r="BM782" s="1">
        <v>6.3449999999999998</v>
      </c>
      <c r="BN782" s="1">
        <v>45110</v>
      </c>
      <c r="BO782" s="1">
        <v>5.5350000000000001</v>
      </c>
      <c r="BP782" s="1">
        <v>45110</v>
      </c>
      <c r="BQ782" s="1">
        <v>4.8650000000000002</v>
      </c>
      <c r="BR782" s="1">
        <v>45110</v>
      </c>
      <c r="BS782" s="1">
        <v>4.4130000000000003</v>
      </c>
      <c r="BT782" s="1">
        <v>45110</v>
      </c>
      <c r="BU782" s="1">
        <v>4.085</v>
      </c>
      <c r="BV782" s="1">
        <v>45110</v>
      </c>
      <c r="BW782" s="1">
        <v>3.87</v>
      </c>
      <c r="BY782" s="1">
        <v>45064</v>
      </c>
      <c r="BZ782" s="1">
        <v>13</v>
      </c>
      <c r="CA782" s="3">
        <v>45057</v>
      </c>
      <c r="CB782" s="1">
        <v>16.190000000000001</v>
      </c>
      <c r="CC782" s="3">
        <v>45110</v>
      </c>
      <c r="CD782" s="1">
        <v>14.56</v>
      </c>
      <c r="CE782" s="3">
        <v>45110</v>
      </c>
      <c r="CF782" s="1">
        <v>13.86</v>
      </c>
      <c r="CG782" s="1">
        <v>45110</v>
      </c>
      <c r="CH782" s="1">
        <v>13.01</v>
      </c>
      <c r="CI782" s="1">
        <v>45110</v>
      </c>
      <c r="CJ782" s="1">
        <v>10.8</v>
      </c>
      <c r="CK782" s="1">
        <v>45110</v>
      </c>
      <c r="CL782" s="1">
        <v>9.44</v>
      </c>
      <c r="CM782" s="1">
        <v>45110</v>
      </c>
      <c r="CN782" s="1">
        <v>8.16</v>
      </c>
      <c r="CO782" s="1">
        <v>45100</v>
      </c>
      <c r="CP782" s="1">
        <v>7.78</v>
      </c>
      <c r="CQ782" s="1">
        <v>45100</v>
      </c>
      <c r="CR782" s="1">
        <v>7</v>
      </c>
      <c r="CS782" s="1">
        <v>45100</v>
      </c>
      <c r="CT782" s="1">
        <v>6.57</v>
      </c>
    </row>
    <row r="783" spans="31:98" x14ac:dyDescent="0.2">
      <c r="AE783" s="1">
        <v>45099</v>
      </c>
      <c r="AF783" s="1">
        <v>6.75</v>
      </c>
      <c r="AG783" s="3">
        <v>45064</v>
      </c>
      <c r="AH783" s="1">
        <v>6.9</v>
      </c>
      <c r="AI783" s="3">
        <v>45107</v>
      </c>
      <c r="AJ783" s="2">
        <v>6.8232999999999997</v>
      </c>
      <c r="AK783" s="3">
        <v>45107</v>
      </c>
      <c r="AL783" s="2">
        <v>6.74</v>
      </c>
      <c r="AM783" s="1">
        <v>45107</v>
      </c>
      <c r="AN783" s="2">
        <v>6.5149999999999997</v>
      </c>
      <c r="AO783" s="1">
        <v>45107</v>
      </c>
      <c r="AP783" s="2">
        <v>5.9349999999999996</v>
      </c>
      <c r="AQ783" s="1">
        <v>45107</v>
      </c>
      <c r="AR783" s="2">
        <v>5.415</v>
      </c>
      <c r="AS783" s="1">
        <v>45107</v>
      </c>
      <c r="AT783" s="2">
        <v>5.12</v>
      </c>
      <c r="AU783" s="1">
        <v>45107</v>
      </c>
      <c r="AV783" s="2">
        <v>4.8724999999999996</v>
      </c>
      <c r="AW783" s="1">
        <v>45107</v>
      </c>
      <c r="AX783" s="2">
        <v>4.665</v>
      </c>
      <c r="AY783" s="1">
        <v>45107</v>
      </c>
      <c r="AZ783" s="2">
        <v>4.49</v>
      </c>
      <c r="BB783" s="1">
        <v>45044</v>
      </c>
      <c r="BC783" s="1">
        <v>7</v>
      </c>
      <c r="BD783" s="3">
        <v>45064</v>
      </c>
      <c r="BE783" s="1">
        <v>7.18</v>
      </c>
      <c r="BF783" s="3">
        <v>45107</v>
      </c>
      <c r="BG783" s="1">
        <v>7.13</v>
      </c>
      <c r="BH783" s="3">
        <v>45107</v>
      </c>
      <c r="BI783" s="1">
        <v>7.085</v>
      </c>
      <c r="BJ783" s="1">
        <v>45107</v>
      </c>
      <c r="BK783" s="1">
        <v>7</v>
      </c>
      <c r="BL783" s="1">
        <v>45107</v>
      </c>
      <c r="BM783" s="1">
        <v>6.44</v>
      </c>
      <c r="BN783" s="1">
        <v>45107</v>
      </c>
      <c r="BO783" s="1">
        <v>5.6449999999999996</v>
      </c>
      <c r="BP783" s="1">
        <v>45107</v>
      </c>
      <c r="BQ783" s="1">
        <v>5.0129999999999999</v>
      </c>
      <c r="BR783" s="1">
        <v>45107</v>
      </c>
      <c r="BS783" s="1">
        <v>4.5599999999999996</v>
      </c>
      <c r="BT783" s="1">
        <v>45107</v>
      </c>
      <c r="BU783" s="1">
        <v>4.2300000000000004</v>
      </c>
      <c r="BV783" s="1">
        <v>45107</v>
      </c>
      <c r="BW783" s="1">
        <v>3.98</v>
      </c>
      <c r="BY783" s="1">
        <v>45063</v>
      </c>
      <c r="BZ783" s="1">
        <v>13</v>
      </c>
      <c r="CA783" s="3">
        <v>45056</v>
      </c>
      <c r="CB783" s="1">
        <v>16.2</v>
      </c>
      <c r="CC783" s="3">
        <v>45107</v>
      </c>
      <c r="CD783" s="1">
        <v>14.6</v>
      </c>
      <c r="CE783" s="3">
        <v>45107</v>
      </c>
      <c r="CF783" s="1">
        <v>13.96</v>
      </c>
      <c r="CG783" s="1">
        <v>45107</v>
      </c>
      <c r="CH783" s="1">
        <v>13.05</v>
      </c>
      <c r="CI783" s="1">
        <v>45107</v>
      </c>
      <c r="CJ783" s="1">
        <v>10.85</v>
      </c>
      <c r="CK783" s="1">
        <v>45107</v>
      </c>
      <c r="CL783" s="1">
        <v>9.5500000000000007</v>
      </c>
      <c r="CM783" s="1">
        <v>45107</v>
      </c>
      <c r="CN783" s="1">
        <v>8.1950000000000003</v>
      </c>
      <c r="CO783" s="1">
        <v>45099</v>
      </c>
      <c r="CP783" s="1">
        <v>7.92</v>
      </c>
      <c r="CQ783" s="1">
        <v>45099</v>
      </c>
      <c r="CR783" s="1">
        <v>7.15</v>
      </c>
      <c r="CS783" s="1">
        <v>45099</v>
      </c>
      <c r="CT783" s="1">
        <v>6.69</v>
      </c>
    </row>
    <row r="784" spans="31:98" x14ac:dyDescent="0.2">
      <c r="AE784" s="1">
        <v>45098</v>
      </c>
      <c r="AF784" s="1">
        <v>6.75</v>
      </c>
      <c r="AG784" s="3">
        <v>45063</v>
      </c>
      <c r="AH784" s="1">
        <v>6.9</v>
      </c>
      <c r="AI784" s="3">
        <v>45106</v>
      </c>
      <c r="AJ784" s="2">
        <v>6.835</v>
      </c>
      <c r="AK784" s="3">
        <v>45106</v>
      </c>
      <c r="AL784" s="2">
        <v>6.7549999999999999</v>
      </c>
      <c r="AM784" s="1">
        <v>45106</v>
      </c>
      <c r="AN784" s="2">
        <v>6.56</v>
      </c>
      <c r="AO784" s="1">
        <v>45106</v>
      </c>
      <c r="AP784" s="2">
        <v>5.9850000000000003</v>
      </c>
      <c r="AQ784" s="1">
        <v>45106</v>
      </c>
      <c r="AR784" s="2">
        <v>5.4924999999999997</v>
      </c>
      <c r="AS784" s="1">
        <v>45106</v>
      </c>
      <c r="AT784" s="2">
        <v>5.1924999999999999</v>
      </c>
      <c r="AU784" s="1">
        <v>45106</v>
      </c>
      <c r="AV784" s="2">
        <v>4.9325000000000001</v>
      </c>
      <c r="AW784" s="1">
        <v>45106</v>
      </c>
      <c r="AX784" s="2">
        <v>4.7225000000000001</v>
      </c>
      <c r="AY784" s="1">
        <v>45106</v>
      </c>
      <c r="AZ784" s="2">
        <v>4.5425000000000004</v>
      </c>
      <c r="BB784" s="1">
        <v>45043</v>
      </c>
      <c r="BC784" s="1">
        <v>7</v>
      </c>
      <c r="BD784" s="3">
        <v>45063</v>
      </c>
      <c r="BE784" s="1">
        <v>7.18</v>
      </c>
      <c r="BF784" s="3">
        <v>45106</v>
      </c>
      <c r="BG784" s="1">
        <v>7.13</v>
      </c>
      <c r="BH784" s="3">
        <v>45106</v>
      </c>
      <c r="BI784" s="1">
        <v>7.085</v>
      </c>
      <c r="BJ784" s="1">
        <v>45106</v>
      </c>
      <c r="BK784" s="1">
        <v>6.99</v>
      </c>
      <c r="BL784" s="1">
        <v>45106</v>
      </c>
      <c r="BM784" s="1">
        <v>6.3730000000000002</v>
      </c>
      <c r="BN784" s="1">
        <v>45106</v>
      </c>
      <c r="BO784" s="1">
        <v>5.6950000000000003</v>
      </c>
      <c r="BP784" s="1">
        <v>45106</v>
      </c>
      <c r="BQ784" s="1">
        <v>5.0179999999999998</v>
      </c>
      <c r="BR784" s="1">
        <v>45106</v>
      </c>
      <c r="BS784" s="1">
        <v>4.548</v>
      </c>
      <c r="BT784" s="1">
        <v>45106</v>
      </c>
      <c r="BU784" s="1">
        <v>4.24</v>
      </c>
      <c r="BV784" s="1">
        <v>45106</v>
      </c>
      <c r="BW784" s="1">
        <v>3.968</v>
      </c>
      <c r="BY784" s="1">
        <v>45062</v>
      </c>
      <c r="BZ784" s="1">
        <v>13</v>
      </c>
      <c r="CA784" s="3">
        <v>45055</v>
      </c>
      <c r="CB784" s="1">
        <v>16.2</v>
      </c>
      <c r="CC784" s="3">
        <v>45106</v>
      </c>
      <c r="CD784" s="1">
        <v>14.6</v>
      </c>
      <c r="CE784" s="3">
        <v>45106</v>
      </c>
      <c r="CF784" s="1">
        <v>13.9</v>
      </c>
      <c r="CG784" s="1">
        <v>45106</v>
      </c>
      <c r="CH784" s="1">
        <v>13.05</v>
      </c>
      <c r="CI784" s="1">
        <v>45106</v>
      </c>
      <c r="CJ784" s="1">
        <v>10.85</v>
      </c>
      <c r="CK784" s="1">
        <v>45106</v>
      </c>
      <c r="CL784" s="1">
        <v>9.5500000000000007</v>
      </c>
      <c r="CM784" s="1">
        <v>45106</v>
      </c>
      <c r="CN784" s="1">
        <v>8.1999999999999993</v>
      </c>
      <c r="CO784" s="1">
        <v>45098</v>
      </c>
      <c r="CP784" s="1">
        <v>7.96</v>
      </c>
      <c r="CQ784" s="1">
        <v>45098</v>
      </c>
      <c r="CR784" s="1">
        <v>7.17</v>
      </c>
      <c r="CS784" s="1">
        <v>45098</v>
      </c>
      <c r="CT784" s="1">
        <v>6.71</v>
      </c>
    </row>
    <row r="785" spans="31:98" x14ac:dyDescent="0.2">
      <c r="AE785" s="1">
        <v>45097</v>
      </c>
      <c r="AF785" s="1">
        <v>6.75</v>
      </c>
      <c r="AG785" s="3">
        <v>45062</v>
      </c>
      <c r="AH785" s="1">
        <v>6.9</v>
      </c>
      <c r="AI785" s="3">
        <v>45105</v>
      </c>
      <c r="AJ785" s="2">
        <v>6.8417000000000003</v>
      </c>
      <c r="AK785" s="3">
        <v>45105</v>
      </c>
      <c r="AL785" s="2">
        <v>6.75</v>
      </c>
      <c r="AM785" s="1">
        <v>45105</v>
      </c>
      <c r="AN785" s="2">
        <v>6.55</v>
      </c>
      <c r="AO785" s="1">
        <v>45105</v>
      </c>
      <c r="AP785" s="2">
        <v>5.9775</v>
      </c>
      <c r="AQ785" s="1">
        <v>45105</v>
      </c>
      <c r="AR785" s="2">
        <v>5.4874999999999998</v>
      </c>
      <c r="AS785" s="1">
        <v>45105</v>
      </c>
      <c r="AT785" s="2">
        <v>5.1924999999999999</v>
      </c>
      <c r="AU785" s="1">
        <v>45105</v>
      </c>
      <c r="AV785" s="2">
        <v>4.9325000000000001</v>
      </c>
      <c r="AW785" s="1">
        <v>45105</v>
      </c>
      <c r="AX785" s="2">
        <v>4.7225000000000001</v>
      </c>
      <c r="AY785" s="1">
        <v>45105</v>
      </c>
      <c r="AZ785" s="2">
        <v>4.5425000000000004</v>
      </c>
      <c r="BB785" s="1">
        <v>45042</v>
      </c>
      <c r="BC785" s="1">
        <v>7</v>
      </c>
      <c r="BD785" s="3">
        <v>45062</v>
      </c>
      <c r="BE785" s="1">
        <v>7.18</v>
      </c>
      <c r="BF785" s="3">
        <v>45105</v>
      </c>
      <c r="BG785" s="1">
        <v>7.13</v>
      </c>
      <c r="BH785" s="3">
        <v>45105</v>
      </c>
      <c r="BI785" s="1">
        <v>7.09</v>
      </c>
      <c r="BJ785" s="1">
        <v>45105</v>
      </c>
      <c r="BK785" s="1">
        <v>7.05</v>
      </c>
      <c r="BL785" s="1">
        <v>45105</v>
      </c>
      <c r="BM785" s="1">
        <v>6.2949999999999999</v>
      </c>
      <c r="BN785" s="1">
        <v>45105</v>
      </c>
      <c r="BO785" s="1">
        <v>5.63</v>
      </c>
      <c r="BP785" s="1">
        <v>45105</v>
      </c>
      <c r="BQ785" s="1">
        <v>4.93</v>
      </c>
      <c r="BR785" s="1">
        <v>45105</v>
      </c>
      <c r="BS785" s="1">
        <v>4.4550000000000001</v>
      </c>
      <c r="BT785" s="1">
        <v>45105</v>
      </c>
      <c r="BU785" s="1">
        <v>4.125</v>
      </c>
      <c r="BV785" s="1">
        <v>45105</v>
      </c>
      <c r="BW785" s="1">
        <v>3.85</v>
      </c>
      <c r="BY785" s="1">
        <v>45061</v>
      </c>
      <c r="BZ785" s="1">
        <v>13</v>
      </c>
      <c r="CA785" s="3">
        <v>45054</v>
      </c>
      <c r="CB785" s="1">
        <v>16.2</v>
      </c>
      <c r="CC785" s="3">
        <v>45105</v>
      </c>
      <c r="CD785" s="1">
        <v>14.51</v>
      </c>
      <c r="CE785" s="3">
        <v>45105</v>
      </c>
      <c r="CF785" s="1">
        <v>14.16</v>
      </c>
      <c r="CG785" s="1">
        <v>45105</v>
      </c>
      <c r="CH785" s="1">
        <v>13</v>
      </c>
      <c r="CI785" s="1">
        <v>45105</v>
      </c>
      <c r="CJ785" s="1">
        <v>10.85</v>
      </c>
      <c r="CK785" s="1">
        <v>45105</v>
      </c>
      <c r="CL785" s="1">
        <v>9.5500000000000007</v>
      </c>
      <c r="CM785" s="1">
        <v>45105</v>
      </c>
      <c r="CN785" s="1">
        <v>8.1300000000000008</v>
      </c>
      <c r="CO785" s="1">
        <v>45097</v>
      </c>
      <c r="CP785" s="1">
        <v>8.02</v>
      </c>
      <c r="CQ785" s="1">
        <v>45097</v>
      </c>
      <c r="CR785" s="1">
        <v>7.23</v>
      </c>
      <c r="CS785" s="1">
        <v>45097</v>
      </c>
      <c r="CT785" s="1">
        <v>6.77</v>
      </c>
    </row>
    <row r="786" spans="31:98" x14ac:dyDescent="0.2">
      <c r="AE786" s="1">
        <v>45096</v>
      </c>
      <c r="AF786" s="1">
        <v>6.75</v>
      </c>
      <c r="AG786" s="3">
        <v>45061</v>
      </c>
      <c r="AH786" s="1">
        <v>6.9</v>
      </c>
      <c r="AI786" s="3">
        <v>45104</v>
      </c>
      <c r="AJ786" s="2">
        <v>6.8265000000000002</v>
      </c>
      <c r="AK786" s="3">
        <v>45104</v>
      </c>
      <c r="AL786" s="2">
        <v>6.74</v>
      </c>
      <c r="AM786" s="1">
        <v>45104</v>
      </c>
      <c r="AN786" s="2">
        <v>6.5350000000000001</v>
      </c>
      <c r="AO786" s="1">
        <v>45104</v>
      </c>
      <c r="AP786" s="2">
        <v>5.9325000000000001</v>
      </c>
      <c r="AQ786" s="1">
        <v>45104</v>
      </c>
      <c r="AR786" s="2">
        <v>5.3775000000000004</v>
      </c>
      <c r="AS786" s="1">
        <v>45104</v>
      </c>
      <c r="AT786" s="2">
        <v>5.0625</v>
      </c>
      <c r="AU786" s="1">
        <v>45104</v>
      </c>
      <c r="AV786" s="2">
        <v>4.8075000000000001</v>
      </c>
      <c r="AW786" s="1">
        <v>45104</v>
      </c>
      <c r="AX786" s="2">
        <v>4.5975000000000001</v>
      </c>
      <c r="AY786" s="1">
        <v>45104</v>
      </c>
      <c r="AZ786" s="2">
        <v>4.4424999999999999</v>
      </c>
      <c r="BB786" s="1">
        <v>45041</v>
      </c>
      <c r="BC786" s="1">
        <v>7</v>
      </c>
      <c r="BD786" s="3">
        <v>45061</v>
      </c>
      <c r="BE786" s="1">
        <v>7.18</v>
      </c>
      <c r="BF786" s="3">
        <v>45104</v>
      </c>
      <c r="BG786" s="1">
        <v>7.1150000000000002</v>
      </c>
      <c r="BH786" s="3">
        <v>45104</v>
      </c>
      <c r="BI786" s="1">
        <v>7.07</v>
      </c>
      <c r="BJ786" s="1">
        <v>45104</v>
      </c>
      <c r="BK786" s="1">
        <v>7.0149999999999997</v>
      </c>
      <c r="BL786" s="1">
        <v>45104</v>
      </c>
      <c r="BM786" s="1">
        <v>6.26</v>
      </c>
      <c r="BN786" s="1">
        <v>45104</v>
      </c>
      <c r="BO786" s="1">
        <v>5.59</v>
      </c>
      <c r="BP786" s="1">
        <v>45104</v>
      </c>
      <c r="BQ786" s="1">
        <v>4.8949999999999996</v>
      </c>
      <c r="BR786" s="1">
        <v>45104</v>
      </c>
      <c r="BS786" s="1">
        <v>4.4279999999999999</v>
      </c>
      <c r="BT786" s="1">
        <v>45104</v>
      </c>
      <c r="BU786" s="1">
        <v>4.093</v>
      </c>
      <c r="BV786" s="1">
        <v>45104</v>
      </c>
      <c r="BW786" s="1">
        <v>3.823</v>
      </c>
      <c r="BY786" s="1">
        <v>45058</v>
      </c>
      <c r="BZ786" s="1">
        <v>13</v>
      </c>
      <c r="CA786" s="3">
        <v>45051</v>
      </c>
      <c r="CB786" s="1">
        <v>16.2</v>
      </c>
      <c r="CC786" s="3">
        <v>45104</v>
      </c>
      <c r="CD786" s="1">
        <v>14.5</v>
      </c>
      <c r="CE786" s="3">
        <v>45104</v>
      </c>
      <c r="CF786" s="1">
        <v>14.15</v>
      </c>
      <c r="CG786" s="1">
        <v>45104</v>
      </c>
      <c r="CH786" s="1">
        <v>13.05</v>
      </c>
      <c r="CI786" s="1">
        <v>45104</v>
      </c>
      <c r="CJ786" s="1">
        <v>10.9</v>
      </c>
      <c r="CK786" s="1">
        <v>45104</v>
      </c>
      <c r="CL786" s="1">
        <v>9.6</v>
      </c>
      <c r="CM786" s="1">
        <v>45104</v>
      </c>
      <c r="CN786" s="1">
        <v>8.16</v>
      </c>
      <c r="CO786" s="1">
        <v>45096</v>
      </c>
      <c r="CP786" s="1">
        <v>7.88</v>
      </c>
      <c r="CQ786" s="1">
        <v>45096</v>
      </c>
      <c r="CR786" s="1">
        <v>7.09</v>
      </c>
      <c r="CS786" s="1">
        <v>45096</v>
      </c>
      <c r="CT786" s="1">
        <v>6.63</v>
      </c>
    </row>
    <row r="787" spans="31:98" x14ac:dyDescent="0.2">
      <c r="AE787" s="1">
        <v>45093</v>
      </c>
      <c r="AF787" s="1">
        <v>6.75</v>
      </c>
      <c r="AG787" s="3">
        <v>45058</v>
      </c>
      <c r="AH787" s="1">
        <v>6.9</v>
      </c>
      <c r="AI787" s="3">
        <v>45103</v>
      </c>
      <c r="AJ787" s="2">
        <v>6.8330000000000002</v>
      </c>
      <c r="AK787" s="3">
        <v>45103</v>
      </c>
      <c r="AL787" s="2">
        <v>6.76</v>
      </c>
      <c r="AM787" s="1">
        <v>45103</v>
      </c>
      <c r="AN787" s="2">
        <v>6.55</v>
      </c>
      <c r="AO787" s="1">
        <v>45103</v>
      </c>
      <c r="AP787" s="2">
        <v>5.9725000000000001</v>
      </c>
      <c r="AQ787" s="1">
        <v>45103</v>
      </c>
      <c r="AR787" s="2">
        <v>5.48</v>
      </c>
      <c r="AS787" s="1">
        <v>45103</v>
      </c>
      <c r="AT787" s="2">
        <v>5.16</v>
      </c>
      <c r="AU787" s="1">
        <v>45103</v>
      </c>
      <c r="AV787" s="2">
        <v>4.8899999999999997</v>
      </c>
      <c r="AW787" s="1">
        <v>45103</v>
      </c>
      <c r="AX787" s="2">
        <v>4.6900000000000004</v>
      </c>
      <c r="AY787" s="1">
        <v>45103</v>
      </c>
      <c r="AZ787" s="2">
        <v>4.5425000000000004</v>
      </c>
      <c r="BB787" s="1">
        <v>45040</v>
      </c>
      <c r="BC787" s="1">
        <v>7</v>
      </c>
      <c r="BD787" s="3">
        <v>45058</v>
      </c>
      <c r="BE787" s="1">
        <v>7.18</v>
      </c>
      <c r="BF787" s="3">
        <v>45103</v>
      </c>
      <c r="BG787" s="1">
        <v>7.1130000000000004</v>
      </c>
      <c r="BH787" s="3">
        <v>45103</v>
      </c>
      <c r="BI787" s="1">
        <v>7.07</v>
      </c>
      <c r="BJ787" s="1">
        <v>45103</v>
      </c>
      <c r="BK787" s="1">
        <v>7.01</v>
      </c>
      <c r="BL787" s="1">
        <v>45103</v>
      </c>
      <c r="BM787" s="1">
        <v>6.2549999999999999</v>
      </c>
      <c r="BN787" s="1">
        <v>45103</v>
      </c>
      <c r="BO787" s="1">
        <v>5.59</v>
      </c>
      <c r="BP787" s="1">
        <v>45103</v>
      </c>
      <c r="BQ787" s="1">
        <v>4.915</v>
      </c>
      <c r="BR787" s="1">
        <v>45103</v>
      </c>
      <c r="BS787" s="1">
        <v>4.45</v>
      </c>
      <c r="BT787" s="1">
        <v>45103</v>
      </c>
      <c r="BU787" s="1">
        <v>4.1280000000000001</v>
      </c>
      <c r="BV787" s="1">
        <v>45103</v>
      </c>
      <c r="BW787" s="1">
        <v>3.8730000000000002</v>
      </c>
      <c r="BY787" s="1">
        <v>45057</v>
      </c>
      <c r="BZ787" s="1">
        <v>13</v>
      </c>
      <c r="CA787" s="3">
        <v>45050</v>
      </c>
      <c r="CB787" s="1">
        <v>16.21</v>
      </c>
      <c r="CC787" s="3">
        <v>45103</v>
      </c>
      <c r="CD787" s="1">
        <v>14.55</v>
      </c>
      <c r="CE787" s="3">
        <v>45103</v>
      </c>
      <c r="CF787" s="1">
        <v>14.13</v>
      </c>
      <c r="CG787" s="1">
        <v>45103</v>
      </c>
      <c r="CH787" s="1">
        <v>13.28</v>
      </c>
      <c r="CI787" s="1">
        <v>45103</v>
      </c>
      <c r="CJ787" s="1">
        <v>11.05</v>
      </c>
      <c r="CK787" s="1">
        <v>45103</v>
      </c>
      <c r="CL787" s="1">
        <v>9.83</v>
      </c>
      <c r="CM787" s="1">
        <v>45103</v>
      </c>
      <c r="CN787" s="1">
        <v>8.41</v>
      </c>
      <c r="CO787" s="1">
        <v>45093</v>
      </c>
      <c r="CP787" s="1">
        <v>7.88</v>
      </c>
      <c r="CQ787" s="1">
        <v>45093</v>
      </c>
      <c r="CR787" s="1">
        <v>7.09</v>
      </c>
      <c r="CS787" s="1">
        <v>45093</v>
      </c>
      <c r="CT787" s="1">
        <v>6.63</v>
      </c>
    </row>
    <row r="788" spans="31:98" x14ac:dyDescent="0.2">
      <c r="AE788" s="1">
        <v>45092</v>
      </c>
      <c r="AF788" s="1">
        <v>6.75</v>
      </c>
      <c r="AG788" s="3">
        <v>45057</v>
      </c>
      <c r="AH788" s="1">
        <v>6.9</v>
      </c>
      <c r="AI788" s="3">
        <v>45100</v>
      </c>
      <c r="AJ788" s="2">
        <v>6.8369999999999997</v>
      </c>
      <c r="AK788" s="3">
        <v>45100</v>
      </c>
      <c r="AL788" s="2">
        <v>6.77</v>
      </c>
      <c r="AM788" s="1">
        <v>45100</v>
      </c>
      <c r="AN788" s="2">
        <v>6.58</v>
      </c>
      <c r="AO788" s="1">
        <v>45100</v>
      </c>
      <c r="AP788" s="2">
        <v>6.0449999999999999</v>
      </c>
      <c r="AQ788" s="1">
        <v>45100</v>
      </c>
      <c r="AR788" s="2">
        <v>5.5449999999999999</v>
      </c>
      <c r="AS788" s="1">
        <v>45100</v>
      </c>
      <c r="AT788" s="2">
        <v>5.23</v>
      </c>
      <c r="AU788" s="1">
        <v>45100</v>
      </c>
      <c r="AV788" s="2">
        <v>4.9550000000000001</v>
      </c>
      <c r="AW788" s="1">
        <v>45100</v>
      </c>
      <c r="AX788" s="2">
        <v>4.7549999999999999</v>
      </c>
      <c r="AY788" s="1">
        <v>45100</v>
      </c>
      <c r="AZ788" s="2">
        <v>4.5999999999999996</v>
      </c>
      <c r="BB788" s="1">
        <v>45037</v>
      </c>
      <c r="BC788" s="1">
        <v>7</v>
      </c>
      <c r="BD788" s="3">
        <v>45057</v>
      </c>
      <c r="BE788" s="1">
        <v>7.18</v>
      </c>
      <c r="BF788" s="3">
        <v>45100</v>
      </c>
      <c r="BG788" s="1">
        <v>7.125</v>
      </c>
      <c r="BH788" s="3">
        <v>45100</v>
      </c>
      <c r="BI788" s="1">
        <v>7.07</v>
      </c>
      <c r="BJ788" s="1">
        <v>45100</v>
      </c>
      <c r="BK788" s="1">
        <v>7.01</v>
      </c>
      <c r="BL788" s="1">
        <v>45100</v>
      </c>
      <c r="BM788" s="1">
        <v>6.4050000000000002</v>
      </c>
      <c r="BN788" s="1">
        <v>45100</v>
      </c>
      <c r="BO788" s="1">
        <v>5.593</v>
      </c>
      <c r="BP788" s="1">
        <v>45100</v>
      </c>
      <c r="BQ788" s="1">
        <v>4.95</v>
      </c>
      <c r="BR788" s="1">
        <v>45100</v>
      </c>
      <c r="BS788" s="1">
        <v>4.5030000000000001</v>
      </c>
      <c r="BT788" s="1">
        <v>45100</v>
      </c>
      <c r="BU788" s="1">
        <v>4.18</v>
      </c>
      <c r="BV788" s="1">
        <v>45100</v>
      </c>
      <c r="BW788" s="1">
        <v>3.9049999999999998</v>
      </c>
      <c r="BY788" s="1">
        <v>45056</v>
      </c>
      <c r="BZ788" s="1">
        <v>13</v>
      </c>
      <c r="CA788" s="3">
        <v>45049</v>
      </c>
      <c r="CB788" s="1">
        <v>16.22</v>
      </c>
      <c r="CC788" s="3">
        <v>45100</v>
      </c>
      <c r="CD788" s="1">
        <v>14.84</v>
      </c>
      <c r="CE788" s="3">
        <v>45100</v>
      </c>
      <c r="CF788" s="1">
        <v>14.2</v>
      </c>
      <c r="CG788" s="1">
        <v>45100</v>
      </c>
      <c r="CH788" s="1">
        <v>13.35</v>
      </c>
      <c r="CI788" s="1">
        <v>45100</v>
      </c>
      <c r="CJ788" s="1">
        <v>11.23</v>
      </c>
      <c r="CK788" s="1">
        <v>45100</v>
      </c>
      <c r="CL788" s="1">
        <v>10.029999999999999</v>
      </c>
      <c r="CM788" s="1">
        <v>45100</v>
      </c>
      <c r="CN788" s="1">
        <v>8.76</v>
      </c>
      <c r="CO788" s="1">
        <v>45092</v>
      </c>
      <c r="CP788" s="1">
        <v>7.78</v>
      </c>
      <c r="CQ788" s="1">
        <v>45092</v>
      </c>
      <c r="CR788" s="1">
        <v>6.99</v>
      </c>
      <c r="CS788" s="1">
        <v>45092</v>
      </c>
      <c r="CT788" s="1">
        <v>6.49</v>
      </c>
    </row>
    <row r="789" spans="31:98" x14ac:dyDescent="0.2">
      <c r="AE789" s="1">
        <v>45091</v>
      </c>
      <c r="AF789" s="1">
        <v>6.75</v>
      </c>
      <c r="AG789" s="3">
        <v>45056</v>
      </c>
      <c r="AH789" s="1">
        <v>6.9</v>
      </c>
      <c r="AI789" s="3">
        <v>45099</v>
      </c>
      <c r="AJ789" s="2">
        <v>6.8425000000000002</v>
      </c>
      <c r="AK789" s="3">
        <v>45099</v>
      </c>
      <c r="AL789" s="2">
        <v>6.7774999999999999</v>
      </c>
      <c r="AM789" s="1">
        <v>45099</v>
      </c>
      <c r="AN789" s="2">
        <v>6.59</v>
      </c>
      <c r="AO789" s="1">
        <v>45099</v>
      </c>
      <c r="AP789" s="2">
        <v>6.11</v>
      </c>
      <c r="AQ789" s="1">
        <v>45099</v>
      </c>
      <c r="AR789" s="2">
        <v>5.7149999999999999</v>
      </c>
      <c r="AS789" s="1">
        <v>45099</v>
      </c>
      <c r="AT789" s="2">
        <v>5.42</v>
      </c>
      <c r="AU789" s="1">
        <v>45099</v>
      </c>
      <c r="AV789" s="2">
        <v>5.17</v>
      </c>
      <c r="AW789" s="1">
        <v>45099</v>
      </c>
      <c r="AX789" s="2">
        <v>4.9450000000000003</v>
      </c>
      <c r="AY789" s="1">
        <v>45099</v>
      </c>
      <c r="AZ789" s="2">
        <v>4.7450000000000001</v>
      </c>
      <c r="BB789" s="1">
        <v>45036</v>
      </c>
      <c r="BC789" s="1">
        <v>7</v>
      </c>
      <c r="BD789" s="3">
        <v>45056</v>
      </c>
      <c r="BE789" s="1">
        <v>7.18</v>
      </c>
      <c r="BF789" s="3">
        <v>45099</v>
      </c>
      <c r="BG789" s="1">
        <v>7.125</v>
      </c>
      <c r="BH789" s="3">
        <v>45099</v>
      </c>
      <c r="BI789" s="1">
        <v>7.1050000000000004</v>
      </c>
      <c r="BJ789" s="1">
        <v>45099</v>
      </c>
      <c r="BK789" s="1">
        <v>7.0549999999999997</v>
      </c>
      <c r="BL789" s="1">
        <v>45099</v>
      </c>
      <c r="BM789" s="1">
        <v>6.4850000000000003</v>
      </c>
      <c r="BN789" s="1">
        <v>45099</v>
      </c>
      <c r="BO789" s="1">
        <v>5.665</v>
      </c>
      <c r="BP789" s="1">
        <v>45099</v>
      </c>
      <c r="BQ789" s="1">
        <v>5.0350000000000001</v>
      </c>
      <c r="BR789" s="1">
        <v>45099</v>
      </c>
      <c r="BS789" s="1">
        <v>4.6029999999999998</v>
      </c>
      <c r="BT789" s="1">
        <v>45099</v>
      </c>
      <c r="BU789" s="1">
        <v>4.2880000000000003</v>
      </c>
      <c r="BV789" s="1">
        <v>45099</v>
      </c>
      <c r="BW789" s="1">
        <v>4.0149999999999997</v>
      </c>
      <c r="BY789" s="1">
        <v>45055</v>
      </c>
      <c r="BZ789" s="1">
        <v>13</v>
      </c>
      <c r="CA789" s="3">
        <v>45048</v>
      </c>
      <c r="CB789" s="1">
        <v>16.23</v>
      </c>
      <c r="CC789" s="3">
        <v>45099</v>
      </c>
      <c r="CD789" s="1">
        <v>14.85</v>
      </c>
      <c r="CE789" s="3">
        <v>45099</v>
      </c>
      <c r="CF789" s="1">
        <v>14.2</v>
      </c>
      <c r="CG789" s="1">
        <v>45099</v>
      </c>
      <c r="CH789" s="1">
        <v>13.4</v>
      </c>
      <c r="CI789" s="1">
        <v>45099</v>
      </c>
      <c r="CJ789" s="1">
        <v>11.32</v>
      </c>
      <c r="CK789" s="1">
        <v>45099</v>
      </c>
      <c r="CL789" s="1">
        <v>10.130000000000001</v>
      </c>
      <c r="CM789" s="1">
        <v>45099</v>
      </c>
      <c r="CN789" s="1">
        <v>8.85</v>
      </c>
      <c r="CO789" s="1">
        <v>45091</v>
      </c>
      <c r="CP789" s="1">
        <v>7.69</v>
      </c>
      <c r="CQ789" s="1">
        <v>45091</v>
      </c>
      <c r="CR789" s="1">
        <v>6.9</v>
      </c>
      <c r="CS789" s="1">
        <v>45091</v>
      </c>
      <c r="CT789" s="1">
        <v>6.4</v>
      </c>
    </row>
    <row r="790" spans="31:98" x14ac:dyDescent="0.2">
      <c r="AE790" s="1">
        <v>45090</v>
      </c>
      <c r="AF790" s="1">
        <v>6.75</v>
      </c>
      <c r="AG790" s="3">
        <v>45055</v>
      </c>
      <c r="AH790" s="1">
        <v>6.89</v>
      </c>
      <c r="AI790" s="3">
        <v>45098</v>
      </c>
      <c r="AJ790" s="2">
        <v>6.843</v>
      </c>
      <c r="AK790" s="3">
        <v>45098</v>
      </c>
      <c r="AL790" s="2">
        <v>6.78</v>
      </c>
      <c r="AM790" s="1">
        <v>45098</v>
      </c>
      <c r="AN790" s="2">
        <v>6.6</v>
      </c>
      <c r="AO790" s="1">
        <v>45098</v>
      </c>
      <c r="AP790" s="2">
        <v>6.13</v>
      </c>
      <c r="AQ790" s="1">
        <v>45098</v>
      </c>
      <c r="AR790" s="2">
        <v>5.7249999999999996</v>
      </c>
      <c r="AS790" s="1">
        <v>45098</v>
      </c>
      <c r="AT790" s="2">
        <v>5.43</v>
      </c>
      <c r="AU790" s="1">
        <v>45098</v>
      </c>
      <c r="AV790" s="2">
        <v>5.19</v>
      </c>
      <c r="AW790" s="1">
        <v>45098</v>
      </c>
      <c r="AX790" s="2">
        <v>4.9649999999999999</v>
      </c>
      <c r="AY790" s="1">
        <v>45098</v>
      </c>
      <c r="AZ790" s="2">
        <v>4.75</v>
      </c>
      <c r="BB790" s="1">
        <v>45035</v>
      </c>
      <c r="BC790" s="1">
        <v>7</v>
      </c>
      <c r="BD790" s="3">
        <v>45055</v>
      </c>
      <c r="BE790" s="1">
        <v>7.18</v>
      </c>
      <c r="BF790" s="3">
        <v>45098</v>
      </c>
      <c r="BG790" s="1">
        <v>7.125</v>
      </c>
      <c r="BH790" s="3">
        <v>45098</v>
      </c>
      <c r="BI790" s="1">
        <v>7.1050000000000004</v>
      </c>
      <c r="BJ790" s="1">
        <v>45098</v>
      </c>
      <c r="BK790" s="1">
        <v>7.06</v>
      </c>
      <c r="BL790" s="1">
        <v>45098</v>
      </c>
      <c r="BM790" s="1">
        <v>6.4950000000000001</v>
      </c>
      <c r="BN790" s="1">
        <v>45098</v>
      </c>
      <c r="BO790" s="1">
        <v>5.6550000000000002</v>
      </c>
      <c r="BP790" s="1">
        <v>45098</v>
      </c>
      <c r="BQ790" s="1">
        <v>5.0049999999999999</v>
      </c>
      <c r="BR790" s="1">
        <v>45098</v>
      </c>
      <c r="BS790" s="1">
        <v>4.5730000000000004</v>
      </c>
      <c r="BT790" s="1">
        <v>45098</v>
      </c>
      <c r="BU790" s="1">
        <v>4.2679999999999998</v>
      </c>
      <c r="BV790" s="1">
        <v>45098</v>
      </c>
      <c r="BW790" s="1">
        <v>3.9980000000000002</v>
      </c>
      <c r="BY790" s="1">
        <v>45054</v>
      </c>
      <c r="BZ790" s="1">
        <v>13</v>
      </c>
      <c r="CA790" s="3">
        <v>45044</v>
      </c>
      <c r="CB790" s="1">
        <v>16.23</v>
      </c>
      <c r="CC790" s="3">
        <v>45098</v>
      </c>
      <c r="CD790" s="1">
        <v>14.86</v>
      </c>
      <c r="CE790" s="3">
        <v>45098</v>
      </c>
      <c r="CF790" s="1">
        <v>14.16</v>
      </c>
      <c r="CG790" s="1">
        <v>45098</v>
      </c>
      <c r="CH790" s="1">
        <v>13.3</v>
      </c>
      <c r="CI790" s="1">
        <v>45098</v>
      </c>
      <c r="CJ790" s="1">
        <v>11.29</v>
      </c>
      <c r="CK790" s="1">
        <v>45098</v>
      </c>
      <c r="CL790" s="1">
        <v>10.1</v>
      </c>
      <c r="CM790" s="1">
        <v>45098</v>
      </c>
      <c r="CN790" s="1">
        <v>8.86</v>
      </c>
      <c r="CO790" s="1">
        <v>45090</v>
      </c>
      <c r="CP790" s="1">
        <v>7.7</v>
      </c>
      <c r="CQ790" s="1">
        <v>45090</v>
      </c>
      <c r="CR790" s="1">
        <v>6.91</v>
      </c>
      <c r="CS790" s="1">
        <v>45090</v>
      </c>
      <c r="CT790" s="1">
        <v>6.34</v>
      </c>
    </row>
    <row r="791" spans="31:98" x14ac:dyDescent="0.2">
      <c r="AE791" s="1">
        <v>45089</v>
      </c>
      <c r="AF791" s="1">
        <v>6.75</v>
      </c>
      <c r="AG791" s="3">
        <v>45054</v>
      </c>
      <c r="AH791" s="1">
        <v>6.9</v>
      </c>
      <c r="AI791" s="1">
        <v>45097</v>
      </c>
      <c r="AJ791" s="2">
        <v>6.8414999999999999</v>
      </c>
      <c r="AK791" s="3">
        <v>45097</v>
      </c>
      <c r="AL791" s="2">
        <v>6.8125</v>
      </c>
      <c r="AM791" s="1">
        <v>45097</v>
      </c>
      <c r="AN791" s="2">
        <v>6.64</v>
      </c>
      <c r="AO791" s="1">
        <v>45097</v>
      </c>
      <c r="AP791" s="2">
        <v>6.2249999999999996</v>
      </c>
      <c r="AQ791" s="1">
        <v>45097</v>
      </c>
      <c r="AR791" s="2">
        <v>5.8250000000000002</v>
      </c>
      <c r="AS791" s="1">
        <v>45097</v>
      </c>
      <c r="AT791" s="2">
        <v>5.5324999999999998</v>
      </c>
      <c r="AU791" s="1">
        <v>45097</v>
      </c>
      <c r="AV791" s="2">
        <v>5.29</v>
      </c>
      <c r="AW791" s="1">
        <v>45097</v>
      </c>
      <c r="AX791" s="2">
        <v>5.0599999999999996</v>
      </c>
      <c r="AY791" s="1">
        <v>45097</v>
      </c>
      <c r="AZ791" s="2">
        <v>4.8425000000000002</v>
      </c>
      <c r="BB791" s="1">
        <v>45034</v>
      </c>
      <c r="BC791" s="1">
        <v>7</v>
      </c>
      <c r="BD791" s="3">
        <v>45051</v>
      </c>
      <c r="BE791" s="1">
        <v>7.18</v>
      </c>
      <c r="BF791" s="1">
        <v>45097</v>
      </c>
      <c r="BG791" s="1">
        <v>7.13</v>
      </c>
      <c r="BH791" s="3">
        <v>45097</v>
      </c>
      <c r="BI791" s="1">
        <v>7.0949999999999998</v>
      </c>
      <c r="BJ791" s="1">
        <v>45097</v>
      </c>
      <c r="BK791" s="1">
        <v>7.05</v>
      </c>
      <c r="BL791" s="1">
        <v>45097</v>
      </c>
      <c r="BM791" s="1">
        <v>6.4950000000000001</v>
      </c>
      <c r="BN791" s="1">
        <v>45097</v>
      </c>
      <c r="BO791" s="1">
        <v>5.6349999999999998</v>
      </c>
      <c r="BP791" s="1">
        <v>45097</v>
      </c>
      <c r="BQ791" s="1">
        <v>5.0750000000000002</v>
      </c>
      <c r="BR791" s="1">
        <v>45097</v>
      </c>
      <c r="BS791" s="1">
        <v>4.6280000000000001</v>
      </c>
      <c r="BT791" s="1">
        <v>45097</v>
      </c>
      <c r="BU791" s="1">
        <v>4.32</v>
      </c>
      <c r="BV791" s="1">
        <v>45097</v>
      </c>
      <c r="BW791" s="1">
        <v>4.0650000000000004</v>
      </c>
      <c r="BY791" s="1">
        <v>45050</v>
      </c>
      <c r="BZ791" s="1">
        <v>13</v>
      </c>
      <c r="CA791" s="3">
        <v>45043</v>
      </c>
      <c r="CB791" s="1">
        <v>16.239999999999998</v>
      </c>
      <c r="CC791" s="1">
        <v>45097</v>
      </c>
      <c r="CD791" s="1">
        <v>14.72</v>
      </c>
      <c r="CE791" s="3">
        <v>45097</v>
      </c>
      <c r="CF791" s="1">
        <v>14.02</v>
      </c>
      <c r="CG791" s="1">
        <v>45097</v>
      </c>
      <c r="CH791" s="1">
        <v>13.25</v>
      </c>
      <c r="CI791" s="1">
        <v>45097</v>
      </c>
      <c r="CJ791" s="1">
        <v>11.35</v>
      </c>
      <c r="CK791" s="1">
        <v>45097</v>
      </c>
      <c r="CL791" s="1">
        <v>10.15</v>
      </c>
      <c r="CM791" s="1">
        <v>45097</v>
      </c>
      <c r="CN791" s="1">
        <v>8.92</v>
      </c>
      <c r="CO791" s="1">
        <v>45089</v>
      </c>
      <c r="CP791" s="1">
        <v>7.77</v>
      </c>
      <c r="CQ791" s="1">
        <v>45089</v>
      </c>
      <c r="CR791" s="1">
        <v>6.98</v>
      </c>
      <c r="CS791" s="1">
        <v>45089</v>
      </c>
      <c r="CT791" s="1">
        <v>6.41</v>
      </c>
    </row>
    <row r="792" spans="31:98" x14ac:dyDescent="0.2">
      <c r="AE792" s="1">
        <v>45086</v>
      </c>
      <c r="AF792" s="1">
        <v>6.75</v>
      </c>
      <c r="AG792" s="3">
        <v>45051</v>
      </c>
      <c r="AH792" s="1">
        <v>6.9</v>
      </c>
      <c r="AI792" s="1">
        <v>45096</v>
      </c>
      <c r="AJ792" s="2">
        <v>6.8540000000000001</v>
      </c>
      <c r="AK792" s="3">
        <v>45096</v>
      </c>
      <c r="AL792" s="2">
        <v>6.82</v>
      </c>
      <c r="AM792" s="1">
        <v>45096</v>
      </c>
      <c r="AN792" s="2">
        <v>6.6725000000000003</v>
      </c>
      <c r="AO792" s="1">
        <v>45096</v>
      </c>
      <c r="AP792" s="2">
        <v>6.2575000000000003</v>
      </c>
      <c r="AQ792" s="1">
        <v>45096</v>
      </c>
      <c r="AR792" s="2">
        <v>5.8825000000000003</v>
      </c>
      <c r="AS792" s="1">
        <v>45096</v>
      </c>
      <c r="AT792" s="2">
        <v>5.5975000000000001</v>
      </c>
      <c r="AU792" s="1">
        <v>45096</v>
      </c>
      <c r="AV792" s="2">
        <v>5.3449999999999998</v>
      </c>
      <c r="AW792" s="1">
        <v>45096</v>
      </c>
      <c r="AX792" s="2">
        <v>5.1074999999999999</v>
      </c>
      <c r="AY792" s="1">
        <v>45096</v>
      </c>
      <c r="AZ792" s="2">
        <v>4.8875000000000002</v>
      </c>
      <c r="BB792" s="1">
        <v>45033</v>
      </c>
      <c r="BC792" s="1">
        <v>7</v>
      </c>
      <c r="BD792" s="3">
        <v>45050</v>
      </c>
      <c r="BE792" s="1">
        <v>7.18</v>
      </c>
      <c r="BF792" s="1">
        <v>45096</v>
      </c>
      <c r="BG792" s="1">
        <v>7.125</v>
      </c>
      <c r="BH792" s="3">
        <v>45096</v>
      </c>
      <c r="BI792" s="1">
        <v>7.1150000000000002</v>
      </c>
      <c r="BJ792" s="1">
        <v>45096</v>
      </c>
      <c r="BK792" s="1">
        <v>7.07</v>
      </c>
      <c r="BL792" s="1">
        <v>45096</v>
      </c>
      <c r="BM792" s="1">
        <v>6.5149999999999997</v>
      </c>
      <c r="BN792" s="1">
        <v>45096</v>
      </c>
      <c r="BO792" s="1">
        <v>5.65</v>
      </c>
      <c r="BP792" s="1">
        <v>45096</v>
      </c>
      <c r="BQ792" s="1">
        <v>5.0949999999999998</v>
      </c>
      <c r="BR792" s="1">
        <v>45096</v>
      </c>
      <c r="BS792" s="1">
        <v>4.6449999999999996</v>
      </c>
      <c r="BT792" s="1">
        <v>45096</v>
      </c>
      <c r="BU792" s="1">
        <v>4.335</v>
      </c>
      <c r="BV792" s="1">
        <v>45096</v>
      </c>
      <c r="BW792" s="1">
        <v>4.0949999999999998</v>
      </c>
      <c r="BY792" s="1">
        <v>45049</v>
      </c>
      <c r="BZ792" s="1">
        <v>13</v>
      </c>
      <c r="CA792" s="3">
        <v>45042</v>
      </c>
      <c r="CB792" s="1">
        <v>16.239999999999998</v>
      </c>
      <c r="CC792" s="1">
        <v>45096</v>
      </c>
      <c r="CD792" s="1">
        <v>14.74</v>
      </c>
      <c r="CE792" s="3">
        <v>45096</v>
      </c>
      <c r="CF792" s="1">
        <v>14.04</v>
      </c>
      <c r="CG792" s="1">
        <v>45096</v>
      </c>
      <c r="CH792" s="1">
        <v>13.35</v>
      </c>
      <c r="CI792" s="1">
        <v>45096</v>
      </c>
      <c r="CJ792" s="1">
        <v>11.56</v>
      </c>
      <c r="CK792" s="1">
        <v>45096</v>
      </c>
      <c r="CL792" s="1">
        <v>10.210000000000001</v>
      </c>
      <c r="CM792" s="1">
        <v>45096</v>
      </c>
      <c r="CN792" s="1">
        <v>8.92</v>
      </c>
      <c r="CO792" s="1">
        <v>45086</v>
      </c>
      <c r="CP792" s="1">
        <v>8.1300000000000008</v>
      </c>
      <c r="CQ792" s="1">
        <v>45086</v>
      </c>
      <c r="CR792" s="1">
        <v>7.28</v>
      </c>
      <c r="CS792" s="1">
        <v>45086</v>
      </c>
      <c r="CT792" s="1">
        <v>6.65</v>
      </c>
    </row>
    <row r="793" spans="31:98" x14ac:dyDescent="0.2">
      <c r="AE793" s="1">
        <v>45085</v>
      </c>
      <c r="AF793" s="1">
        <v>6.75</v>
      </c>
      <c r="AG793" s="3">
        <v>45050</v>
      </c>
      <c r="AH793" s="1">
        <v>6.9</v>
      </c>
      <c r="AI793" s="1">
        <v>45093</v>
      </c>
      <c r="AJ793" s="2">
        <v>6.851</v>
      </c>
      <c r="AK793" s="3">
        <v>45093</v>
      </c>
      <c r="AL793" s="2">
        <v>6.83</v>
      </c>
      <c r="AM793" s="1">
        <v>45093</v>
      </c>
      <c r="AN793" s="2">
        <v>6.6775000000000002</v>
      </c>
      <c r="AO793" s="1">
        <v>45093</v>
      </c>
      <c r="AP793" s="2">
        <v>6.2450000000000001</v>
      </c>
      <c r="AQ793" s="1">
        <v>45093</v>
      </c>
      <c r="AR793" s="2">
        <v>5.8650000000000002</v>
      </c>
      <c r="AS793" s="1">
        <v>45093</v>
      </c>
      <c r="AT793" s="2">
        <v>5.5875000000000004</v>
      </c>
      <c r="AU793" s="1">
        <v>45093</v>
      </c>
      <c r="AV793" s="2">
        <v>5.335</v>
      </c>
      <c r="AW793" s="1">
        <v>45093</v>
      </c>
      <c r="AX793" s="2">
        <v>5.09</v>
      </c>
      <c r="AY793" s="1">
        <v>45093</v>
      </c>
      <c r="AZ793" s="2">
        <v>4.87</v>
      </c>
      <c r="BB793" s="1">
        <v>45030</v>
      </c>
      <c r="BC793" s="1">
        <v>7</v>
      </c>
      <c r="BD793" s="3">
        <v>45049</v>
      </c>
      <c r="BE793" s="1">
        <v>7.17</v>
      </c>
      <c r="BF793" s="1">
        <v>45093</v>
      </c>
      <c r="BG793" s="1">
        <v>7.125</v>
      </c>
      <c r="BH793" s="3">
        <v>45093</v>
      </c>
      <c r="BI793" s="1">
        <v>7.1</v>
      </c>
      <c r="BJ793" s="1">
        <v>45093</v>
      </c>
      <c r="BK793" s="1">
        <v>7.0350000000000001</v>
      </c>
      <c r="BL793" s="1">
        <v>45093</v>
      </c>
      <c r="BM793" s="1">
        <v>6.4850000000000003</v>
      </c>
      <c r="BN793" s="1">
        <v>45093</v>
      </c>
      <c r="BO793" s="1">
        <v>5.5949999999999998</v>
      </c>
      <c r="BP793" s="1">
        <v>45093</v>
      </c>
      <c r="BQ793" s="1">
        <v>5.0449999999999999</v>
      </c>
      <c r="BR793" s="1">
        <v>45093</v>
      </c>
      <c r="BS793" s="1">
        <v>4.59</v>
      </c>
      <c r="BT793" s="1">
        <v>45093</v>
      </c>
      <c r="BU793" s="1">
        <v>4.2930000000000001</v>
      </c>
      <c r="BV793" s="1">
        <v>45093</v>
      </c>
      <c r="BW793" s="1">
        <v>4.01</v>
      </c>
      <c r="BY793" s="1">
        <v>45048</v>
      </c>
      <c r="BZ793" s="1">
        <v>13</v>
      </c>
      <c r="CA793" s="3">
        <v>45041</v>
      </c>
      <c r="CB793" s="1">
        <v>16.239999999999998</v>
      </c>
      <c r="CC793" s="1">
        <v>45093</v>
      </c>
      <c r="CD793" s="1">
        <v>14.8</v>
      </c>
      <c r="CE793" s="3">
        <v>45093</v>
      </c>
      <c r="CF793" s="1">
        <v>14.13</v>
      </c>
      <c r="CG793" s="1">
        <v>45093</v>
      </c>
      <c r="CH793" s="1">
        <v>13.37</v>
      </c>
      <c r="CI793" s="1">
        <v>45093</v>
      </c>
      <c r="CJ793" s="1">
        <v>11.55</v>
      </c>
      <c r="CK793" s="1">
        <v>45093</v>
      </c>
      <c r="CL793" s="1">
        <v>10.19</v>
      </c>
      <c r="CM793" s="1">
        <v>45093</v>
      </c>
      <c r="CN793" s="1">
        <v>8.92</v>
      </c>
      <c r="CO793" s="1">
        <v>45085</v>
      </c>
      <c r="CP793" s="1">
        <v>8.4700000000000006</v>
      </c>
      <c r="CQ793" s="1">
        <v>45085</v>
      </c>
      <c r="CR793" s="1">
        <v>7.62</v>
      </c>
      <c r="CS793" s="1">
        <v>45085</v>
      </c>
      <c r="CT793" s="1">
        <v>6.89</v>
      </c>
    </row>
    <row r="794" spans="31:98" x14ac:dyDescent="0.2">
      <c r="AE794" s="1">
        <v>45084</v>
      </c>
      <c r="AF794" s="1">
        <v>6.75</v>
      </c>
      <c r="AG794" s="3">
        <v>45048</v>
      </c>
      <c r="AH794" s="1">
        <v>6.9</v>
      </c>
      <c r="AI794" s="1">
        <v>45092</v>
      </c>
      <c r="AJ794" s="2">
        <v>6.8535000000000004</v>
      </c>
      <c r="AK794" s="3">
        <v>45092</v>
      </c>
      <c r="AL794" s="2">
        <v>6.8025000000000002</v>
      </c>
      <c r="AM794" s="1">
        <v>45092</v>
      </c>
      <c r="AN794" s="2">
        <v>6.6325000000000003</v>
      </c>
      <c r="AO794" s="1">
        <v>45092</v>
      </c>
      <c r="AP794" s="2">
        <v>6.1974999999999998</v>
      </c>
      <c r="AQ794" s="1">
        <v>45092</v>
      </c>
      <c r="AR794" s="2">
        <v>5.81</v>
      </c>
      <c r="AS794" s="1">
        <v>45092</v>
      </c>
      <c r="AT794" s="2">
        <v>5.52</v>
      </c>
      <c r="AU794" s="1">
        <v>45092</v>
      </c>
      <c r="AV794" s="2">
        <v>5.2649999999999997</v>
      </c>
      <c r="AW794" s="1">
        <v>45092</v>
      </c>
      <c r="AX794" s="2">
        <v>4.9850000000000003</v>
      </c>
      <c r="AY794" s="1">
        <v>45092</v>
      </c>
      <c r="AZ794" s="2">
        <v>4.7699999999999996</v>
      </c>
      <c r="BB794" s="1">
        <v>45029</v>
      </c>
      <c r="BC794" s="1">
        <v>7</v>
      </c>
      <c r="BD794" s="3">
        <v>45048</v>
      </c>
      <c r="BE794" s="1">
        <v>7.17</v>
      </c>
      <c r="BF794" s="1">
        <v>45092</v>
      </c>
      <c r="BG794" s="1">
        <v>7.12</v>
      </c>
      <c r="BH794" s="3">
        <v>45092</v>
      </c>
      <c r="BI794" s="1">
        <v>7.0949999999999998</v>
      </c>
      <c r="BJ794" s="1">
        <v>45092</v>
      </c>
      <c r="BK794" s="1">
        <v>7.0250000000000004</v>
      </c>
      <c r="BL794" s="1">
        <v>45092</v>
      </c>
      <c r="BM794" s="1">
        <v>6.48</v>
      </c>
      <c r="BN794" s="1">
        <v>45092</v>
      </c>
      <c r="BO794" s="1">
        <v>5.57</v>
      </c>
      <c r="BP794" s="1">
        <v>45092</v>
      </c>
      <c r="BQ794" s="1">
        <v>5</v>
      </c>
      <c r="BR794" s="1">
        <v>45092</v>
      </c>
      <c r="BS794" s="1">
        <v>4.5229999999999997</v>
      </c>
      <c r="BT794" s="1">
        <v>45092</v>
      </c>
      <c r="BU794" s="1">
        <v>4.2149999999999999</v>
      </c>
      <c r="BV794" s="1">
        <v>45092</v>
      </c>
      <c r="BW794" s="1">
        <v>3.9580000000000002</v>
      </c>
      <c r="BY794" s="1">
        <v>45047</v>
      </c>
      <c r="BZ794" s="1">
        <v>13</v>
      </c>
      <c r="CA794" s="3">
        <v>45040</v>
      </c>
      <c r="CB794" s="1">
        <v>16.25</v>
      </c>
      <c r="CC794" s="1">
        <v>45092</v>
      </c>
      <c r="CD794" s="1">
        <v>14.83</v>
      </c>
      <c r="CE794" s="3">
        <v>45092</v>
      </c>
      <c r="CF794" s="1">
        <v>14.16</v>
      </c>
      <c r="CG794" s="1">
        <v>45092</v>
      </c>
      <c r="CH794" s="1">
        <v>13.45</v>
      </c>
      <c r="CI794" s="1">
        <v>45092</v>
      </c>
      <c r="CJ794" s="1">
        <v>11.65</v>
      </c>
      <c r="CK794" s="1">
        <v>45092</v>
      </c>
      <c r="CL794" s="1">
        <v>10.28</v>
      </c>
      <c r="CM794" s="1">
        <v>45092</v>
      </c>
      <c r="CN794" s="1">
        <v>8.85</v>
      </c>
      <c r="CO794" s="1">
        <v>45084</v>
      </c>
      <c r="CP794" s="1">
        <v>8.6</v>
      </c>
      <c r="CQ794" s="1">
        <v>45084</v>
      </c>
      <c r="CR794" s="1">
        <v>7.79</v>
      </c>
      <c r="CS794" s="1">
        <v>45084</v>
      </c>
      <c r="CT794" s="1">
        <v>7.08</v>
      </c>
    </row>
    <row r="795" spans="31:98" x14ac:dyDescent="0.2">
      <c r="AE795" s="1">
        <v>45083</v>
      </c>
      <c r="AF795" s="1">
        <v>6.75</v>
      </c>
      <c r="AG795" s="3">
        <v>45044</v>
      </c>
      <c r="AH795" s="1">
        <v>6.9</v>
      </c>
      <c r="AI795" s="1">
        <v>45091</v>
      </c>
      <c r="AJ795" s="2">
        <v>6.8407999999999998</v>
      </c>
      <c r="AK795" s="3">
        <v>45091</v>
      </c>
      <c r="AL795" s="2">
        <v>6.8025000000000002</v>
      </c>
      <c r="AM795" s="1">
        <v>45091</v>
      </c>
      <c r="AN795" s="2">
        <v>6.6349999999999998</v>
      </c>
      <c r="AO795" s="1">
        <v>45091</v>
      </c>
      <c r="AP795" s="2">
        <v>6.1849999999999996</v>
      </c>
      <c r="AQ795" s="1">
        <v>45091</v>
      </c>
      <c r="AR795" s="2">
        <v>5.7824999999999998</v>
      </c>
      <c r="AS795" s="1">
        <v>45091</v>
      </c>
      <c r="AT795" s="2">
        <v>5.4974999999999996</v>
      </c>
      <c r="AU795" s="1">
        <v>45091</v>
      </c>
      <c r="AV795" s="2">
        <v>5.22</v>
      </c>
      <c r="AW795" s="1">
        <v>45091</v>
      </c>
      <c r="AX795" s="2">
        <v>4.9625000000000004</v>
      </c>
      <c r="AY795" s="1">
        <v>45091</v>
      </c>
      <c r="AZ795" s="2">
        <v>4.7525000000000004</v>
      </c>
      <c r="BB795" s="1">
        <v>45028</v>
      </c>
      <c r="BC795" s="1">
        <v>7</v>
      </c>
      <c r="BD795" s="3">
        <v>45044</v>
      </c>
      <c r="BE795" s="1">
        <v>7.18</v>
      </c>
      <c r="BF795" s="1">
        <v>45091</v>
      </c>
      <c r="BG795" s="1">
        <v>7.13</v>
      </c>
      <c r="BH795" s="3">
        <v>45091</v>
      </c>
      <c r="BI795" s="1">
        <v>7.1</v>
      </c>
      <c r="BJ795" s="1">
        <v>45091</v>
      </c>
      <c r="BK795" s="1">
        <v>7.02</v>
      </c>
      <c r="BL795" s="1">
        <v>45091</v>
      </c>
      <c r="BM795" s="1">
        <v>6.47</v>
      </c>
      <c r="BN795" s="1">
        <v>45091</v>
      </c>
      <c r="BO795" s="1">
        <v>5.5</v>
      </c>
      <c r="BP795" s="1">
        <v>45091</v>
      </c>
      <c r="BQ795" s="1">
        <v>4.9550000000000001</v>
      </c>
      <c r="BR795" s="1">
        <v>45091</v>
      </c>
      <c r="BS795" s="1">
        <v>4.4800000000000004</v>
      </c>
      <c r="BT795" s="1">
        <v>45091</v>
      </c>
      <c r="BU795" s="1">
        <v>4.1500000000000004</v>
      </c>
      <c r="BV795" s="1">
        <v>45091</v>
      </c>
      <c r="BW795" s="1">
        <v>3.88</v>
      </c>
      <c r="BY795" s="1">
        <v>45043</v>
      </c>
      <c r="BZ795" s="1">
        <v>13</v>
      </c>
      <c r="CA795" s="3">
        <v>45037</v>
      </c>
      <c r="CB795" s="1">
        <v>16.25</v>
      </c>
      <c r="CC795" s="1">
        <v>45091</v>
      </c>
      <c r="CD795" s="1">
        <v>14.86</v>
      </c>
      <c r="CE795" s="3">
        <v>45091</v>
      </c>
      <c r="CF795" s="1">
        <v>14.19</v>
      </c>
      <c r="CG795" s="1">
        <v>45091</v>
      </c>
      <c r="CH795" s="1">
        <v>13.42</v>
      </c>
      <c r="CI795" s="1">
        <v>45091</v>
      </c>
      <c r="CJ795" s="1">
        <v>11.62</v>
      </c>
      <c r="CK795" s="1">
        <v>45091</v>
      </c>
      <c r="CL795" s="1">
        <v>10.25</v>
      </c>
      <c r="CM795" s="1">
        <v>45091</v>
      </c>
      <c r="CN795" s="1">
        <v>8.76</v>
      </c>
      <c r="CO795" s="1">
        <v>45083</v>
      </c>
      <c r="CP795" s="1">
        <v>8.66</v>
      </c>
      <c r="CQ795" s="1">
        <v>45083</v>
      </c>
      <c r="CR795" s="1">
        <v>7.86</v>
      </c>
      <c r="CS795" s="1">
        <v>45083</v>
      </c>
      <c r="CT795" s="1">
        <v>7.15</v>
      </c>
    </row>
    <row r="796" spans="31:98" x14ac:dyDescent="0.2">
      <c r="AE796" s="1">
        <v>45082</v>
      </c>
      <c r="AF796" s="1">
        <v>6.75</v>
      </c>
      <c r="AG796" s="3">
        <v>45043</v>
      </c>
      <c r="AH796" s="1">
        <v>6.9</v>
      </c>
      <c r="AI796" s="1">
        <v>45090</v>
      </c>
      <c r="AJ796" s="2">
        <v>6.8208000000000002</v>
      </c>
      <c r="AK796" s="3">
        <v>45090</v>
      </c>
      <c r="AL796" s="2">
        <v>6.7649999999999997</v>
      </c>
      <c r="AM796" s="1">
        <v>45090</v>
      </c>
      <c r="AN796" s="2">
        <v>6.6</v>
      </c>
      <c r="AO796" s="1">
        <v>45090</v>
      </c>
      <c r="AP796" s="2">
        <v>6.13</v>
      </c>
      <c r="AQ796" s="1">
        <v>45090</v>
      </c>
      <c r="AR796" s="2">
        <v>5.7275</v>
      </c>
      <c r="AS796" s="1">
        <v>45090</v>
      </c>
      <c r="AT796" s="2">
        <v>5.4275000000000002</v>
      </c>
      <c r="AU796" s="1">
        <v>45090</v>
      </c>
      <c r="AV796" s="2">
        <v>5.1550000000000002</v>
      </c>
      <c r="AW796" s="1">
        <v>45090</v>
      </c>
      <c r="AX796" s="2">
        <v>4.875</v>
      </c>
      <c r="AY796" s="1">
        <v>45090</v>
      </c>
      <c r="AZ796" s="2">
        <v>4.7125000000000004</v>
      </c>
      <c r="BB796" s="1">
        <v>45027</v>
      </c>
      <c r="BC796" s="1">
        <v>7</v>
      </c>
      <c r="BD796" s="3">
        <v>45043</v>
      </c>
      <c r="BE796" s="1">
        <v>7.18</v>
      </c>
      <c r="BF796" s="1">
        <v>45090</v>
      </c>
      <c r="BG796" s="1">
        <v>7.1349999999999998</v>
      </c>
      <c r="BH796" s="3">
        <v>45090</v>
      </c>
      <c r="BI796" s="1">
        <v>7.1</v>
      </c>
      <c r="BJ796" s="1">
        <v>45090</v>
      </c>
      <c r="BK796" s="1">
        <v>7.03</v>
      </c>
      <c r="BL796" s="1">
        <v>45090</v>
      </c>
      <c r="BM796" s="1">
        <v>6.4180000000000001</v>
      </c>
      <c r="BN796" s="1">
        <v>45090</v>
      </c>
      <c r="BO796" s="1">
        <v>5.5129999999999999</v>
      </c>
      <c r="BP796" s="1">
        <v>45090</v>
      </c>
      <c r="BQ796" s="1">
        <v>4.92</v>
      </c>
      <c r="BR796" s="1">
        <v>45090</v>
      </c>
      <c r="BS796" s="1">
        <v>4.4379999999999997</v>
      </c>
      <c r="BT796" s="1">
        <v>45090</v>
      </c>
      <c r="BU796" s="1">
        <v>4.0999999999999996</v>
      </c>
      <c r="BV796" s="1">
        <v>45090</v>
      </c>
      <c r="BW796" s="1">
        <v>3.83</v>
      </c>
      <c r="BY796" s="1">
        <v>45042</v>
      </c>
      <c r="BZ796" s="1">
        <v>13</v>
      </c>
      <c r="CA796" s="3">
        <v>45036</v>
      </c>
      <c r="CB796" s="1">
        <v>16.27</v>
      </c>
      <c r="CC796" s="1">
        <v>45090</v>
      </c>
      <c r="CD796" s="1">
        <v>14.84</v>
      </c>
      <c r="CE796" s="3">
        <v>45090</v>
      </c>
      <c r="CF796" s="1">
        <v>14.17</v>
      </c>
      <c r="CG796" s="1">
        <v>45090</v>
      </c>
      <c r="CH796" s="1">
        <v>13.4</v>
      </c>
      <c r="CI796" s="1">
        <v>45090</v>
      </c>
      <c r="CJ796" s="1">
        <v>11.6</v>
      </c>
      <c r="CK796" s="1">
        <v>45090</v>
      </c>
      <c r="CL796" s="1">
        <v>10.24</v>
      </c>
      <c r="CM796" s="1">
        <v>45090</v>
      </c>
      <c r="CN796" s="1">
        <v>8.77</v>
      </c>
      <c r="CO796" s="1">
        <v>45082</v>
      </c>
      <c r="CP796" s="1">
        <v>8.67</v>
      </c>
      <c r="CQ796" s="1">
        <v>45082</v>
      </c>
      <c r="CR796" s="1">
        <v>7.88</v>
      </c>
      <c r="CS796" s="1">
        <v>45082</v>
      </c>
      <c r="CT796" s="1">
        <v>7.18</v>
      </c>
    </row>
    <row r="797" spans="31:98" x14ac:dyDescent="0.2">
      <c r="AE797" s="1">
        <v>45079</v>
      </c>
      <c r="AF797" s="1">
        <v>6.75</v>
      </c>
      <c r="AG797" s="3">
        <v>45042</v>
      </c>
      <c r="AH797" s="1">
        <v>6.9</v>
      </c>
      <c r="AI797" s="1">
        <v>45089</v>
      </c>
      <c r="AJ797" s="2">
        <v>6.8220000000000001</v>
      </c>
      <c r="AK797" s="3">
        <v>45089</v>
      </c>
      <c r="AL797" s="2">
        <v>6.7575000000000003</v>
      </c>
      <c r="AM797" s="1">
        <v>45089</v>
      </c>
      <c r="AN797" s="2">
        <v>6.5925000000000002</v>
      </c>
      <c r="AO797" s="1">
        <v>45089</v>
      </c>
      <c r="AP797" s="2">
        <v>6.0724999999999998</v>
      </c>
      <c r="AQ797" s="1">
        <v>45089</v>
      </c>
      <c r="AR797" s="2">
        <v>5.6875</v>
      </c>
      <c r="AS797" s="1">
        <v>45089</v>
      </c>
      <c r="AT797" s="2">
        <v>5.3849999999999998</v>
      </c>
      <c r="AU797" s="1">
        <v>45089</v>
      </c>
      <c r="AV797" s="2">
        <v>5.1074999999999999</v>
      </c>
      <c r="AW797" s="1">
        <v>45089</v>
      </c>
      <c r="AX797" s="2">
        <v>4.84</v>
      </c>
      <c r="AY797" s="1">
        <v>45089</v>
      </c>
      <c r="AZ797" s="2">
        <v>4.6875</v>
      </c>
      <c r="BB797" s="1">
        <v>45022</v>
      </c>
      <c r="BC797" s="1">
        <v>7</v>
      </c>
      <c r="BD797" s="3">
        <v>45042</v>
      </c>
      <c r="BE797" s="1">
        <v>7.18</v>
      </c>
      <c r="BF797" s="1">
        <v>45089</v>
      </c>
      <c r="BG797" s="1">
        <v>7.1349999999999998</v>
      </c>
      <c r="BH797" s="3">
        <v>45089</v>
      </c>
      <c r="BI797" s="1">
        <v>7.09</v>
      </c>
      <c r="BJ797" s="1">
        <v>45089</v>
      </c>
      <c r="BK797" s="1">
        <v>7.05</v>
      </c>
      <c r="BL797" s="1">
        <v>45089</v>
      </c>
      <c r="BM797" s="1">
        <v>6.43</v>
      </c>
      <c r="BN797" s="1">
        <v>45089</v>
      </c>
      <c r="BO797" s="1">
        <v>5.55</v>
      </c>
      <c r="BP797" s="1">
        <v>45089</v>
      </c>
      <c r="BQ797" s="1">
        <v>4.96</v>
      </c>
      <c r="BR797" s="1">
        <v>45089</v>
      </c>
      <c r="BS797" s="1">
        <v>4.4749999999999996</v>
      </c>
      <c r="BT797" s="1">
        <v>45089</v>
      </c>
      <c r="BU797" s="1">
        <v>4.1280000000000001</v>
      </c>
      <c r="BV797" s="1">
        <v>45089</v>
      </c>
      <c r="BW797" s="1">
        <v>3.8780000000000001</v>
      </c>
      <c r="BY797" s="1">
        <v>45041</v>
      </c>
      <c r="BZ797" s="1">
        <v>13</v>
      </c>
      <c r="CA797" s="3">
        <v>45035</v>
      </c>
      <c r="CB797" s="1">
        <v>16.29</v>
      </c>
      <c r="CC797" s="1">
        <v>45089</v>
      </c>
      <c r="CD797" s="1">
        <v>14.9</v>
      </c>
      <c r="CE797" s="3">
        <v>45089</v>
      </c>
      <c r="CF797" s="1">
        <v>14.24</v>
      </c>
      <c r="CG797" s="1">
        <v>45089</v>
      </c>
      <c r="CH797" s="1">
        <v>13.47</v>
      </c>
      <c r="CI797" s="1">
        <v>45089</v>
      </c>
      <c r="CJ797" s="1">
        <v>11.67</v>
      </c>
      <c r="CK797" s="1">
        <v>45089</v>
      </c>
      <c r="CL797" s="1">
        <v>10.34</v>
      </c>
      <c r="CM797" s="1">
        <v>45089</v>
      </c>
      <c r="CN797" s="1">
        <v>8.84</v>
      </c>
      <c r="CO797" s="1">
        <v>45079</v>
      </c>
      <c r="CP797" s="1">
        <v>8.67</v>
      </c>
      <c r="CQ797" s="1">
        <v>45079</v>
      </c>
      <c r="CR797" s="1">
        <v>7.88</v>
      </c>
      <c r="CS797" s="1">
        <v>45079</v>
      </c>
      <c r="CT797" s="1">
        <v>7.18</v>
      </c>
    </row>
    <row r="798" spans="31:98" x14ac:dyDescent="0.2">
      <c r="AE798" s="1">
        <v>45078</v>
      </c>
      <c r="AF798" s="1">
        <v>6.75</v>
      </c>
      <c r="AG798" s="3">
        <v>45041</v>
      </c>
      <c r="AH798" s="1">
        <v>6.9</v>
      </c>
      <c r="AI798" s="1">
        <v>45086</v>
      </c>
      <c r="AJ798" s="2">
        <v>6.8247999999999998</v>
      </c>
      <c r="AK798" s="3">
        <v>45086</v>
      </c>
      <c r="AL798" s="2">
        <v>6.7525000000000004</v>
      </c>
      <c r="AM798" s="1">
        <v>45086</v>
      </c>
      <c r="AN798" s="2">
        <v>6.5824999999999996</v>
      </c>
      <c r="AO798" s="1">
        <v>45086</v>
      </c>
      <c r="AP798" s="2">
        <v>6.0824999999999996</v>
      </c>
      <c r="AQ798" s="1">
        <v>45086</v>
      </c>
      <c r="AR798" s="2">
        <v>5.68</v>
      </c>
      <c r="AS798" s="1">
        <v>45086</v>
      </c>
      <c r="AT798" s="2">
        <v>5.4124999999999996</v>
      </c>
      <c r="AU798" s="1">
        <v>45086</v>
      </c>
      <c r="AV798" s="2">
        <v>5.1100000000000003</v>
      </c>
      <c r="AW798" s="1">
        <v>45086</v>
      </c>
      <c r="AX798" s="2">
        <v>4.8674999999999997</v>
      </c>
      <c r="AY798" s="1">
        <v>45086</v>
      </c>
      <c r="AZ798" s="2">
        <v>4.6950000000000003</v>
      </c>
      <c r="BB798" s="1">
        <v>45021</v>
      </c>
      <c r="BC798" s="1">
        <v>7</v>
      </c>
      <c r="BD798" s="3">
        <v>45041</v>
      </c>
      <c r="BE798" s="1">
        <v>7.18</v>
      </c>
      <c r="BF798" s="1">
        <v>45086</v>
      </c>
      <c r="BG798" s="1">
        <v>7.1349999999999998</v>
      </c>
      <c r="BH798" s="3">
        <v>45086</v>
      </c>
      <c r="BI798" s="1">
        <v>7.06</v>
      </c>
      <c r="BJ798" s="1">
        <v>45086</v>
      </c>
      <c r="BK798" s="1">
        <v>7.0250000000000004</v>
      </c>
      <c r="BL798" s="1">
        <v>45086</v>
      </c>
      <c r="BM798" s="1">
        <v>6.4450000000000003</v>
      </c>
      <c r="BN798" s="1">
        <v>45086</v>
      </c>
      <c r="BO798" s="1">
        <v>5.5449999999999999</v>
      </c>
      <c r="BP798" s="1">
        <v>45086</v>
      </c>
      <c r="BQ798" s="1">
        <v>4.97</v>
      </c>
      <c r="BR798" s="1">
        <v>45086</v>
      </c>
      <c r="BS798" s="1">
        <v>4.4950000000000001</v>
      </c>
      <c r="BT798" s="1">
        <v>45086</v>
      </c>
      <c r="BU798" s="1">
        <v>4.1580000000000004</v>
      </c>
      <c r="BV798" s="1">
        <v>45086</v>
      </c>
      <c r="BW798" s="1">
        <v>3.91</v>
      </c>
      <c r="BY798" s="1">
        <v>45040</v>
      </c>
      <c r="BZ798" s="1">
        <v>13</v>
      </c>
      <c r="CA798" s="3">
        <v>45034</v>
      </c>
      <c r="CB798" s="1">
        <v>16.309999999999999</v>
      </c>
      <c r="CC798" s="1">
        <v>45086</v>
      </c>
      <c r="CD798" s="1">
        <v>14.95</v>
      </c>
      <c r="CE798" s="3">
        <v>45086</v>
      </c>
      <c r="CF798" s="1">
        <v>14.295</v>
      </c>
      <c r="CG798" s="1">
        <v>45086</v>
      </c>
      <c r="CH798" s="1">
        <v>13.51</v>
      </c>
      <c r="CI798" s="1">
        <v>45086</v>
      </c>
      <c r="CJ798" s="1">
        <v>11.71</v>
      </c>
      <c r="CK798" s="1">
        <v>45086</v>
      </c>
      <c r="CL798" s="1">
        <v>10.31</v>
      </c>
      <c r="CM798" s="1">
        <v>45086</v>
      </c>
      <c r="CN798" s="1">
        <v>9.1999999999999993</v>
      </c>
      <c r="CO798" s="1">
        <v>45078</v>
      </c>
      <c r="CP798" s="1">
        <v>8.82</v>
      </c>
      <c r="CQ798" s="1">
        <v>45078</v>
      </c>
      <c r="CR798" s="1">
        <v>8.0500000000000007</v>
      </c>
      <c r="CS798" s="1">
        <v>45078</v>
      </c>
      <c r="CT798" s="1">
        <v>7.35</v>
      </c>
    </row>
    <row r="799" spans="31:98" x14ac:dyDescent="0.2">
      <c r="AE799" s="1">
        <v>45077</v>
      </c>
      <c r="AF799" s="1">
        <v>6.75</v>
      </c>
      <c r="AG799" s="3">
        <v>45040</v>
      </c>
      <c r="AH799" s="1">
        <v>6.9</v>
      </c>
      <c r="AI799" s="1">
        <v>45085</v>
      </c>
      <c r="AJ799" s="2">
        <v>6.8224999999999998</v>
      </c>
      <c r="AK799" s="3">
        <v>45085</v>
      </c>
      <c r="AL799" s="2">
        <v>6.77</v>
      </c>
      <c r="AM799" s="1">
        <v>45085</v>
      </c>
      <c r="AN799" s="2">
        <v>6.64</v>
      </c>
      <c r="AO799" s="1">
        <v>45085</v>
      </c>
      <c r="AP799" s="2">
        <v>6.1725000000000003</v>
      </c>
      <c r="AQ799" s="1">
        <v>45085</v>
      </c>
      <c r="AR799" s="2">
        <v>5.7949999999999999</v>
      </c>
      <c r="AS799" s="1">
        <v>45085</v>
      </c>
      <c r="AT799" s="2">
        <v>5.5250000000000004</v>
      </c>
      <c r="AU799" s="1">
        <v>45085</v>
      </c>
      <c r="AV799" s="2">
        <v>5.2024999999999997</v>
      </c>
      <c r="AW799" s="1">
        <v>45085</v>
      </c>
      <c r="AX799" s="2">
        <v>4.95</v>
      </c>
      <c r="AY799" s="1">
        <v>45085</v>
      </c>
      <c r="AZ799" s="2">
        <v>4.76</v>
      </c>
      <c r="BB799" s="1">
        <v>45020</v>
      </c>
      <c r="BC799" s="1">
        <v>7</v>
      </c>
      <c r="BD799" s="3">
        <v>45040</v>
      </c>
      <c r="BE799" s="1">
        <v>7.18</v>
      </c>
      <c r="BF799" s="1">
        <v>45085</v>
      </c>
      <c r="BG799" s="1">
        <v>7.17</v>
      </c>
      <c r="BH799" s="3">
        <v>45085</v>
      </c>
      <c r="BI799" s="1">
        <v>7.1150000000000002</v>
      </c>
      <c r="BJ799" s="1">
        <v>45085</v>
      </c>
      <c r="BK799" s="1">
        <v>7.07</v>
      </c>
      <c r="BL799" s="1">
        <v>45085</v>
      </c>
      <c r="BM799" s="1">
        <v>6.56</v>
      </c>
      <c r="BN799" s="1">
        <v>45085</v>
      </c>
      <c r="BO799" s="1">
        <v>5.6749999999999998</v>
      </c>
      <c r="BP799" s="1">
        <v>45085</v>
      </c>
      <c r="BQ799" s="1">
        <v>5.0999999999999996</v>
      </c>
      <c r="BR799" s="1">
        <v>45085</v>
      </c>
      <c r="BS799" s="1">
        <v>4.6349999999999998</v>
      </c>
      <c r="BT799" s="1">
        <v>45085</v>
      </c>
      <c r="BU799" s="1">
        <v>4.3150000000000004</v>
      </c>
      <c r="BV799" s="1">
        <v>45085</v>
      </c>
      <c r="BW799" s="1">
        <v>4.09</v>
      </c>
      <c r="BY799" s="1">
        <v>45037</v>
      </c>
      <c r="BZ799" s="1">
        <v>13</v>
      </c>
      <c r="CA799" s="3">
        <v>45033</v>
      </c>
      <c r="CB799" s="1">
        <v>16.309999999999999</v>
      </c>
      <c r="CC799" s="1">
        <v>45085</v>
      </c>
      <c r="CD799" s="1">
        <v>14.96</v>
      </c>
      <c r="CE799" s="3">
        <v>45085</v>
      </c>
      <c r="CF799" s="1">
        <v>14.33</v>
      </c>
      <c r="CG799" s="1">
        <v>45085</v>
      </c>
      <c r="CH799" s="1">
        <v>13.62</v>
      </c>
      <c r="CI799" s="1">
        <v>45085</v>
      </c>
      <c r="CJ799" s="1">
        <v>11.94</v>
      </c>
      <c r="CK799" s="1">
        <v>45085</v>
      </c>
      <c r="CL799" s="1">
        <v>10.59</v>
      </c>
      <c r="CM799" s="1">
        <v>45085</v>
      </c>
      <c r="CN799" s="1">
        <v>9.4700000000000006</v>
      </c>
      <c r="CO799" s="1">
        <v>45077</v>
      </c>
      <c r="CP799" s="1">
        <v>8.73</v>
      </c>
      <c r="CQ799" s="1">
        <v>45077</v>
      </c>
      <c r="CR799" s="1">
        <v>7.96</v>
      </c>
      <c r="CS799" s="1">
        <v>45077</v>
      </c>
      <c r="CT799" s="1">
        <v>7.26</v>
      </c>
    </row>
    <row r="800" spans="31:98" x14ac:dyDescent="0.2">
      <c r="AE800" s="1">
        <v>45076</v>
      </c>
      <c r="AF800" s="1">
        <v>6.75</v>
      </c>
      <c r="AG800" s="3">
        <v>45037</v>
      </c>
      <c r="AH800" s="1">
        <v>6.9</v>
      </c>
      <c r="AI800" s="1">
        <v>45084</v>
      </c>
      <c r="AJ800" s="2">
        <v>6.8224999999999998</v>
      </c>
      <c r="AK800" s="3">
        <v>45084</v>
      </c>
      <c r="AL800" s="2">
        <v>6.77</v>
      </c>
      <c r="AM800" s="1">
        <v>45084</v>
      </c>
      <c r="AN800" s="2">
        <v>6.64</v>
      </c>
      <c r="AO800" s="1">
        <v>45084</v>
      </c>
      <c r="AP800" s="2">
        <v>6.1725000000000003</v>
      </c>
      <c r="AQ800" s="1">
        <v>45084</v>
      </c>
      <c r="AR800" s="2">
        <v>5.7949999999999999</v>
      </c>
      <c r="AS800" s="1">
        <v>45084</v>
      </c>
      <c r="AT800" s="2">
        <v>5.5250000000000004</v>
      </c>
      <c r="AU800" s="1">
        <v>45084</v>
      </c>
      <c r="AV800" s="2">
        <v>5.2024999999999997</v>
      </c>
      <c r="AW800" s="1">
        <v>45084</v>
      </c>
      <c r="AX800" s="2">
        <v>4.95</v>
      </c>
      <c r="AY800" s="1">
        <v>45084</v>
      </c>
      <c r="AZ800" s="2">
        <v>4.76</v>
      </c>
      <c r="BB800" s="1">
        <v>45019</v>
      </c>
      <c r="BC800" s="1">
        <v>7</v>
      </c>
      <c r="BD800" s="3">
        <v>45037</v>
      </c>
      <c r="BE800" s="1">
        <v>7.17</v>
      </c>
      <c r="BF800" s="1">
        <v>45084</v>
      </c>
      <c r="BG800" s="1">
        <v>7.173</v>
      </c>
      <c r="BH800" s="3">
        <v>45084</v>
      </c>
      <c r="BI800" s="1">
        <v>7.15</v>
      </c>
      <c r="BJ800" s="1">
        <v>45084</v>
      </c>
      <c r="BK800" s="1">
        <v>7.12</v>
      </c>
      <c r="BL800" s="1">
        <v>45084</v>
      </c>
      <c r="BM800" s="1">
        <v>6.63</v>
      </c>
      <c r="BN800" s="1">
        <v>45084</v>
      </c>
      <c r="BO800" s="1">
        <v>5.78</v>
      </c>
      <c r="BP800" s="1">
        <v>45084</v>
      </c>
      <c r="BQ800" s="1">
        <v>5.1950000000000003</v>
      </c>
      <c r="BR800" s="1">
        <v>45084</v>
      </c>
      <c r="BS800" s="1">
        <v>4.7430000000000003</v>
      </c>
      <c r="BT800" s="1">
        <v>45084</v>
      </c>
      <c r="BU800" s="1">
        <v>4.43</v>
      </c>
      <c r="BV800" s="1">
        <v>45084</v>
      </c>
      <c r="BW800" s="1">
        <v>4.2030000000000003</v>
      </c>
      <c r="BY800" s="1">
        <v>45036</v>
      </c>
      <c r="BZ800" s="1">
        <v>13</v>
      </c>
      <c r="CA800" s="3">
        <v>45030</v>
      </c>
      <c r="CB800" s="1">
        <v>16.309999999999999</v>
      </c>
      <c r="CC800" s="1">
        <v>45084</v>
      </c>
      <c r="CD800" s="1">
        <v>15</v>
      </c>
      <c r="CE800" s="3">
        <v>45084</v>
      </c>
      <c r="CF800" s="1">
        <v>14.395</v>
      </c>
      <c r="CG800" s="1">
        <v>45084</v>
      </c>
      <c r="CH800" s="1">
        <v>13.75</v>
      </c>
      <c r="CI800" s="1">
        <v>45084</v>
      </c>
      <c r="CJ800" s="1">
        <v>12.19</v>
      </c>
      <c r="CK800" s="1">
        <v>45084</v>
      </c>
      <c r="CL800" s="1">
        <v>10.9</v>
      </c>
      <c r="CM800" s="1">
        <v>45084</v>
      </c>
      <c r="CN800" s="1">
        <v>9.6</v>
      </c>
      <c r="CO800" s="1">
        <v>45076</v>
      </c>
      <c r="CP800" s="1">
        <v>8.9499999999999993</v>
      </c>
      <c r="CQ800" s="1">
        <v>45076</v>
      </c>
      <c r="CR800" s="1">
        <v>8.1999999999999993</v>
      </c>
      <c r="CS800" s="1">
        <v>45076</v>
      </c>
      <c r="CT800" s="1">
        <v>7.5</v>
      </c>
    </row>
    <row r="801" spans="31:98" x14ac:dyDescent="0.2">
      <c r="AE801" s="1">
        <v>45075</v>
      </c>
      <c r="AF801" s="1">
        <v>6.75</v>
      </c>
      <c r="AG801" s="3">
        <v>45036</v>
      </c>
      <c r="AH801" s="1">
        <v>6.9</v>
      </c>
      <c r="AI801" s="1">
        <v>45083</v>
      </c>
      <c r="AJ801" s="2">
        <v>6.8699000000000003</v>
      </c>
      <c r="AK801" s="3">
        <v>45083</v>
      </c>
      <c r="AL801" s="2">
        <v>6.79</v>
      </c>
      <c r="AM801" s="1">
        <v>45083</v>
      </c>
      <c r="AN801" s="2">
        <v>6.66</v>
      </c>
      <c r="AO801" s="1">
        <v>45083</v>
      </c>
      <c r="AP801" s="2">
        <v>6.21</v>
      </c>
      <c r="AQ801" s="1">
        <v>45083</v>
      </c>
      <c r="AR801" s="2">
        <v>5.8224999999999998</v>
      </c>
      <c r="AS801" s="1">
        <v>45083</v>
      </c>
      <c r="AT801" s="2">
        <v>5.4874999999999998</v>
      </c>
      <c r="AU801" s="1">
        <v>45083</v>
      </c>
      <c r="AV801" s="2">
        <v>5.1950000000000003</v>
      </c>
      <c r="AW801" s="1">
        <v>45083</v>
      </c>
      <c r="AX801" s="2">
        <v>4.9175000000000004</v>
      </c>
      <c r="AY801" s="1">
        <v>45083</v>
      </c>
      <c r="AZ801" s="2">
        <v>4.6875</v>
      </c>
      <c r="BB801" s="1">
        <v>45016</v>
      </c>
      <c r="BC801" s="1">
        <v>7</v>
      </c>
      <c r="BD801" s="3">
        <v>45036</v>
      </c>
      <c r="BE801" s="1">
        <v>7.17</v>
      </c>
      <c r="BF801" s="1">
        <v>45083</v>
      </c>
      <c r="BG801" s="1">
        <v>7.19</v>
      </c>
      <c r="BH801" s="3">
        <v>45083</v>
      </c>
      <c r="BI801" s="1">
        <v>7.1749999999999998</v>
      </c>
      <c r="BJ801" s="1">
        <v>45083</v>
      </c>
      <c r="BK801" s="1">
        <v>7.1449999999999996</v>
      </c>
      <c r="BL801" s="1">
        <v>45083</v>
      </c>
      <c r="BM801" s="1">
        <v>6.6050000000000004</v>
      </c>
      <c r="BN801" s="1">
        <v>45083</v>
      </c>
      <c r="BO801" s="1">
        <v>5.7850000000000001</v>
      </c>
      <c r="BP801" s="1">
        <v>45083</v>
      </c>
      <c r="BQ801" s="1">
        <v>5.1950000000000003</v>
      </c>
      <c r="BR801" s="1">
        <v>45083</v>
      </c>
      <c r="BS801" s="1">
        <v>4.72</v>
      </c>
      <c r="BT801" s="1">
        <v>45083</v>
      </c>
      <c r="BU801" s="1">
        <v>4.375</v>
      </c>
      <c r="BV801" s="1">
        <v>45083</v>
      </c>
      <c r="BW801" s="1">
        <v>4.08</v>
      </c>
      <c r="BY801" s="1">
        <v>45035</v>
      </c>
      <c r="BZ801" s="1">
        <v>13</v>
      </c>
      <c r="CA801" s="3">
        <v>45029</v>
      </c>
      <c r="CB801" s="1">
        <v>16.309999999999999</v>
      </c>
      <c r="CC801" s="1">
        <v>45083</v>
      </c>
      <c r="CD801" s="1">
        <v>14.99</v>
      </c>
      <c r="CE801" s="3">
        <v>45083</v>
      </c>
      <c r="CF801" s="1">
        <v>14.38</v>
      </c>
      <c r="CG801" s="1">
        <v>45083</v>
      </c>
      <c r="CH801" s="1">
        <v>13.77</v>
      </c>
      <c r="CI801" s="1">
        <v>45083</v>
      </c>
      <c r="CJ801" s="1">
        <v>12.18</v>
      </c>
      <c r="CK801" s="1">
        <v>45083</v>
      </c>
      <c r="CL801" s="1">
        <v>10.9</v>
      </c>
      <c r="CM801" s="1">
        <v>45083</v>
      </c>
      <c r="CN801" s="1">
        <v>9.64</v>
      </c>
      <c r="CO801" s="1">
        <v>45075</v>
      </c>
      <c r="CP801" s="1">
        <v>9.0399999999999991</v>
      </c>
      <c r="CQ801" s="1">
        <v>45075</v>
      </c>
      <c r="CR801" s="1">
        <v>8.27</v>
      </c>
      <c r="CS801" s="1">
        <v>45075</v>
      </c>
      <c r="CT801" s="1">
        <v>7.59</v>
      </c>
    </row>
    <row r="802" spans="31:98" x14ac:dyDescent="0.2">
      <c r="AE802" s="1">
        <v>45072</v>
      </c>
      <c r="AF802" s="1">
        <v>6.75</v>
      </c>
      <c r="AG802" s="3">
        <v>45035</v>
      </c>
      <c r="AH802" s="1">
        <v>6.9</v>
      </c>
      <c r="AI802" s="1">
        <v>45082</v>
      </c>
      <c r="AJ802" s="2">
        <v>6.8235000000000001</v>
      </c>
      <c r="AK802" s="3">
        <v>45082</v>
      </c>
      <c r="AL802" s="2">
        <v>6.7750000000000004</v>
      </c>
      <c r="AM802" s="1">
        <v>45082</v>
      </c>
      <c r="AN802" s="2">
        <v>6.6749999999999998</v>
      </c>
      <c r="AO802" s="1">
        <v>45082</v>
      </c>
      <c r="AP802" s="2">
        <v>6.21</v>
      </c>
      <c r="AQ802" s="1">
        <v>45082</v>
      </c>
      <c r="AR802" s="2">
        <v>5.7549999999999999</v>
      </c>
      <c r="AS802" s="1">
        <v>45082</v>
      </c>
      <c r="AT802" s="2">
        <v>5.4349999999999996</v>
      </c>
      <c r="AU802" s="1">
        <v>45082</v>
      </c>
      <c r="AV802" s="2">
        <v>5.1449999999999996</v>
      </c>
      <c r="AW802" s="1">
        <v>45082</v>
      </c>
      <c r="AX802" s="2">
        <v>4.8624999999999998</v>
      </c>
      <c r="AY802" s="1">
        <v>45082</v>
      </c>
      <c r="AZ802" s="2">
        <v>4.63</v>
      </c>
      <c r="BB802" s="1">
        <v>45015</v>
      </c>
      <c r="BC802" s="1">
        <v>7</v>
      </c>
      <c r="BD802" s="3">
        <v>45035</v>
      </c>
      <c r="BE802" s="1">
        <v>7.18</v>
      </c>
      <c r="BF802" s="1">
        <v>45082</v>
      </c>
      <c r="BG802" s="1">
        <v>7.2050000000000001</v>
      </c>
      <c r="BH802" s="3">
        <v>45082</v>
      </c>
      <c r="BI802" s="1">
        <v>7.19</v>
      </c>
      <c r="BJ802" s="1">
        <v>45082</v>
      </c>
      <c r="BK802" s="1">
        <v>7.1130000000000004</v>
      </c>
      <c r="BL802" s="1">
        <v>45082</v>
      </c>
      <c r="BM802" s="1">
        <v>6.6029999999999998</v>
      </c>
      <c r="BN802" s="1">
        <v>45082</v>
      </c>
      <c r="BO802" s="1">
        <v>5.8949999999999996</v>
      </c>
      <c r="BP802" s="1">
        <v>45082</v>
      </c>
      <c r="BQ802" s="1">
        <v>5.2050000000000001</v>
      </c>
      <c r="BR802" s="1">
        <v>45082</v>
      </c>
      <c r="BS802" s="1">
        <v>4.71</v>
      </c>
      <c r="BT802" s="1">
        <v>45082</v>
      </c>
      <c r="BU802" s="1">
        <v>4.3479999999999999</v>
      </c>
      <c r="BV802" s="1">
        <v>45082</v>
      </c>
      <c r="BW802" s="1">
        <v>4.07</v>
      </c>
      <c r="BY802" s="1">
        <v>45034</v>
      </c>
      <c r="BZ802" s="1">
        <v>13</v>
      </c>
      <c r="CA802" s="3">
        <v>45028</v>
      </c>
      <c r="CB802" s="1">
        <v>16.3</v>
      </c>
      <c r="CC802" s="1">
        <v>45082</v>
      </c>
      <c r="CD802" s="1">
        <v>14.95</v>
      </c>
      <c r="CE802" s="3">
        <v>45082</v>
      </c>
      <c r="CF802" s="1">
        <v>14.395</v>
      </c>
      <c r="CG802" s="1">
        <v>45082</v>
      </c>
      <c r="CH802" s="1">
        <v>13.8</v>
      </c>
      <c r="CI802" s="1">
        <v>45082</v>
      </c>
      <c r="CJ802" s="1">
        <v>12.21</v>
      </c>
      <c r="CK802" s="1">
        <v>45082</v>
      </c>
      <c r="CL802" s="1">
        <v>10.91</v>
      </c>
      <c r="CM802" s="1">
        <v>45082</v>
      </c>
      <c r="CN802" s="1">
        <v>9.6199999999999992</v>
      </c>
      <c r="CO802" s="1">
        <v>45072</v>
      </c>
      <c r="CP802" s="1">
        <v>9.0399999999999991</v>
      </c>
      <c r="CQ802" s="1">
        <v>45072</v>
      </c>
      <c r="CR802" s="1">
        <v>8.27</v>
      </c>
      <c r="CS802" s="1">
        <v>45072</v>
      </c>
      <c r="CT802" s="1">
        <v>7.59</v>
      </c>
    </row>
    <row r="803" spans="31:98" x14ac:dyDescent="0.2">
      <c r="AE803" s="1">
        <v>45071</v>
      </c>
      <c r="AF803" s="1">
        <v>6.75</v>
      </c>
      <c r="AG803" s="3">
        <v>45034</v>
      </c>
      <c r="AH803" s="1">
        <v>6.9</v>
      </c>
      <c r="AI803" s="1">
        <v>45079</v>
      </c>
      <c r="AJ803" s="2">
        <v>6.8654999999999999</v>
      </c>
      <c r="AK803" s="3">
        <v>45079</v>
      </c>
      <c r="AL803" s="2">
        <v>6.8174999999999999</v>
      </c>
      <c r="AM803" s="1">
        <v>45079</v>
      </c>
      <c r="AN803" s="2">
        <v>6.7549999999999999</v>
      </c>
      <c r="AO803" s="1">
        <v>45079</v>
      </c>
      <c r="AP803" s="2">
        <v>6.3125</v>
      </c>
      <c r="AQ803" s="1">
        <v>45079</v>
      </c>
      <c r="AR803" s="2">
        <v>5.9074999999999998</v>
      </c>
      <c r="AS803" s="1">
        <v>45079</v>
      </c>
      <c r="AT803" s="2">
        <v>5.57</v>
      </c>
      <c r="AU803" s="1">
        <v>45079</v>
      </c>
      <c r="AV803" s="2">
        <v>5.2549999999999999</v>
      </c>
      <c r="AW803" s="1">
        <v>45079</v>
      </c>
      <c r="AX803" s="2">
        <v>4.9924999999999997</v>
      </c>
      <c r="AY803" s="1">
        <v>45079</v>
      </c>
      <c r="AZ803" s="2">
        <v>4.7575000000000003</v>
      </c>
      <c r="BB803" s="1">
        <v>45014</v>
      </c>
      <c r="BC803" s="1">
        <v>7</v>
      </c>
      <c r="BD803" s="3">
        <v>45034</v>
      </c>
      <c r="BE803" s="1">
        <v>7.18</v>
      </c>
      <c r="BF803" s="1">
        <v>45079</v>
      </c>
      <c r="BG803" s="1">
        <v>7.2050000000000001</v>
      </c>
      <c r="BH803" s="3">
        <v>45079</v>
      </c>
      <c r="BI803" s="1">
        <v>7.2050000000000001</v>
      </c>
      <c r="BJ803" s="1">
        <v>45079</v>
      </c>
      <c r="BK803" s="1">
        <v>7.165</v>
      </c>
      <c r="BL803" s="1">
        <v>45079</v>
      </c>
      <c r="BM803" s="1">
        <v>6.7</v>
      </c>
      <c r="BN803" s="1">
        <v>45079</v>
      </c>
      <c r="BO803" s="1">
        <v>5.9249999999999998</v>
      </c>
      <c r="BP803" s="1">
        <v>45079</v>
      </c>
      <c r="BQ803" s="1">
        <v>5.2530000000000001</v>
      </c>
      <c r="BR803" s="1">
        <v>45079</v>
      </c>
      <c r="BS803" s="1">
        <v>4.79</v>
      </c>
      <c r="BT803" s="1">
        <v>45079</v>
      </c>
      <c r="BU803" s="1">
        <v>4.3499999999999996</v>
      </c>
      <c r="BV803" s="1">
        <v>45079</v>
      </c>
      <c r="BW803" s="1">
        <v>4.0250000000000004</v>
      </c>
      <c r="BY803" s="1">
        <v>45033</v>
      </c>
      <c r="BZ803" s="1">
        <v>13</v>
      </c>
      <c r="CA803" s="3">
        <v>45027</v>
      </c>
      <c r="CB803" s="1">
        <v>16.3</v>
      </c>
      <c r="CC803" s="1">
        <v>45079</v>
      </c>
      <c r="CD803" s="1">
        <v>14.97</v>
      </c>
      <c r="CE803" s="3">
        <v>45079</v>
      </c>
      <c r="CF803" s="1">
        <v>14.39</v>
      </c>
      <c r="CG803" s="1">
        <v>45079</v>
      </c>
      <c r="CH803" s="1">
        <v>13.78</v>
      </c>
      <c r="CI803" s="1">
        <v>45079</v>
      </c>
      <c r="CJ803" s="1">
        <v>12.18</v>
      </c>
      <c r="CK803" s="1">
        <v>45079</v>
      </c>
      <c r="CL803" s="1">
        <v>10.88</v>
      </c>
      <c r="CM803" s="1">
        <v>45079</v>
      </c>
      <c r="CN803" s="1">
        <v>9.6199999999999992</v>
      </c>
      <c r="CO803" s="1">
        <v>45071</v>
      </c>
      <c r="CP803" s="1">
        <v>9.0399999999999991</v>
      </c>
      <c r="CQ803" s="1">
        <v>45071</v>
      </c>
      <c r="CR803" s="1">
        <v>8.27</v>
      </c>
      <c r="CS803" s="1">
        <v>45071</v>
      </c>
      <c r="CT803" s="1">
        <v>7.59</v>
      </c>
    </row>
    <row r="804" spans="31:98" x14ac:dyDescent="0.2">
      <c r="AE804" s="1">
        <v>45070</v>
      </c>
      <c r="AF804" s="1">
        <v>6.75</v>
      </c>
      <c r="AG804" s="3">
        <v>45033</v>
      </c>
      <c r="AH804" s="1">
        <v>6.9</v>
      </c>
      <c r="AI804" s="1">
        <v>45078</v>
      </c>
      <c r="AJ804" s="2">
        <v>6.8922999999999996</v>
      </c>
      <c r="AK804" s="3">
        <v>45078</v>
      </c>
      <c r="AL804" s="2">
        <v>6.82</v>
      </c>
      <c r="AM804" s="1">
        <v>45078</v>
      </c>
      <c r="AN804" s="2">
        <v>6.7450000000000001</v>
      </c>
      <c r="AO804" s="1">
        <v>45078</v>
      </c>
      <c r="AP804" s="2">
        <v>6.2850000000000001</v>
      </c>
      <c r="AQ804" s="1">
        <v>45078</v>
      </c>
      <c r="AR804" s="2">
        <v>5.8375000000000004</v>
      </c>
      <c r="AS804" s="1">
        <v>45078</v>
      </c>
      <c r="AT804" s="2">
        <v>5.5149999999999997</v>
      </c>
      <c r="AU804" s="1">
        <v>45078</v>
      </c>
      <c r="AV804" s="2">
        <v>5.1974999999999998</v>
      </c>
      <c r="AW804" s="1">
        <v>45078</v>
      </c>
      <c r="AX804" s="2">
        <v>4.9349999999999996</v>
      </c>
      <c r="AY804" s="1">
        <v>45078</v>
      </c>
      <c r="AZ804" s="2">
        <v>4.6974999999999998</v>
      </c>
      <c r="BB804" s="1">
        <v>45013</v>
      </c>
      <c r="BC804" s="1">
        <v>7</v>
      </c>
      <c r="BD804" s="3">
        <v>45033</v>
      </c>
      <c r="BE804" s="1">
        <v>7.18</v>
      </c>
      <c r="BF804" s="1">
        <v>45078</v>
      </c>
      <c r="BG804" s="1">
        <v>7.23</v>
      </c>
      <c r="BH804" s="3">
        <v>45078</v>
      </c>
      <c r="BI804" s="1">
        <v>7.1950000000000003</v>
      </c>
      <c r="BJ804" s="1">
        <v>45078</v>
      </c>
      <c r="BK804" s="1">
        <v>7.16</v>
      </c>
      <c r="BL804" s="1">
        <v>45078</v>
      </c>
      <c r="BM804" s="1">
        <v>6.7</v>
      </c>
      <c r="BN804" s="1">
        <v>45078</v>
      </c>
      <c r="BO804" s="1">
        <v>5.91</v>
      </c>
      <c r="BP804" s="1">
        <v>45078</v>
      </c>
      <c r="BQ804" s="1">
        <v>5.2249999999999996</v>
      </c>
      <c r="BR804" s="1">
        <v>45078</v>
      </c>
      <c r="BS804" s="1">
        <v>4.76</v>
      </c>
      <c r="BT804" s="1">
        <v>45078</v>
      </c>
      <c r="BU804" s="1">
        <v>4.3150000000000004</v>
      </c>
      <c r="BV804" s="1">
        <v>45078</v>
      </c>
      <c r="BW804" s="1">
        <v>3.9849999999999999</v>
      </c>
      <c r="BY804" s="1">
        <v>45030</v>
      </c>
      <c r="BZ804" s="1">
        <v>13</v>
      </c>
      <c r="CA804" s="3">
        <v>45022</v>
      </c>
      <c r="CB804" s="1">
        <v>16.3</v>
      </c>
      <c r="CC804" s="1">
        <v>45078</v>
      </c>
      <c r="CD804" s="1">
        <v>14.9</v>
      </c>
      <c r="CE804" s="3">
        <v>45078</v>
      </c>
      <c r="CF804" s="1">
        <v>14.29</v>
      </c>
      <c r="CG804" s="1">
        <v>45078</v>
      </c>
      <c r="CH804" s="1">
        <v>13.7</v>
      </c>
      <c r="CI804" s="1">
        <v>45078</v>
      </c>
      <c r="CJ804" s="1">
        <v>12.1</v>
      </c>
      <c r="CK804" s="1">
        <v>45078</v>
      </c>
      <c r="CL804" s="1">
        <v>10.83</v>
      </c>
      <c r="CM804" s="1">
        <v>45078</v>
      </c>
      <c r="CN804" s="1">
        <v>9.74</v>
      </c>
      <c r="CO804" s="1">
        <v>45070</v>
      </c>
      <c r="CP804" s="1">
        <v>8.98</v>
      </c>
      <c r="CQ804" s="1">
        <v>45070</v>
      </c>
      <c r="CR804" s="1">
        <v>8.2100000000000009</v>
      </c>
      <c r="CS804" s="1">
        <v>45070</v>
      </c>
      <c r="CT804" s="1">
        <v>7.53</v>
      </c>
    </row>
    <row r="805" spans="31:98" x14ac:dyDescent="0.2">
      <c r="AE805" s="1">
        <v>45069</v>
      </c>
      <c r="AF805" s="1">
        <v>6.75</v>
      </c>
      <c r="AG805" s="3">
        <v>45030</v>
      </c>
      <c r="AH805" s="1">
        <v>6.9</v>
      </c>
      <c r="AI805" s="1">
        <v>45077</v>
      </c>
      <c r="AJ805" s="2">
        <v>6.8650000000000002</v>
      </c>
      <c r="AK805" s="3">
        <v>45077</v>
      </c>
      <c r="AL805" s="2">
        <v>6.83</v>
      </c>
      <c r="AM805" s="1">
        <v>45077</v>
      </c>
      <c r="AN805" s="2">
        <v>6.76</v>
      </c>
      <c r="AO805" s="1">
        <v>45077</v>
      </c>
      <c r="AP805" s="2">
        <v>6.3550000000000004</v>
      </c>
      <c r="AQ805" s="1">
        <v>45077</v>
      </c>
      <c r="AR805" s="2">
        <v>5.96</v>
      </c>
      <c r="AS805" s="1">
        <v>45077</v>
      </c>
      <c r="AT805" s="2">
        <v>5.64</v>
      </c>
      <c r="AU805" s="1">
        <v>45077</v>
      </c>
      <c r="AV805" s="2">
        <v>5.35</v>
      </c>
      <c r="AW805" s="1">
        <v>45077</v>
      </c>
      <c r="AX805" s="2">
        <v>5.09</v>
      </c>
      <c r="AY805" s="1">
        <v>45077</v>
      </c>
      <c r="AZ805" s="2">
        <v>4.8499999999999996</v>
      </c>
      <c r="BB805" s="1">
        <v>45012</v>
      </c>
      <c r="BC805" s="1">
        <v>7</v>
      </c>
      <c r="BD805" s="3">
        <v>45030</v>
      </c>
      <c r="BE805" s="1">
        <v>7.18</v>
      </c>
      <c r="BF805" s="1">
        <v>45077</v>
      </c>
      <c r="BG805" s="1">
        <v>7.23</v>
      </c>
      <c r="BH805" s="3">
        <v>45077</v>
      </c>
      <c r="BI805" s="1">
        <v>7.1950000000000003</v>
      </c>
      <c r="BJ805" s="1">
        <v>45077</v>
      </c>
      <c r="BK805" s="1">
        <v>7.14</v>
      </c>
      <c r="BL805" s="1">
        <v>45077</v>
      </c>
      <c r="BM805" s="1">
        <v>6.7249999999999996</v>
      </c>
      <c r="BN805" s="1">
        <v>45077</v>
      </c>
      <c r="BO805" s="1">
        <v>5.9649999999999999</v>
      </c>
      <c r="BP805" s="1">
        <v>45077</v>
      </c>
      <c r="BQ805" s="1">
        <v>5.2850000000000001</v>
      </c>
      <c r="BR805" s="1">
        <v>45077</v>
      </c>
      <c r="BS805" s="1">
        <v>4.8280000000000003</v>
      </c>
      <c r="BT805" s="1">
        <v>45077</v>
      </c>
      <c r="BU805" s="1">
        <v>4.3979999999999997</v>
      </c>
      <c r="BV805" s="1">
        <v>45077</v>
      </c>
      <c r="BW805" s="1">
        <v>4.05</v>
      </c>
      <c r="BY805" s="1">
        <v>45029</v>
      </c>
      <c r="BZ805" s="1">
        <v>13</v>
      </c>
      <c r="CA805" s="3">
        <v>45021</v>
      </c>
      <c r="CB805" s="1">
        <v>16.3</v>
      </c>
      <c r="CC805" s="1">
        <v>45077</v>
      </c>
      <c r="CD805" s="1">
        <v>14.9</v>
      </c>
      <c r="CE805" s="3">
        <v>45077</v>
      </c>
      <c r="CF805" s="1">
        <v>14.3</v>
      </c>
      <c r="CG805" s="1">
        <v>45077</v>
      </c>
      <c r="CH805" s="1">
        <v>13.75</v>
      </c>
      <c r="CI805" s="1">
        <v>45077</v>
      </c>
      <c r="CJ805" s="1">
        <v>12.12</v>
      </c>
      <c r="CK805" s="1">
        <v>45077</v>
      </c>
      <c r="CL805" s="1">
        <v>10.85</v>
      </c>
      <c r="CM805" s="1">
        <v>45077</v>
      </c>
      <c r="CN805" s="1">
        <v>9.65</v>
      </c>
      <c r="CO805" s="1">
        <v>45069</v>
      </c>
      <c r="CP805" s="1">
        <v>8.8699999999999992</v>
      </c>
      <c r="CQ805" s="1">
        <v>45069</v>
      </c>
      <c r="CR805" s="1">
        <v>8.09</v>
      </c>
      <c r="CS805" s="1">
        <v>45069</v>
      </c>
      <c r="CT805" s="1">
        <v>7.4</v>
      </c>
    </row>
    <row r="806" spans="31:98" x14ac:dyDescent="0.2">
      <c r="AE806" s="1">
        <v>45068</v>
      </c>
      <c r="AF806" s="1">
        <v>6.75</v>
      </c>
      <c r="AG806" s="3">
        <v>45029</v>
      </c>
      <c r="AH806" s="1">
        <v>6.9</v>
      </c>
      <c r="AI806" s="1">
        <v>45076</v>
      </c>
      <c r="AJ806" s="2">
        <v>6.8680000000000003</v>
      </c>
      <c r="AK806" s="3">
        <v>45076</v>
      </c>
      <c r="AL806" s="2">
        <v>6.85</v>
      </c>
      <c r="AM806" s="1">
        <v>45076</v>
      </c>
      <c r="AN806" s="2">
        <v>6.8049999999999997</v>
      </c>
      <c r="AO806" s="1">
        <v>45076</v>
      </c>
      <c r="AP806" s="2">
        <v>6.4450000000000003</v>
      </c>
      <c r="AQ806" s="1">
        <v>45076</v>
      </c>
      <c r="AR806" s="2">
        <v>6.125</v>
      </c>
      <c r="AS806" s="1">
        <v>45076</v>
      </c>
      <c r="AT806" s="2">
        <v>5.82</v>
      </c>
      <c r="AU806" s="1">
        <v>45076</v>
      </c>
      <c r="AV806" s="2">
        <v>5.5475000000000003</v>
      </c>
      <c r="AW806" s="1">
        <v>45076</v>
      </c>
      <c r="AX806" s="2">
        <v>5.2874999999999996</v>
      </c>
      <c r="AY806" s="1">
        <v>45076</v>
      </c>
      <c r="AZ806" s="2">
        <v>5.04</v>
      </c>
      <c r="BB806" s="1">
        <v>45009</v>
      </c>
      <c r="BC806" s="1">
        <v>7</v>
      </c>
      <c r="BD806" s="3">
        <v>45029</v>
      </c>
      <c r="BE806" s="1">
        <v>7.18</v>
      </c>
      <c r="BF806" s="1">
        <v>45076</v>
      </c>
      <c r="BG806" s="1">
        <v>7.23</v>
      </c>
      <c r="BH806" s="3">
        <v>45076</v>
      </c>
      <c r="BI806" s="1">
        <v>7.2050000000000001</v>
      </c>
      <c r="BJ806" s="1">
        <v>45076</v>
      </c>
      <c r="BK806" s="1">
        <v>7.1779999999999999</v>
      </c>
      <c r="BL806" s="1">
        <v>45076</v>
      </c>
      <c r="BM806" s="1">
        <v>6.8</v>
      </c>
      <c r="BN806" s="1">
        <v>45076</v>
      </c>
      <c r="BO806" s="1">
        <v>6.0629999999999997</v>
      </c>
      <c r="BP806" s="1">
        <v>45076</v>
      </c>
      <c r="BQ806" s="1">
        <v>5.4</v>
      </c>
      <c r="BR806" s="1">
        <v>45076</v>
      </c>
      <c r="BS806" s="1">
        <v>4.9450000000000003</v>
      </c>
      <c r="BT806" s="1">
        <v>45076</v>
      </c>
      <c r="BU806" s="1">
        <v>4.5330000000000004</v>
      </c>
      <c r="BV806" s="1">
        <v>45076</v>
      </c>
      <c r="BW806" s="1">
        <v>4.2</v>
      </c>
      <c r="BY806" s="1">
        <v>45028</v>
      </c>
      <c r="BZ806" s="1">
        <v>13</v>
      </c>
      <c r="CA806" s="3">
        <v>45020</v>
      </c>
      <c r="CB806" s="1">
        <v>16.3</v>
      </c>
      <c r="CC806" s="1">
        <v>45076</v>
      </c>
      <c r="CD806" s="1">
        <v>14.8</v>
      </c>
      <c r="CE806" s="3">
        <v>45076</v>
      </c>
      <c r="CF806" s="1">
        <v>14.31</v>
      </c>
      <c r="CG806" s="1">
        <v>45076</v>
      </c>
      <c r="CH806" s="1">
        <v>13.8</v>
      </c>
      <c r="CI806" s="1">
        <v>45076</v>
      </c>
      <c r="CJ806" s="1">
        <v>12.15</v>
      </c>
      <c r="CK806" s="1">
        <v>45076</v>
      </c>
      <c r="CL806" s="1">
        <v>10.95</v>
      </c>
      <c r="CM806" s="1">
        <v>45076</v>
      </c>
      <c r="CN806" s="1">
        <v>9.85</v>
      </c>
      <c r="CO806" s="1">
        <v>45068</v>
      </c>
      <c r="CP806" s="1">
        <v>8.9499999999999993</v>
      </c>
      <c r="CQ806" s="1">
        <v>45068</v>
      </c>
      <c r="CR806" s="1">
        <v>8.08</v>
      </c>
      <c r="CS806" s="1">
        <v>45068</v>
      </c>
      <c r="CT806" s="1">
        <v>7.33</v>
      </c>
    </row>
    <row r="807" spans="31:98" x14ac:dyDescent="0.2">
      <c r="AE807" s="1">
        <v>45065</v>
      </c>
      <c r="AF807" s="1">
        <v>6.75</v>
      </c>
      <c r="AG807" s="3">
        <v>45028</v>
      </c>
      <c r="AH807" s="1">
        <v>6.9</v>
      </c>
      <c r="AI807" s="1">
        <v>45075</v>
      </c>
      <c r="AJ807" s="2">
        <v>6.87</v>
      </c>
      <c r="AK807" s="3">
        <v>45075</v>
      </c>
      <c r="AL807" s="2">
        <v>6.8525</v>
      </c>
      <c r="AM807" s="1">
        <v>45075</v>
      </c>
      <c r="AN807" s="2">
        <v>6.8425000000000002</v>
      </c>
      <c r="AO807" s="1">
        <v>45075</v>
      </c>
      <c r="AP807" s="2">
        <v>6.5350000000000001</v>
      </c>
      <c r="AQ807" s="1">
        <v>45075</v>
      </c>
      <c r="AR807" s="2">
        <v>6.2525000000000004</v>
      </c>
      <c r="AS807" s="1">
        <v>45075</v>
      </c>
      <c r="AT807" s="2">
        <v>5.9625000000000004</v>
      </c>
      <c r="AU807" s="1">
        <v>45075</v>
      </c>
      <c r="AV807" s="2">
        <v>5.6849999999999996</v>
      </c>
      <c r="AW807" s="1">
        <v>45075</v>
      </c>
      <c r="AX807" s="2">
        <v>5.4249999999999998</v>
      </c>
      <c r="AY807" s="1">
        <v>45075</v>
      </c>
      <c r="AZ807" s="2">
        <v>5.18</v>
      </c>
      <c r="BB807" s="1">
        <v>45008</v>
      </c>
      <c r="BC807" s="1">
        <v>7</v>
      </c>
      <c r="BD807" s="3">
        <v>45028</v>
      </c>
      <c r="BE807" s="1">
        <v>7.18</v>
      </c>
      <c r="BF807" s="1">
        <v>45075</v>
      </c>
      <c r="BG807" s="1">
        <v>7.22</v>
      </c>
      <c r="BH807" s="3">
        <v>45075</v>
      </c>
      <c r="BI807" s="1">
        <v>7.23</v>
      </c>
      <c r="BJ807" s="1">
        <v>45075</v>
      </c>
      <c r="BK807" s="1">
        <v>7.21</v>
      </c>
      <c r="BL807" s="1">
        <v>45075</v>
      </c>
      <c r="BM807" s="1">
        <v>6.86</v>
      </c>
      <c r="BN807" s="1">
        <v>45075</v>
      </c>
      <c r="BO807" s="1">
        <v>6.15</v>
      </c>
      <c r="BP807" s="1">
        <v>45075</v>
      </c>
      <c r="BQ807" s="1">
        <v>5.51</v>
      </c>
      <c r="BR807" s="1">
        <v>45075</v>
      </c>
      <c r="BS807" s="1">
        <v>5.0549999999999997</v>
      </c>
      <c r="BT807" s="1">
        <v>45075</v>
      </c>
      <c r="BU807" s="1">
        <v>4.6500000000000004</v>
      </c>
      <c r="BV807" s="1">
        <v>45075</v>
      </c>
      <c r="BW807" s="1">
        <v>4.32</v>
      </c>
      <c r="BY807" s="1">
        <v>45027</v>
      </c>
      <c r="BZ807" s="1">
        <v>13</v>
      </c>
      <c r="CA807" s="3">
        <v>45019</v>
      </c>
      <c r="CB807" s="1">
        <v>16.3</v>
      </c>
      <c r="CC807" s="1">
        <v>45075</v>
      </c>
      <c r="CD807" s="1">
        <v>14.922000000000001</v>
      </c>
      <c r="CE807" s="3">
        <v>45075</v>
      </c>
      <c r="CF807" s="1">
        <v>14.4788</v>
      </c>
      <c r="CG807" s="1">
        <v>45075</v>
      </c>
      <c r="CH807" s="1">
        <v>14.051500000000001</v>
      </c>
      <c r="CI807" s="1">
        <v>45075</v>
      </c>
      <c r="CJ807" s="1">
        <v>12.189</v>
      </c>
      <c r="CK807" s="1">
        <v>45075</v>
      </c>
      <c r="CL807" s="1">
        <v>11.032999999999999</v>
      </c>
      <c r="CM807" s="1">
        <v>45075</v>
      </c>
      <c r="CN807" s="1">
        <v>9.9600000000000009</v>
      </c>
      <c r="CO807" s="1">
        <v>45065</v>
      </c>
      <c r="CP807" s="1">
        <v>8.8800000000000008</v>
      </c>
      <c r="CQ807" s="1">
        <v>45065</v>
      </c>
      <c r="CR807" s="1">
        <v>8</v>
      </c>
      <c r="CS807" s="1">
        <v>45065</v>
      </c>
      <c r="CT807" s="1">
        <v>7.25</v>
      </c>
    </row>
    <row r="808" spans="31:98" x14ac:dyDescent="0.2">
      <c r="AE808" s="1">
        <v>45064</v>
      </c>
      <c r="AF808" s="1">
        <v>6.75</v>
      </c>
      <c r="AG808" s="3">
        <v>45027</v>
      </c>
      <c r="AH808" s="1">
        <v>6.9</v>
      </c>
      <c r="AI808" s="1">
        <v>45072</v>
      </c>
      <c r="AJ808" s="2">
        <v>6.8768000000000002</v>
      </c>
      <c r="AK808" s="3">
        <v>45072</v>
      </c>
      <c r="AL808" s="2">
        <v>6.8525</v>
      </c>
      <c r="AM808" s="1">
        <v>45072</v>
      </c>
      <c r="AN808" s="2">
        <v>6.8425000000000002</v>
      </c>
      <c r="AO808" s="1">
        <v>45072</v>
      </c>
      <c r="AP808" s="2">
        <v>6.5350000000000001</v>
      </c>
      <c r="AQ808" s="1">
        <v>45072</v>
      </c>
      <c r="AR808" s="2">
        <v>6.2525000000000004</v>
      </c>
      <c r="AS808" s="1">
        <v>45072</v>
      </c>
      <c r="AT808" s="2">
        <v>5.9625000000000004</v>
      </c>
      <c r="AU808" s="1">
        <v>45072</v>
      </c>
      <c r="AV808" s="2">
        <v>5.6849999999999996</v>
      </c>
      <c r="AW808" s="1">
        <v>45072</v>
      </c>
      <c r="AX808" s="2">
        <v>5.4249999999999998</v>
      </c>
      <c r="AY808" s="1">
        <v>45072</v>
      </c>
      <c r="AZ808" s="2">
        <v>5.18</v>
      </c>
      <c r="BB808" s="1">
        <v>45007</v>
      </c>
      <c r="BC808" s="1">
        <v>7</v>
      </c>
      <c r="BD808" s="3">
        <v>45027</v>
      </c>
      <c r="BE808" s="1">
        <v>7.18</v>
      </c>
      <c r="BF808" s="1">
        <v>45072</v>
      </c>
      <c r="BG808" s="1">
        <v>7.2350000000000003</v>
      </c>
      <c r="BH808" s="3">
        <v>45072</v>
      </c>
      <c r="BI808" s="1">
        <v>7.23</v>
      </c>
      <c r="BJ808" s="1">
        <v>45072</v>
      </c>
      <c r="BK808" s="1">
        <v>7.21</v>
      </c>
      <c r="BL808" s="1">
        <v>45072</v>
      </c>
      <c r="BM808" s="1">
        <v>6.86</v>
      </c>
      <c r="BN808" s="1">
        <v>45072</v>
      </c>
      <c r="BO808" s="1">
        <v>6.15</v>
      </c>
      <c r="BP808" s="1">
        <v>45072</v>
      </c>
      <c r="BQ808" s="1">
        <v>5.51</v>
      </c>
      <c r="BR808" s="1">
        <v>45072</v>
      </c>
      <c r="BS808" s="1">
        <v>5.0549999999999997</v>
      </c>
      <c r="BT808" s="1">
        <v>45072</v>
      </c>
      <c r="BU808" s="1">
        <v>4.6500000000000004</v>
      </c>
      <c r="BV808" s="1">
        <v>45072</v>
      </c>
      <c r="BW808" s="1">
        <v>4.32</v>
      </c>
      <c r="BY808" s="1">
        <v>45026</v>
      </c>
      <c r="BZ808" s="1">
        <v>13</v>
      </c>
      <c r="CA808" s="3">
        <v>45016</v>
      </c>
      <c r="CB808" s="1">
        <v>16.3</v>
      </c>
      <c r="CC808" s="1">
        <v>45072</v>
      </c>
      <c r="CD808" s="1">
        <v>14.9</v>
      </c>
      <c r="CE808" s="3">
        <v>45072</v>
      </c>
      <c r="CF808" s="1">
        <v>14.45</v>
      </c>
      <c r="CG808" s="1">
        <v>45072</v>
      </c>
      <c r="CH808" s="1">
        <v>14</v>
      </c>
      <c r="CI808" s="1">
        <v>45072</v>
      </c>
      <c r="CJ808" s="1">
        <v>12.15</v>
      </c>
      <c r="CK808" s="1">
        <v>45072</v>
      </c>
      <c r="CL808" s="1">
        <v>11</v>
      </c>
      <c r="CM808" s="1">
        <v>45072</v>
      </c>
      <c r="CN808" s="1">
        <v>9.9600000000000009</v>
      </c>
      <c r="CO808" s="1">
        <v>45064</v>
      </c>
      <c r="CP808" s="1">
        <v>8.75</v>
      </c>
      <c r="CQ808" s="1">
        <v>45064</v>
      </c>
      <c r="CR808" s="1">
        <v>7.87</v>
      </c>
      <c r="CS808" s="1">
        <v>45064</v>
      </c>
      <c r="CT808" s="1">
        <v>7.05</v>
      </c>
    </row>
    <row r="809" spans="31:98" x14ac:dyDescent="0.2">
      <c r="AE809" s="1">
        <v>45063</v>
      </c>
      <c r="AF809" s="1">
        <v>6.75</v>
      </c>
      <c r="AG809" s="3">
        <v>45023</v>
      </c>
      <c r="AH809" s="1">
        <v>6.9</v>
      </c>
      <c r="AI809" s="1">
        <v>45071</v>
      </c>
      <c r="AJ809" s="2">
        <v>6.8798000000000004</v>
      </c>
      <c r="AK809" s="3">
        <v>45071</v>
      </c>
      <c r="AL809" s="2">
        <v>6.8475000000000001</v>
      </c>
      <c r="AM809" s="1">
        <v>45071</v>
      </c>
      <c r="AN809" s="2">
        <v>6.8449999999999998</v>
      </c>
      <c r="AO809" s="1">
        <v>45071</v>
      </c>
      <c r="AP809" s="2">
        <v>6.54</v>
      </c>
      <c r="AQ809" s="1">
        <v>45071</v>
      </c>
      <c r="AR809" s="2">
        <v>6.2750000000000004</v>
      </c>
      <c r="AS809" s="1">
        <v>45071</v>
      </c>
      <c r="AT809" s="2">
        <v>5.9824999999999999</v>
      </c>
      <c r="AU809" s="1">
        <v>45071</v>
      </c>
      <c r="AV809" s="2">
        <v>5.66</v>
      </c>
      <c r="AW809" s="1">
        <v>45071</v>
      </c>
      <c r="AX809" s="2">
        <v>5.4</v>
      </c>
      <c r="AY809" s="1">
        <v>45071</v>
      </c>
      <c r="AZ809" s="2">
        <v>5.1550000000000002</v>
      </c>
      <c r="BB809" s="1">
        <v>45006</v>
      </c>
      <c r="BC809" s="1">
        <v>7</v>
      </c>
      <c r="BD809" s="3">
        <v>45022</v>
      </c>
      <c r="BE809" s="1">
        <v>7.18</v>
      </c>
      <c r="BF809" s="1">
        <v>45071</v>
      </c>
      <c r="BG809" s="1">
        <v>7.24</v>
      </c>
      <c r="BH809" s="3">
        <v>45071</v>
      </c>
      <c r="BI809" s="1">
        <v>7.2549999999999999</v>
      </c>
      <c r="BJ809" s="1">
        <v>45071</v>
      </c>
      <c r="BK809" s="1">
        <v>7.2149999999999999</v>
      </c>
      <c r="BL809" s="1">
        <v>45071</v>
      </c>
      <c r="BM809" s="1">
        <v>6.9</v>
      </c>
      <c r="BN809" s="1">
        <v>45071</v>
      </c>
      <c r="BO809" s="1">
        <v>6.19</v>
      </c>
      <c r="BP809" s="1">
        <v>45071</v>
      </c>
      <c r="BQ809" s="1">
        <v>5.5949999999999998</v>
      </c>
      <c r="BR809" s="1">
        <v>45071</v>
      </c>
      <c r="BS809" s="1">
        <v>5.14</v>
      </c>
      <c r="BT809" s="1">
        <v>45071</v>
      </c>
      <c r="BU809" s="1">
        <v>4.7350000000000003</v>
      </c>
      <c r="BV809" s="1">
        <v>45071</v>
      </c>
      <c r="BW809" s="1">
        <v>4.4000000000000004</v>
      </c>
      <c r="BY809" s="1">
        <v>45023</v>
      </c>
      <c r="BZ809" s="1">
        <v>13</v>
      </c>
      <c r="CA809" s="3">
        <v>45015</v>
      </c>
      <c r="CB809" s="1">
        <v>16.3</v>
      </c>
      <c r="CC809" s="1">
        <v>45071</v>
      </c>
      <c r="CD809" s="1">
        <v>14.9</v>
      </c>
      <c r="CE809" s="3">
        <v>45071</v>
      </c>
      <c r="CF809" s="1">
        <v>14.45</v>
      </c>
      <c r="CG809" s="1">
        <v>45071</v>
      </c>
      <c r="CH809" s="1">
        <v>14</v>
      </c>
      <c r="CI809" s="1">
        <v>45071</v>
      </c>
      <c r="CJ809" s="1">
        <v>12.15</v>
      </c>
      <c r="CK809" s="1">
        <v>45071</v>
      </c>
      <c r="CL809" s="1">
        <v>11</v>
      </c>
      <c r="CM809" s="1">
        <v>45071</v>
      </c>
      <c r="CN809" s="1">
        <v>9.9600000000000009</v>
      </c>
      <c r="CO809" s="1">
        <v>45063</v>
      </c>
      <c r="CP809" s="1">
        <v>8.6</v>
      </c>
      <c r="CQ809" s="1">
        <v>45063</v>
      </c>
      <c r="CR809" s="1">
        <v>7.72</v>
      </c>
      <c r="CS809" s="1">
        <v>45063</v>
      </c>
      <c r="CT809" s="1">
        <v>6.89</v>
      </c>
    </row>
    <row r="810" spans="31:98" x14ac:dyDescent="0.2">
      <c r="AE810" s="1">
        <v>45062</v>
      </c>
      <c r="AF810" s="1">
        <v>6.75</v>
      </c>
      <c r="AG810" s="3">
        <v>45022</v>
      </c>
      <c r="AH810" s="1">
        <v>6.9</v>
      </c>
      <c r="AI810" s="1">
        <v>45070</v>
      </c>
      <c r="AJ810" s="2">
        <v>6.8807999999999998</v>
      </c>
      <c r="AK810" s="3">
        <v>45070</v>
      </c>
      <c r="AL810" s="2">
        <v>6.8525</v>
      </c>
      <c r="AM810" s="1">
        <v>45070</v>
      </c>
      <c r="AN810" s="2">
        <v>6.8449999999999998</v>
      </c>
      <c r="AO810" s="1">
        <v>45070</v>
      </c>
      <c r="AP810" s="2">
        <v>6.5274999999999999</v>
      </c>
      <c r="AQ810" s="1">
        <v>45070</v>
      </c>
      <c r="AR810" s="2">
        <v>6.2474999999999996</v>
      </c>
      <c r="AS810" s="1">
        <v>45070</v>
      </c>
      <c r="AT810" s="2">
        <v>5.9524999999999997</v>
      </c>
      <c r="AU810" s="1">
        <v>45070</v>
      </c>
      <c r="AV810" s="2">
        <v>5.6275000000000004</v>
      </c>
      <c r="AW810" s="1">
        <v>45070</v>
      </c>
      <c r="AX810" s="2">
        <v>5.3624999999999998</v>
      </c>
      <c r="AY810" s="1">
        <v>45070</v>
      </c>
      <c r="AZ810" s="2">
        <v>5.1150000000000002</v>
      </c>
      <c r="BB810" s="1">
        <v>45005</v>
      </c>
      <c r="BC810" s="1">
        <v>7</v>
      </c>
      <c r="BD810" s="3">
        <v>45021</v>
      </c>
      <c r="BE810" s="1">
        <v>7.18</v>
      </c>
      <c r="BF810" s="1">
        <v>45070</v>
      </c>
      <c r="BG810" s="1">
        <v>7.24</v>
      </c>
      <c r="BH810" s="3">
        <v>45070</v>
      </c>
      <c r="BI810" s="1">
        <v>7.2549999999999999</v>
      </c>
      <c r="BJ810" s="1">
        <v>45070</v>
      </c>
      <c r="BK810" s="1">
        <v>7.2149999999999999</v>
      </c>
      <c r="BL810" s="1">
        <v>45070</v>
      </c>
      <c r="BM810" s="1">
        <v>6.8849999999999998</v>
      </c>
      <c r="BN810" s="1">
        <v>45070</v>
      </c>
      <c r="BO810" s="1">
        <v>6.21</v>
      </c>
      <c r="BP810" s="1">
        <v>45070</v>
      </c>
      <c r="BQ810" s="1">
        <v>5.59</v>
      </c>
      <c r="BR810" s="1">
        <v>45070</v>
      </c>
      <c r="BS810" s="1">
        <v>5.15</v>
      </c>
      <c r="BT810" s="1">
        <v>45070</v>
      </c>
      <c r="BU810" s="1">
        <v>4.7050000000000001</v>
      </c>
      <c r="BV810" s="1">
        <v>45070</v>
      </c>
      <c r="BW810" s="1">
        <v>4.41</v>
      </c>
      <c r="BY810" s="1">
        <v>45022</v>
      </c>
      <c r="BZ810" s="1">
        <v>13</v>
      </c>
      <c r="CA810" s="3">
        <v>45014</v>
      </c>
      <c r="CB810" s="1">
        <v>16.3</v>
      </c>
      <c r="CC810" s="1">
        <v>45070</v>
      </c>
      <c r="CD810" s="1">
        <v>14.8</v>
      </c>
      <c r="CE810" s="3">
        <v>45070</v>
      </c>
      <c r="CF810" s="1">
        <v>14.6</v>
      </c>
      <c r="CG810" s="1">
        <v>45070</v>
      </c>
      <c r="CH810" s="1">
        <v>13.9</v>
      </c>
      <c r="CI810" s="1">
        <v>45070</v>
      </c>
      <c r="CJ810" s="1">
        <v>12.15</v>
      </c>
      <c r="CK810" s="1">
        <v>45070</v>
      </c>
      <c r="CL810" s="1">
        <v>11</v>
      </c>
      <c r="CM810" s="1">
        <v>45070</v>
      </c>
      <c r="CN810" s="1">
        <v>9.9</v>
      </c>
      <c r="CO810" s="1">
        <v>45062</v>
      </c>
      <c r="CP810" s="1">
        <v>8.6</v>
      </c>
      <c r="CQ810" s="1">
        <v>45062</v>
      </c>
      <c r="CR810" s="1">
        <v>7.72</v>
      </c>
      <c r="CS810" s="1">
        <v>45062</v>
      </c>
      <c r="CT810" s="1">
        <v>6.89</v>
      </c>
    </row>
    <row r="811" spans="31:98" x14ac:dyDescent="0.2">
      <c r="AE811" s="1">
        <v>45061</v>
      </c>
      <c r="AF811" s="1">
        <v>6.75</v>
      </c>
      <c r="AG811" s="3">
        <v>45021</v>
      </c>
      <c r="AH811" s="1">
        <v>6.9</v>
      </c>
      <c r="AI811" s="1">
        <v>45069</v>
      </c>
      <c r="AJ811" s="2">
        <v>6.9099000000000004</v>
      </c>
      <c r="AK811" s="3">
        <v>45069</v>
      </c>
      <c r="AL811" s="2">
        <v>6.86</v>
      </c>
      <c r="AM811" s="1">
        <v>45069</v>
      </c>
      <c r="AN811" s="2">
        <v>6.8550000000000004</v>
      </c>
      <c r="AO811" s="1">
        <v>45069</v>
      </c>
      <c r="AP811" s="2">
        <v>6.54</v>
      </c>
      <c r="AQ811" s="1">
        <v>45069</v>
      </c>
      <c r="AR811" s="2">
        <v>6.26</v>
      </c>
      <c r="AS811" s="1">
        <v>45069</v>
      </c>
      <c r="AT811" s="2">
        <v>5.9649999999999999</v>
      </c>
      <c r="AU811" s="1">
        <v>45069</v>
      </c>
      <c r="AV811" s="2">
        <v>5.64</v>
      </c>
      <c r="AW811" s="1">
        <v>45069</v>
      </c>
      <c r="AX811" s="2">
        <v>5.375</v>
      </c>
      <c r="AY811" s="1">
        <v>45069</v>
      </c>
      <c r="AZ811" s="2">
        <v>5.1275000000000004</v>
      </c>
      <c r="BB811" s="1">
        <v>45002</v>
      </c>
      <c r="BC811" s="1">
        <v>7</v>
      </c>
      <c r="BD811" s="3">
        <v>45020</v>
      </c>
      <c r="BE811" s="1">
        <v>7.18</v>
      </c>
      <c r="BF811" s="1">
        <v>45069</v>
      </c>
      <c r="BG811" s="1">
        <v>7.2450000000000001</v>
      </c>
      <c r="BH811" s="3">
        <v>45069</v>
      </c>
      <c r="BI811" s="1">
        <v>7.258</v>
      </c>
      <c r="BJ811" s="1">
        <v>45069</v>
      </c>
      <c r="BK811" s="1">
        <v>7.23</v>
      </c>
      <c r="BL811" s="1">
        <v>45069</v>
      </c>
      <c r="BM811" s="1">
        <v>6.94</v>
      </c>
      <c r="BN811" s="1">
        <v>45069</v>
      </c>
      <c r="BO811" s="1">
        <v>6.2949999999999999</v>
      </c>
      <c r="BP811" s="1">
        <v>45069</v>
      </c>
      <c r="BQ811" s="1">
        <v>5.68</v>
      </c>
      <c r="BR811" s="1">
        <v>45069</v>
      </c>
      <c r="BS811" s="1">
        <v>5.24</v>
      </c>
      <c r="BT811" s="1">
        <v>45069</v>
      </c>
      <c r="BU811" s="1">
        <v>4.7930000000000001</v>
      </c>
      <c r="BV811" s="1">
        <v>45069</v>
      </c>
      <c r="BW811" s="1">
        <v>4.49</v>
      </c>
      <c r="BY811" s="1">
        <v>45020</v>
      </c>
      <c r="BZ811" s="1">
        <v>13</v>
      </c>
      <c r="CA811" s="3">
        <v>45013</v>
      </c>
      <c r="CB811" s="1">
        <v>16.3</v>
      </c>
      <c r="CC811" s="1">
        <v>45069</v>
      </c>
      <c r="CD811" s="1">
        <v>14.85</v>
      </c>
      <c r="CE811" s="3">
        <v>45069</v>
      </c>
      <c r="CF811" s="1">
        <v>14.6</v>
      </c>
      <c r="CG811" s="1">
        <v>45069</v>
      </c>
      <c r="CH811" s="1">
        <v>13.95</v>
      </c>
      <c r="CI811" s="1">
        <v>45069</v>
      </c>
      <c r="CJ811" s="1">
        <v>12.15</v>
      </c>
      <c r="CK811" s="1">
        <v>45069</v>
      </c>
      <c r="CL811" s="1">
        <v>11</v>
      </c>
      <c r="CM811" s="1">
        <v>45069</v>
      </c>
      <c r="CN811" s="1">
        <v>9.84</v>
      </c>
      <c r="CO811" s="1">
        <v>45061</v>
      </c>
      <c r="CP811" s="1">
        <v>8.61</v>
      </c>
      <c r="CQ811" s="1">
        <v>45061</v>
      </c>
      <c r="CR811" s="1">
        <v>7.68</v>
      </c>
      <c r="CS811" s="1">
        <v>45061</v>
      </c>
      <c r="CT811" s="1">
        <v>6.83</v>
      </c>
    </row>
    <row r="812" spans="31:98" x14ac:dyDescent="0.2">
      <c r="AE812" s="1">
        <v>45058</v>
      </c>
      <c r="AF812" s="1">
        <v>6.75</v>
      </c>
      <c r="AG812" s="3">
        <v>45020</v>
      </c>
      <c r="AH812" s="1">
        <v>6.9</v>
      </c>
      <c r="AI812" s="1">
        <v>45068</v>
      </c>
      <c r="AJ812" s="2">
        <v>6.8789999999999996</v>
      </c>
      <c r="AK812" s="3">
        <v>45068</v>
      </c>
      <c r="AL812" s="2">
        <v>6.86</v>
      </c>
      <c r="AM812" s="1">
        <v>45068</v>
      </c>
      <c r="AN812" s="2">
        <v>6.8550000000000004</v>
      </c>
      <c r="AO812" s="1">
        <v>45068</v>
      </c>
      <c r="AP812" s="2">
        <v>6.5525000000000002</v>
      </c>
      <c r="AQ812" s="1">
        <v>45068</v>
      </c>
      <c r="AR812" s="2">
        <v>6.2525000000000004</v>
      </c>
      <c r="AS812" s="1">
        <v>45068</v>
      </c>
      <c r="AT812" s="2">
        <v>5.9349999999999996</v>
      </c>
      <c r="AU812" s="1">
        <v>45068</v>
      </c>
      <c r="AV812" s="2">
        <v>5.62</v>
      </c>
      <c r="AW812" s="1">
        <v>45068</v>
      </c>
      <c r="AX812" s="2">
        <v>5.37</v>
      </c>
      <c r="AY812" s="1">
        <v>45068</v>
      </c>
      <c r="AZ812" s="2">
        <v>5.0999999999999996</v>
      </c>
      <c r="BB812" s="1">
        <v>45001</v>
      </c>
      <c r="BC812" s="1">
        <v>7</v>
      </c>
      <c r="BD812" s="3">
        <v>45019</v>
      </c>
      <c r="BE812" s="1">
        <v>7.18</v>
      </c>
      <c r="BF812" s="1">
        <v>45068</v>
      </c>
      <c r="BG812" s="1">
        <v>7.24</v>
      </c>
      <c r="BH812" s="3">
        <v>45068</v>
      </c>
      <c r="BI812" s="1">
        <v>7.26</v>
      </c>
      <c r="BJ812" s="1">
        <v>45068</v>
      </c>
      <c r="BK812" s="1">
        <v>7.23</v>
      </c>
      <c r="BL812" s="1">
        <v>45068</v>
      </c>
      <c r="BM812" s="1">
        <v>6.8949999999999996</v>
      </c>
      <c r="BN812" s="1">
        <v>45068</v>
      </c>
      <c r="BO812" s="1">
        <v>6.21</v>
      </c>
      <c r="BP812" s="1">
        <v>45068</v>
      </c>
      <c r="BQ812" s="1">
        <v>5.57</v>
      </c>
      <c r="BR812" s="1">
        <v>45068</v>
      </c>
      <c r="BS812" s="1">
        <v>5.1100000000000003</v>
      </c>
      <c r="BT812" s="1">
        <v>45068</v>
      </c>
      <c r="BU812" s="1">
        <v>4.6500000000000004</v>
      </c>
      <c r="BV812" s="1">
        <v>45068</v>
      </c>
      <c r="BW812" s="1">
        <v>4.33</v>
      </c>
      <c r="BY812" s="1">
        <v>45019</v>
      </c>
      <c r="BZ812" s="1">
        <v>13</v>
      </c>
      <c r="CA812" s="3">
        <v>45012</v>
      </c>
      <c r="CB812" s="1">
        <v>16.3</v>
      </c>
      <c r="CC812" s="1">
        <v>45068</v>
      </c>
      <c r="CD812" s="1">
        <v>15.02</v>
      </c>
      <c r="CE812" s="3">
        <v>45068</v>
      </c>
      <c r="CF812" s="1">
        <v>14.64</v>
      </c>
      <c r="CG812" s="1">
        <v>45068</v>
      </c>
      <c r="CH812" s="1">
        <v>14.1</v>
      </c>
      <c r="CI812" s="1">
        <v>45068</v>
      </c>
      <c r="CJ812" s="1">
        <v>12.3</v>
      </c>
      <c r="CK812" s="1">
        <v>45068</v>
      </c>
      <c r="CL812" s="1">
        <v>11.1</v>
      </c>
      <c r="CM812" s="1">
        <v>45068</v>
      </c>
      <c r="CN812" s="1">
        <v>9.93</v>
      </c>
      <c r="CO812" s="1">
        <v>45058</v>
      </c>
      <c r="CP812" s="1">
        <v>8.6999999999999993</v>
      </c>
      <c r="CQ812" s="1">
        <v>45058</v>
      </c>
      <c r="CR812" s="1">
        <v>7.7</v>
      </c>
      <c r="CS812" s="1">
        <v>45058</v>
      </c>
      <c r="CT812" s="1">
        <v>6.9</v>
      </c>
    </row>
    <row r="813" spans="31:98" x14ac:dyDescent="0.2">
      <c r="AE813" s="1">
        <v>45057</v>
      </c>
      <c r="AF813" s="1">
        <v>6.75</v>
      </c>
      <c r="AG813" s="3">
        <v>45019</v>
      </c>
      <c r="AH813" s="1">
        <v>6.9</v>
      </c>
      <c r="AI813" s="1">
        <v>45065</v>
      </c>
      <c r="AJ813" s="2">
        <v>6.88</v>
      </c>
      <c r="AK813" s="3">
        <v>45065</v>
      </c>
      <c r="AL813" s="2">
        <v>6.875</v>
      </c>
      <c r="AM813" s="1">
        <v>45065</v>
      </c>
      <c r="AN813" s="2">
        <v>6.85</v>
      </c>
      <c r="AO813" s="1">
        <v>45065</v>
      </c>
      <c r="AP813" s="2">
        <v>6.5674999999999999</v>
      </c>
      <c r="AQ813" s="1">
        <v>45065</v>
      </c>
      <c r="AR813" s="2">
        <v>6.2575000000000003</v>
      </c>
      <c r="AS813" s="1">
        <v>45065</v>
      </c>
      <c r="AT813" s="2">
        <v>5.9524999999999997</v>
      </c>
      <c r="AU813" s="1">
        <v>45065</v>
      </c>
      <c r="AV813" s="2">
        <v>5.6725000000000003</v>
      </c>
      <c r="AW813" s="1">
        <v>45065</v>
      </c>
      <c r="AX813" s="2">
        <v>5.4024999999999999</v>
      </c>
      <c r="AY813" s="1">
        <v>45065</v>
      </c>
      <c r="AZ813" s="2">
        <v>5.1325000000000003</v>
      </c>
      <c r="BB813" s="1">
        <v>45000</v>
      </c>
      <c r="BC813" s="1">
        <v>7</v>
      </c>
      <c r="BD813" s="3">
        <v>45016</v>
      </c>
      <c r="BE813" s="1">
        <v>7.18</v>
      </c>
      <c r="BF813" s="1">
        <v>45065</v>
      </c>
      <c r="BG813" s="1">
        <v>7.1879999999999997</v>
      </c>
      <c r="BH813" s="3">
        <v>45065</v>
      </c>
      <c r="BI813" s="1">
        <v>7.24</v>
      </c>
      <c r="BJ813" s="1">
        <v>45065</v>
      </c>
      <c r="BK813" s="1">
        <v>7.22</v>
      </c>
      <c r="BL813" s="1">
        <v>45065</v>
      </c>
      <c r="BM813" s="1">
        <v>6.8550000000000004</v>
      </c>
      <c r="BN813" s="1">
        <v>45065</v>
      </c>
      <c r="BO813" s="1">
        <v>6.16</v>
      </c>
      <c r="BP813" s="1">
        <v>45065</v>
      </c>
      <c r="BQ813" s="1">
        <v>5.5250000000000004</v>
      </c>
      <c r="BR813" s="1">
        <v>45065</v>
      </c>
      <c r="BS813" s="1">
        <v>5.0599999999999996</v>
      </c>
      <c r="BT813" s="1">
        <v>45065</v>
      </c>
      <c r="BU813" s="1">
        <v>4.593</v>
      </c>
      <c r="BV813" s="1">
        <v>45065</v>
      </c>
      <c r="BW813" s="1">
        <v>4.2699999999999996</v>
      </c>
      <c r="BY813" s="1">
        <v>45016</v>
      </c>
      <c r="BZ813" s="1">
        <v>13</v>
      </c>
      <c r="CA813" s="3">
        <v>45009</v>
      </c>
      <c r="CB813" s="1">
        <v>16.3</v>
      </c>
      <c r="CC813" s="1">
        <v>45065</v>
      </c>
      <c r="CD813" s="1">
        <v>14.98</v>
      </c>
      <c r="CE813" s="3">
        <v>45065</v>
      </c>
      <c r="CF813" s="1">
        <v>14.56</v>
      </c>
      <c r="CG813" s="1">
        <v>45065</v>
      </c>
      <c r="CH813" s="1">
        <v>14</v>
      </c>
      <c r="CI813" s="1">
        <v>45065</v>
      </c>
      <c r="CJ813" s="1">
        <v>12.35</v>
      </c>
      <c r="CK813" s="1">
        <v>45065</v>
      </c>
      <c r="CL813" s="1">
        <v>11</v>
      </c>
      <c r="CM813" s="1">
        <v>45065</v>
      </c>
      <c r="CN813" s="1">
        <v>9.85</v>
      </c>
      <c r="CO813" s="1">
        <v>45057</v>
      </c>
      <c r="CP813" s="1">
        <v>8.65</v>
      </c>
      <c r="CQ813" s="1">
        <v>45057</v>
      </c>
      <c r="CR813" s="1">
        <v>7.63</v>
      </c>
      <c r="CS813" s="1">
        <v>45057</v>
      </c>
      <c r="CT813" s="1">
        <v>6.78</v>
      </c>
    </row>
    <row r="814" spans="31:98" x14ac:dyDescent="0.2">
      <c r="AE814" s="1">
        <v>45056</v>
      </c>
      <c r="AF814" s="1">
        <v>6.75</v>
      </c>
      <c r="AG814" s="3">
        <v>45016</v>
      </c>
      <c r="AH814" s="1">
        <v>6.89</v>
      </c>
      <c r="AI814" s="1">
        <v>45064</v>
      </c>
      <c r="AJ814" s="2">
        <v>6.8768000000000002</v>
      </c>
      <c r="AK814" s="3">
        <v>45064</v>
      </c>
      <c r="AL814" s="2">
        <v>6.8624999999999998</v>
      </c>
      <c r="AM814" s="1">
        <v>45064</v>
      </c>
      <c r="AN814" s="2">
        <v>6.8425000000000002</v>
      </c>
      <c r="AO814" s="1">
        <v>45064</v>
      </c>
      <c r="AP814" s="2">
        <v>6.5650000000000004</v>
      </c>
      <c r="AQ814" s="1">
        <v>45064</v>
      </c>
      <c r="AR814" s="2">
        <v>6.2424999999999997</v>
      </c>
      <c r="AS814" s="1">
        <v>45064</v>
      </c>
      <c r="AT814" s="2">
        <v>5.9074999999999998</v>
      </c>
      <c r="AU814" s="1">
        <v>45064</v>
      </c>
      <c r="AV814" s="2">
        <v>5.62</v>
      </c>
      <c r="AW814" s="1">
        <v>45064</v>
      </c>
      <c r="AX814" s="2">
        <v>5.3449999999999998</v>
      </c>
      <c r="AY814" s="1">
        <v>45064</v>
      </c>
      <c r="AZ814" s="2">
        <v>5.0650000000000004</v>
      </c>
      <c r="BB814" s="1">
        <v>44999</v>
      </c>
      <c r="BC814" s="1">
        <v>7</v>
      </c>
      <c r="BD814" s="3">
        <v>45015</v>
      </c>
      <c r="BE814" s="1">
        <v>7.18</v>
      </c>
      <c r="BF814" s="1">
        <v>45064</v>
      </c>
      <c r="BG814" s="1">
        <v>7.1849999999999996</v>
      </c>
      <c r="BH814" s="3">
        <v>45064</v>
      </c>
      <c r="BI814" s="1">
        <v>7.26</v>
      </c>
      <c r="BJ814" s="1">
        <v>45064</v>
      </c>
      <c r="BK814" s="1">
        <v>7.218</v>
      </c>
      <c r="BL814" s="1">
        <v>45064</v>
      </c>
      <c r="BM814" s="1">
        <v>6.8280000000000003</v>
      </c>
      <c r="BN814" s="1">
        <v>45064</v>
      </c>
      <c r="BO814" s="1">
        <v>6.1180000000000003</v>
      </c>
      <c r="BP814" s="1">
        <v>45064</v>
      </c>
      <c r="BQ814" s="1">
        <v>5.49</v>
      </c>
      <c r="BR814" s="1">
        <v>45064</v>
      </c>
      <c r="BS814" s="1">
        <v>5.03</v>
      </c>
      <c r="BT814" s="1">
        <v>45064</v>
      </c>
      <c r="BU814" s="1">
        <v>4.5599999999999996</v>
      </c>
      <c r="BV814" s="1">
        <v>45064</v>
      </c>
      <c r="BW814" s="1">
        <v>4.2350000000000003</v>
      </c>
      <c r="BY814" s="1">
        <v>45015</v>
      </c>
      <c r="BZ814" s="1">
        <v>13</v>
      </c>
      <c r="CA814" s="3">
        <v>45008</v>
      </c>
      <c r="CB814" s="1">
        <v>16.3</v>
      </c>
      <c r="CC814" s="1">
        <v>45064</v>
      </c>
      <c r="CD814" s="1">
        <v>15.25</v>
      </c>
      <c r="CE814" s="3">
        <v>45064</v>
      </c>
      <c r="CF814" s="1">
        <v>14.47</v>
      </c>
      <c r="CG814" s="1">
        <v>45064</v>
      </c>
      <c r="CH814" s="1">
        <v>13.9</v>
      </c>
      <c r="CI814" s="1">
        <v>45064</v>
      </c>
      <c r="CJ814" s="1">
        <v>12.3</v>
      </c>
      <c r="CK814" s="1">
        <v>45064</v>
      </c>
      <c r="CL814" s="1">
        <v>10.95</v>
      </c>
      <c r="CM814" s="1">
        <v>45064</v>
      </c>
      <c r="CN814" s="1">
        <v>9.9</v>
      </c>
      <c r="CO814" s="1">
        <v>45056</v>
      </c>
      <c r="CP814" s="1">
        <v>8.65</v>
      </c>
      <c r="CQ814" s="1">
        <v>45056</v>
      </c>
      <c r="CR814" s="1">
        <v>7.63</v>
      </c>
      <c r="CS814" s="1">
        <v>45056</v>
      </c>
      <c r="CT814" s="1">
        <v>6.78</v>
      </c>
    </row>
    <row r="815" spans="31:98" x14ac:dyDescent="0.2">
      <c r="AE815" s="1">
        <v>45055</v>
      </c>
      <c r="AF815" s="1">
        <v>6.75</v>
      </c>
      <c r="AG815" s="3">
        <v>45015</v>
      </c>
      <c r="AH815" s="1">
        <v>6.9</v>
      </c>
      <c r="AI815" s="1">
        <v>45063</v>
      </c>
      <c r="AJ815" s="2">
        <v>6.8842999999999996</v>
      </c>
      <c r="AK815" s="3">
        <v>45063</v>
      </c>
      <c r="AL815" s="2">
        <v>6.8449999999999998</v>
      </c>
      <c r="AM815" s="1">
        <v>45063</v>
      </c>
      <c r="AN815" s="2">
        <v>6.82</v>
      </c>
      <c r="AO815" s="1">
        <v>45063</v>
      </c>
      <c r="AP815" s="2">
        <v>6.53</v>
      </c>
      <c r="AQ815" s="1">
        <v>45063</v>
      </c>
      <c r="AR815" s="2">
        <v>6.17</v>
      </c>
      <c r="AS815" s="1">
        <v>45063</v>
      </c>
      <c r="AT815" s="2">
        <v>5.8250000000000002</v>
      </c>
      <c r="AU815" s="1">
        <v>45063</v>
      </c>
      <c r="AV815" s="2">
        <v>5.5250000000000004</v>
      </c>
      <c r="AW815" s="1">
        <v>45063</v>
      </c>
      <c r="AX815" s="2">
        <v>5.24</v>
      </c>
      <c r="AY815" s="1">
        <v>45063</v>
      </c>
      <c r="AZ815" s="2">
        <v>4.9649999999999999</v>
      </c>
      <c r="BB815" s="1">
        <v>44998</v>
      </c>
      <c r="BC815" s="1">
        <v>7</v>
      </c>
      <c r="BD815" s="3">
        <v>45014</v>
      </c>
      <c r="BE815" s="1">
        <v>7.18</v>
      </c>
      <c r="BF815" s="1">
        <v>45063</v>
      </c>
      <c r="BG815" s="1">
        <v>7.18</v>
      </c>
      <c r="BH815" s="3">
        <v>45063</v>
      </c>
      <c r="BI815" s="1">
        <v>7.24</v>
      </c>
      <c r="BJ815" s="1">
        <v>45063</v>
      </c>
      <c r="BK815" s="1">
        <v>7.1829999999999998</v>
      </c>
      <c r="BL815" s="1">
        <v>45063</v>
      </c>
      <c r="BM815" s="1">
        <v>6.7649999999999997</v>
      </c>
      <c r="BN815" s="1">
        <v>45063</v>
      </c>
      <c r="BO815" s="1">
        <v>6.0129999999999999</v>
      </c>
      <c r="BP815" s="1">
        <v>45063</v>
      </c>
      <c r="BQ815" s="1">
        <v>5.39</v>
      </c>
      <c r="BR815" s="1">
        <v>45063</v>
      </c>
      <c r="BS815" s="1">
        <v>4.9000000000000004</v>
      </c>
      <c r="BT815" s="1">
        <v>45063</v>
      </c>
      <c r="BU815" s="1">
        <v>4.415</v>
      </c>
      <c r="BV815" s="1">
        <v>45063</v>
      </c>
      <c r="BW815" s="1">
        <v>4.07</v>
      </c>
      <c r="BY815" s="1">
        <v>45014</v>
      </c>
      <c r="BZ815" s="1">
        <v>13</v>
      </c>
      <c r="CA815" s="3">
        <v>45007</v>
      </c>
      <c r="CB815" s="1">
        <v>16.309999999999999</v>
      </c>
      <c r="CC815" s="1">
        <v>45063</v>
      </c>
      <c r="CD815" s="1">
        <v>15.28</v>
      </c>
      <c r="CE815" s="3">
        <v>45063</v>
      </c>
      <c r="CF815" s="1">
        <v>14.49</v>
      </c>
      <c r="CG815" s="1">
        <v>45063</v>
      </c>
      <c r="CH815" s="1">
        <v>13.9</v>
      </c>
      <c r="CI815" s="1">
        <v>45063</v>
      </c>
      <c r="CJ815" s="1">
        <v>12.15</v>
      </c>
      <c r="CK815" s="1">
        <v>45063</v>
      </c>
      <c r="CL815" s="1">
        <v>10.8</v>
      </c>
      <c r="CM815" s="1">
        <v>45063</v>
      </c>
      <c r="CN815" s="1">
        <v>9.75</v>
      </c>
      <c r="CO815" s="1">
        <v>45055</v>
      </c>
      <c r="CP815" s="1">
        <v>8.7200000000000006</v>
      </c>
      <c r="CQ815" s="1">
        <v>45055</v>
      </c>
      <c r="CR815" s="1">
        <v>7.72</v>
      </c>
      <c r="CS815" s="1">
        <v>45055</v>
      </c>
      <c r="CT815" s="1">
        <v>6.92</v>
      </c>
    </row>
    <row r="816" spans="31:98" x14ac:dyDescent="0.2">
      <c r="AE816" s="1">
        <v>45054</v>
      </c>
      <c r="AF816" s="1">
        <v>6.75</v>
      </c>
      <c r="AG816" s="3">
        <v>45014</v>
      </c>
      <c r="AH816" s="1">
        <v>6.9</v>
      </c>
      <c r="AI816" s="1">
        <v>45062</v>
      </c>
      <c r="AJ816" s="2">
        <v>6.8650000000000002</v>
      </c>
      <c r="AK816" s="3">
        <v>45062</v>
      </c>
      <c r="AL816" s="2">
        <v>6.835</v>
      </c>
      <c r="AM816" s="1">
        <v>45062</v>
      </c>
      <c r="AN816" s="2">
        <v>6.8150000000000004</v>
      </c>
      <c r="AO816" s="1">
        <v>45062</v>
      </c>
      <c r="AP816" s="2">
        <v>6.53</v>
      </c>
      <c r="AQ816" s="1">
        <v>45062</v>
      </c>
      <c r="AR816" s="2">
        <v>6.1849999999999996</v>
      </c>
      <c r="AS816" s="1">
        <v>45062</v>
      </c>
      <c r="AT816" s="2">
        <v>5.835</v>
      </c>
      <c r="AU816" s="1">
        <v>45062</v>
      </c>
      <c r="AV816" s="2">
        <v>5.55</v>
      </c>
      <c r="AW816" s="1">
        <v>45062</v>
      </c>
      <c r="AX816" s="2">
        <v>5.2649999999999997</v>
      </c>
      <c r="AY816" s="1">
        <v>45062</v>
      </c>
      <c r="AZ816" s="2">
        <v>4.99</v>
      </c>
      <c r="BB816" s="1">
        <v>44995</v>
      </c>
      <c r="BC816" s="1">
        <v>7</v>
      </c>
      <c r="BD816" s="3">
        <v>45013</v>
      </c>
      <c r="BE816" s="1">
        <v>7.18</v>
      </c>
      <c r="BF816" s="1">
        <v>45062</v>
      </c>
      <c r="BG816" s="1">
        <v>7.1849999999999996</v>
      </c>
      <c r="BH816" s="3">
        <v>45062</v>
      </c>
      <c r="BI816" s="1">
        <v>7.23</v>
      </c>
      <c r="BJ816" s="1">
        <v>45062</v>
      </c>
      <c r="BK816" s="1">
        <v>7.1849999999999996</v>
      </c>
      <c r="BL816" s="1">
        <v>45062</v>
      </c>
      <c r="BM816" s="1">
        <v>6.7549999999999999</v>
      </c>
      <c r="BN816" s="1">
        <v>45062</v>
      </c>
      <c r="BO816" s="1">
        <v>6</v>
      </c>
      <c r="BP816" s="1">
        <v>45062</v>
      </c>
      <c r="BQ816" s="1">
        <v>5.3550000000000004</v>
      </c>
      <c r="BR816" s="1">
        <v>45062</v>
      </c>
      <c r="BS816" s="1">
        <v>4.875</v>
      </c>
      <c r="BT816" s="1">
        <v>45062</v>
      </c>
      <c r="BU816" s="1">
        <v>4.4050000000000002</v>
      </c>
      <c r="BV816" s="1">
        <v>45062</v>
      </c>
      <c r="BW816" s="1">
        <v>4.03</v>
      </c>
      <c r="BY816" s="1">
        <v>45013</v>
      </c>
      <c r="BZ816" s="1">
        <v>13</v>
      </c>
      <c r="CA816" s="3">
        <v>45006</v>
      </c>
      <c r="CB816" s="1">
        <v>16.309999999999999</v>
      </c>
      <c r="CC816" s="1">
        <v>45062</v>
      </c>
      <c r="CD816" s="1">
        <v>15.29</v>
      </c>
      <c r="CE816" s="3">
        <v>45062</v>
      </c>
      <c r="CF816" s="1">
        <v>14.5</v>
      </c>
      <c r="CG816" s="1">
        <v>45062</v>
      </c>
      <c r="CH816" s="1">
        <v>13.9</v>
      </c>
      <c r="CI816" s="1">
        <v>45062</v>
      </c>
      <c r="CJ816" s="1">
        <v>12.15</v>
      </c>
      <c r="CK816" s="1">
        <v>45062</v>
      </c>
      <c r="CL816" s="1">
        <v>10.8</v>
      </c>
      <c r="CM816" s="1">
        <v>45062</v>
      </c>
      <c r="CN816" s="1">
        <v>9.75</v>
      </c>
      <c r="CO816" s="1">
        <v>45054</v>
      </c>
      <c r="CP816" s="1">
        <v>8.67</v>
      </c>
      <c r="CQ816" s="1">
        <v>45054</v>
      </c>
      <c r="CR816" s="1">
        <v>7.65</v>
      </c>
      <c r="CS816" s="1">
        <v>45054</v>
      </c>
      <c r="CT816" s="1">
        <v>6.8</v>
      </c>
    </row>
    <row r="817" spans="31:98" x14ac:dyDescent="0.2">
      <c r="AE817" s="1">
        <v>45051</v>
      </c>
      <c r="AF817" s="1">
        <v>6.75</v>
      </c>
      <c r="AG817" s="3">
        <v>45013</v>
      </c>
      <c r="AH817" s="1">
        <v>6.9</v>
      </c>
      <c r="AI817" s="1">
        <v>45061</v>
      </c>
      <c r="AJ817" s="2">
        <v>6.8724999999999996</v>
      </c>
      <c r="AK817" s="3">
        <v>45061</v>
      </c>
      <c r="AL817" s="2">
        <v>6.85</v>
      </c>
      <c r="AM817" s="1">
        <v>45061</v>
      </c>
      <c r="AN817" s="2">
        <v>6.84</v>
      </c>
      <c r="AO817" s="1">
        <v>45061</v>
      </c>
      <c r="AP817" s="2">
        <v>6.5549999999999997</v>
      </c>
      <c r="AQ817" s="1">
        <v>45061</v>
      </c>
      <c r="AR817" s="2">
        <v>6.16</v>
      </c>
      <c r="AS817" s="1">
        <v>45061</v>
      </c>
      <c r="AT817" s="2">
        <v>5.7850000000000001</v>
      </c>
      <c r="AU817" s="1">
        <v>45061</v>
      </c>
      <c r="AV817" s="2">
        <v>5.45</v>
      </c>
      <c r="AW817" s="1">
        <v>45061</v>
      </c>
      <c r="AX817" s="2">
        <v>5.14</v>
      </c>
      <c r="AY817" s="1">
        <v>45061</v>
      </c>
      <c r="AZ817" s="2">
        <v>4.8550000000000004</v>
      </c>
      <c r="BB817" s="1">
        <v>44994</v>
      </c>
      <c r="BC817" s="1">
        <v>7</v>
      </c>
      <c r="BD817" s="3">
        <v>45012</v>
      </c>
      <c r="BE817" s="1">
        <v>7.19</v>
      </c>
      <c r="BF817" s="1">
        <v>45061</v>
      </c>
      <c r="BG817" s="1">
        <v>7.19</v>
      </c>
      <c r="BH817" s="3">
        <v>45061</v>
      </c>
      <c r="BI817" s="1">
        <v>7.23</v>
      </c>
      <c r="BJ817" s="1">
        <v>45061</v>
      </c>
      <c r="BK817" s="1">
        <v>7.19</v>
      </c>
      <c r="BL817" s="1">
        <v>45061</v>
      </c>
      <c r="BM817" s="1">
        <v>6.72</v>
      </c>
      <c r="BN817" s="1">
        <v>45061</v>
      </c>
      <c r="BO817" s="1">
        <v>5.9649999999999999</v>
      </c>
      <c r="BP817" s="1">
        <v>45061</v>
      </c>
      <c r="BQ817" s="1">
        <v>5.3230000000000004</v>
      </c>
      <c r="BR817" s="1">
        <v>45061</v>
      </c>
      <c r="BS817" s="1">
        <v>4.8380000000000001</v>
      </c>
      <c r="BT817" s="1">
        <v>45061</v>
      </c>
      <c r="BU817" s="1">
        <v>4.3630000000000004</v>
      </c>
      <c r="BV817" s="1">
        <v>45061</v>
      </c>
      <c r="BW817" s="1">
        <v>3.9729999999999999</v>
      </c>
      <c r="BY817" s="1">
        <v>45012</v>
      </c>
      <c r="BZ817" s="1">
        <v>13</v>
      </c>
      <c r="CA817" s="3">
        <v>45005</v>
      </c>
      <c r="CB817" s="1">
        <v>16.309999999999999</v>
      </c>
      <c r="CC817" s="1">
        <v>45061</v>
      </c>
      <c r="CD817" s="1">
        <v>15.25</v>
      </c>
      <c r="CE817" s="3">
        <v>45061</v>
      </c>
      <c r="CF817" s="1">
        <v>14.5</v>
      </c>
      <c r="CG817" s="1">
        <v>45061</v>
      </c>
      <c r="CH817" s="1">
        <v>13.95</v>
      </c>
      <c r="CI817" s="1">
        <v>45061</v>
      </c>
      <c r="CJ817" s="1">
        <v>12.2</v>
      </c>
      <c r="CK817" s="1">
        <v>45061</v>
      </c>
      <c r="CL817" s="1">
        <v>10.85</v>
      </c>
      <c r="CM817" s="1">
        <v>45061</v>
      </c>
      <c r="CN817" s="1">
        <v>9.7799999999999994</v>
      </c>
      <c r="CO817" s="1">
        <v>45051</v>
      </c>
      <c r="CP817" s="1">
        <v>8.67</v>
      </c>
      <c r="CQ817" s="1">
        <v>45051</v>
      </c>
      <c r="CR817" s="1">
        <v>7.65</v>
      </c>
      <c r="CS817" s="1">
        <v>45051</v>
      </c>
      <c r="CT817" s="1">
        <v>6.8</v>
      </c>
    </row>
    <row r="818" spans="31:98" x14ac:dyDescent="0.2">
      <c r="AE818" s="1">
        <v>45050</v>
      </c>
      <c r="AF818" s="1">
        <v>6.75</v>
      </c>
      <c r="AG818" s="3">
        <v>45012</v>
      </c>
      <c r="AH818" s="1">
        <v>6.9</v>
      </c>
      <c r="AI818" s="1">
        <v>45058</v>
      </c>
      <c r="AJ818" s="2">
        <v>6.8624999999999998</v>
      </c>
      <c r="AK818" s="3">
        <v>45058</v>
      </c>
      <c r="AL818" s="2">
        <v>6.84</v>
      </c>
      <c r="AM818" s="1">
        <v>45058</v>
      </c>
      <c r="AN818" s="2">
        <v>6.8049999999999997</v>
      </c>
      <c r="AO818" s="1">
        <v>45058</v>
      </c>
      <c r="AP818" s="2">
        <v>6.4749999999999996</v>
      </c>
      <c r="AQ818" s="1">
        <v>45058</v>
      </c>
      <c r="AR818" s="2">
        <v>6.085</v>
      </c>
      <c r="AS818" s="1">
        <v>45058</v>
      </c>
      <c r="AT818" s="2">
        <v>5.72</v>
      </c>
      <c r="AU818" s="1">
        <v>45058</v>
      </c>
      <c r="AV818" s="2">
        <v>5.39</v>
      </c>
      <c r="AW818" s="1">
        <v>45058</v>
      </c>
      <c r="AX818" s="2">
        <v>5.08</v>
      </c>
      <c r="AY818" s="1">
        <v>45058</v>
      </c>
      <c r="AZ818" s="2">
        <v>4.7850000000000001</v>
      </c>
      <c r="BB818" s="1">
        <v>44993</v>
      </c>
      <c r="BC818" s="1">
        <v>7</v>
      </c>
      <c r="BD818" s="3">
        <v>45009</v>
      </c>
      <c r="BE818" s="1">
        <v>7.19</v>
      </c>
      <c r="BF818" s="1">
        <v>45058</v>
      </c>
      <c r="BG818" s="1">
        <v>7.19</v>
      </c>
      <c r="BH818" s="3">
        <v>45058</v>
      </c>
      <c r="BI818" s="1">
        <v>7.2050000000000001</v>
      </c>
      <c r="BJ818" s="1">
        <v>45058</v>
      </c>
      <c r="BK818" s="1">
        <v>7.18</v>
      </c>
      <c r="BL818" s="1">
        <v>45058</v>
      </c>
      <c r="BM818" s="1">
        <v>6.69</v>
      </c>
      <c r="BN818" s="1">
        <v>45058</v>
      </c>
      <c r="BO818" s="1">
        <v>5.92</v>
      </c>
      <c r="BP818" s="1">
        <v>45058</v>
      </c>
      <c r="BQ818" s="1">
        <v>5.28</v>
      </c>
      <c r="BR818" s="1">
        <v>45058</v>
      </c>
      <c r="BS818" s="1">
        <v>4.798</v>
      </c>
      <c r="BT818" s="1">
        <v>45058</v>
      </c>
      <c r="BU818" s="1">
        <v>4.3330000000000002</v>
      </c>
      <c r="BV818" s="1">
        <v>45058</v>
      </c>
      <c r="BW818" s="1">
        <v>3.9380000000000002</v>
      </c>
      <c r="BY818" s="1">
        <v>45009</v>
      </c>
      <c r="BZ818" s="1">
        <v>13</v>
      </c>
      <c r="CA818" s="3">
        <v>45002</v>
      </c>
      <c r="CB818" s="1">
        <v>16.309999999999999</v>
      </c>
      <c r="CC818" s="1">
        <v>45058</v>
      </c>
      <c r="CD818" s="1">
        <v>15.4</v>
      </c>
      <c r="CE818" s="3">
        <v>45058</v>
      </c>
      <c r="CF818" s="1">
        <v>14.71</v>
      </c>
      <c r="CG818" s="1">
        <v>45058</v>
      </c>
      <c r="CH818" s="1">
        <v>14.2</v>
      </c>
      <c r="CI818" s="1">
        <v>45058</v>
      </c>
      <c r="CJ818" s="1">
        <v>12.45</v>
      </c>
      <c r="CK818" s="1">
        <v>45058</v>
      </c>
      <c r="CL818" s="1">
        <v>11.1</v>
      </c>
      <c r="CM818" s="1">
        <v>45058</v>
      </c>
      <c r="CN818" s="1">
        <v>9.83</v>
      </c>
      <c r="CO818" s="1">
        <v>45050</v>
      </c>
      <c r="CP818" s="1">
        <v>8.52</v>
      </c>
      <c r="CQ818" s="1">
        <v>45050</v>
      </c>
      <c r="CR818" s="1">
        <v>7.5</v>
      </c>
      <c r="CS818" s="1">
        <v>45050</v>
      </c>
      <c r="CT818" s="1">
        <v>6.65</v>
      </c>
    </row>
    <row r="819" spans="31:98" x14ac:dyDescent="0.2">
      <c r="AE819" s="1">
        <v>45049</v>
      </c>
      <c r="AF819" s="1">
        <v>6.75</v>
      </c>
      <c r="AG819" s="3">
        <v>45009</v>
      </c>
      <c r="AH819" s="1">
        <v>6.9</v>
      </c>
      <c r="AI819" s="1">
        <v>45057</v>
      </c>
      <c r="AJ819" s="2">
        <v>6.8913000000000002</v>
      </c>
      <c r="AK819" s="3">
        <v>45057</v>
      </c>
      <c r="AL819" s="2">
        <v>6.8250000000000002</v>
      </c>
      <c r="AM819" s="1">
        <v>45057</v>
      </c>
      <c r="AN819" s="2">
        <v>6.7949999999999999</v>
      </c>
      <c r="AO819" s="1">
        <v>45057</v>
      </c>
      <c r="AP819" s="2">
        <v>6.47</v>
      </c>
      <c r="AQ819" s="1">
        <v>45057</v>
      </c>
      <c r="AR819" s="2">
        <v>6.0949999999999998</v>
      </c>
      <c r="AS819" s="1">
        <v>45057</v>
      </c>
      <c r="AT819" s="2">
        <v>5.7149999999999999</v>
      </c>
      <c r="AU819" s="1">
        <v>45057</v>
      </c>
      <c r="AV819" s="2">
        <v>5.3849999999999998</v>
      </c>
      <c r="AW819" s="1">
        <v>45057</v>
      </c>
      <c r="AX819" s="2">
        <v>5.0650000000000004</v>
      </c>
      <c r="AY819" s="1">
        <v>45057</v>
      </c>
      <c r="AZ819" s="2">
        <v>4.7549999999999999</v>
      </c>
      <c r="BB819" s="1">
        <v>44992</v>
      </c>
      <c r="BC819" s="1">
        <v>7</v>
      </c>
      <c r="BD819" s="3">
        <v>45008</v>
      </c>
      <c r="BE819" s="1">
        <v>7.19</v>
      </c>
      <c r="BF819" s="1">
        <v>45057</v>
      </c>
      <c r="BG819" s="1">
        <v>7.1849999999999996</v>
      </c>
      <c r="BH819" s="3">
        <v>45057</v>
      </c>
      <c r="BI819" s="1">
        <v>7.19</v>
      </c>
      <c r="BJ819" s="1">
        <v>45057</v>
      </c>
      <c r="BK819" s="1">
        <v>7.1550000000000002</v>
      </c>
      <c r="BL819" s="1">
        <v>45057</v>
      </c>
      <c r="BM819" s="1">
        <v>6.67</v>
      </c>
      <c r="BN819" s="1">
        <v>45057</v>
      </c>
      <c r="BO819" s="1">
        <v>5.91</v>
      </c>
      <c r="BP819" s="1">
        <v>45057</v>
      </c>
      <c r="BQ819" s="1">
        <v>5.26</v>
      </c>
      <c r="BR819" s="1">
        <v>45057</v>
      </c>
      <c r="BS819" s="1">
        <v>4.7649999999999997</v>
      </c>
      <c r="BT819" s="1">
        <v>45057</v>
      </c>
      <c r="BU819" s="1">
        <v>4.2930000000000001</v>
      </c>
      <c r="BV819" s="1">
        <v>45057</v>
      </c>
      <c r="BW819" s="1">
        <v>3.8780000000000001</v>
      </c>
      <c r="BY819" s="1">
        <v>45008</v>
      </c>
      <c r="BZ819" s="1">
        <v>13</v>
      </c>
      <c r="CA819" s="3">
        <v>45001</v>
      </c>
      <c r="CB819" s="1">
        <v>16.3</v>
      </c>
      <c r="CC819" s="1">
        <v>45057</v>
      </c>
      <c r="CD819" s="1">
        <v>15.4</v>
      </c>
      <c r="CE819" s="3">
        <v>45057</v>
      </c>
      <c r="CF819" s="1">
        <v>14.71</v>
      </c>
      <c r="CG819" s="1">
        <v>45057</v>
      </c>
      <c r="CH819" s="1">
        <v>14.2</v>
      </c>
      <c r="CI819" s="1">
        <v>45057</v>
      </c>
      <c r="CJ819" s="1">
        <v>12.45</v>
      </c>
      <c r="CK819" s="1">
        <v>45057</v>
      </c>
      <c r="CL819" s="1">
        <v>11.1</v>
      </c>
      <c r="CM819" s="1">
        <v>45057</v>
      </c>
      <c r="CN819" s="1">
        <v>9.85</v>
      </c>
      <c r="CO819" s="1">
        <v>45049</v>
      </c>
      <c r="CP819" s="1">
        <v>8.4</v>
      </c>
      <c r="CQ819" s="1">
        <v>45049</v>
      </c>
      <c r="CR819" s="1">
        <v>7.43</v>
      </c>
      <c r="CS819" s="1">
        <v>45049</v>
      </c>
      <c r="CT819" s="1">
        <v>6.7</v>
      </c>
    </row>
    <row r="820" spans="31:98" x14ac:dyDescent="0.2">
      <c r="AE820" s="1">
        <v>45048</v>
      </c>
      <c r="AF820" s="1">
        <v>6.75</v>
      </c>
      <c r="AG820" s="3">
        <v>45008</v>
      </c>
      <c r="AH820" s="1">
        <v>6.9</v>
      </c>
      <c r="AI820" s="1">
        <v>45056</v>
      </c>
      <c r="AJ820" s="2">
        <v>6.8615000000000004</v>
      </c>
      <c r="AK820" s="3">
        <v>45056</v>
      </c>
      <c r="AL820" s="2">
        <v>6.84</v>
      </c>
      <c r="AM820" s="1">
        <v>45056</v>
      </c>
      <c r="AN820" s="2">
        <v>6.8</v>
      </c>
      <c r="AO820" s="1">
        <v>45056</v>
      </c>
      <c r="AP820" s="2">
        <v>6.45</v>
      </c>
      <c r="AQ820" s="1">
        <v>45056</v>
      </c>
      <c r="AR820" s="2">
        <v>6.04</v>
      </c>
      <c r="AS820" s="1">
        <v>45056</v>
      </c>
      <c r="AT820" s="2">
        <v>5.7149999999999999</v>
      </c>
      <c r="AU820" s="1">
        <v>45056</v>
      </c>
      <c r="AV820" s="2">
        <v>5.4</v>
      </c>
      <c r="AW820" s="1">
        <v>45056</v>
      </c>
      <c r="AX820" s="2">
        <v>5.0949999999999998</v>
      </c>
      <c r="AY820" s="1">
        <v>45056</v>
      </c>
      <c r="AZ820" s="2">
        <v>4.8250000000000002</v>
      </c>
      <c r="BB820" s="1">
        <v>44991</v>
      </c>
      <c r="BC820" s="1">
        <v>7</v>
      </c>
      <c r="BD820" s="3">
        <v>45007</v>
      </c>
      <c r="BE820" s="1">
        <v>7.19</v>
      </c>
      <c r="BF820" s="1">
        <v>45056</v>
      </c>
      <c r="BG820" s="1">
        <v>7.21</v>
      </c>
      <c r="BH820" s="3">
        <v>45056</v>
      </c>
      <c r="BI820" s="1">
        <v>7.2649999999999997</v>
      </c>
      <c r="BJ820" s="1">
        <v>45056</v>
      </c>
      <c r="BK820" s="1">
        <v>7.2480000000000002</v>
      </c>
      <c r="BL820" s="1">
        <v>45056</v>
      </c>
      <c r="BM820" s="1">
        <v>6.8579999999999997</v>
      </c>
      <c r="BN820" s="1">
        <v>45056</v>
      </c>
      <c r="BO820" s="1">
        <v>6.1429999999999998</v>
      </c>
      <c r="BP820" s="1">
        <v>45056</v>
      </c>
      <c r="BQ820" s="1">
        <v>5.5149999999999997</v>
      </c>
      <c r="BR820" s="1">
        <v>45056</v>
      </c>
      <c r="BS820" s="1">
        <v>5.03</v>
      </c>
      <c r="BT820" s="1">
        <v>45056</v>
      </c>
      <c r="BU820" s="1">
        <v>4.5679999999999996</v>
      </c>
      <c r="BV820" s="1">
        <v>45056</v>
      </c>
      <c r="BW820" s="1">
        <v>4.165</v>
      </c>
      <c r="BY820" s="1">
        <v>45007</v>
      </c>
      <c r="BZ820" s="1">
        <v>13</v>
      </c>
      <c r="CA820" s="3">
        <v>44999</v>
      </c>
      <c r="CB820" s="1">
        <v>16.3</v>
      </c>
      <c r="CC820" s="1">
        <v>45056</v>
      </c>
      <c r="CD820" s="1">
        <v>15.5</v>
      </c>
      <c r="CE820" s="3">
        <v>45056</v>
      </c>
      <c r="CF820" s="1">
        <v>14.8</v>
      </c>
      <c r="CG820" s="1">
        <v>45056</v>
      </c>
      <c r="CH820" s="1">
        <v>14.3</v>
      </c>
      <c r="CI820" s="1">
        <v>45056</v>
      </c>
      <c r="CJ820" s="1">
        <v>12.55</v>
      </c>
      <c r="CK820" s="1">
        <v>45056</v>
      </c>
      <c r="CL820" s="1">
        <v>11.2</v>
      </c>
      <c r="CM820" s="1">
        <v>45056</v>
      </c>
      <c r="CN820" s="1">
        <v>9.85</v>
      </c>
      <c r="CO820" s="1">
        <v>45048</v>
      </c>
      <c r="CP820" s="1">
        <v>8.4</v>
      </c>
      <c r="CQ820" s="1">
        <v>45048</v>
      </c>
      <c r="CR820" s="1">
        <v>7.43</v>
      </c>
      <c r="CS820" s="1">
        <v>45048</v>
      </c>
      <c r="CT820" s="1">
        <v>6.7</v>
      </c>
    </row>
    <row r="821" spans="31:98" x14ac:dyDescent="0.2">
      <c r="AE821" s="1">
        <v>45047</v>
      </c>
      <c r="AF821" s="1">
        <v>6.75</v>
      </c>
      <c r="AG821" s="3">
        <v>45007</v>
      </c>
      <c r="AH821" s="1">
        <v>6.9</v>
      </c>
      <c r="AI821" s="1">
        <v>45055</v>
      </c>
      <c r="AJ821" s="2">
        <v>6.8550000000000004</v>
      </c>
      <c r="AK821" s="3">
        <v>45055</v>
      </c>
      <c r="AL821" s="2">
        <v>6.83</v>
      </c>
      <c r="AM821" s="1">
        <v>45055</v>
      </c>
      <c r="AN821" s="2">
        <v>6.79</v>
      </c>
      <c r="AO821" s="1">
        <v>45055</v>
      </c>
      <c r="AP821" s="2">
        <v>6.44</v>
      </c>
      <c r="AQ821" s="1">
        <v>45055</v>
      </c>
      <c r="AR821" s="2">
        <v>6.0350000000000001</v>
      </c>
      <c r="AS821" s="1">
        <v>45055</v>
      </c>
      <c r="AT821" s="2">
        <v>5.6749999999999998</v>
      </c>
      <c r="AU821" s="1">
        <v>45055</v>
      </c>
      <c r="AV821" s="2">
        <v>5.32</v>
      </c>
      <c r="AW821" s="1">
        <v>45055</v>
      </c>
      <c r="AX821" s="2">
        <v>5.0199999999999996</v>
      </c>
      <c r="AY821" s="1">
        <v>45055</v>
      </c>
      <c r="AZ821" s="2">
        <v>4.7649999999999997</v>
      </c>
      <c r="BB821" s="1">
        <v>44988</v>
      </c>
      <c r="BC821" s="1">
        <v>7</v>
      </c>
      <c r="BD821" s="3">
        <v>45006</v>
      </c>
      <c r="BE821" s="1">
        <v>7.19</v>
      </c>
      <c r="BF821" s="1">
        <v>45055</v>
      </c>
      <c r="BG821" s="1">
        <v>7.2249999999999996</v>
      </c>
      <c r="BH821" s="3">
        <v>45055</v>
      </c>
      <c r="BI821" s="1">
        <v>7.2750000000000004</v>
      </c>
      <c r="BJ821" s="1">
        <v>45055</v>
      </c>
      <c r="BK821" s="1">
        <v>7.2549999999999999</v>
      </c>
      <c r="BL821" s="1">
        <v>45055</v>
      </c>
      <c r="BM821" s="1">
        <v>6.84</v>
      </c>
      <c r="BN821" s="1">
        <v>45055</v>
      </c>
      <c r="BO821" s="1">
        <v>6.13</v>
      </c>
      <c r="BP821" s="1">
        <v>45055</v>
      </c>
      <c r="BQ821" s="1">
        <v>5.4880000000000004</v>
      </c>
      <c r="BR821" s="1">
        <v>45055</v>
      </c>
      <c r="BS821" s="1">
        <v>4.9980000000000002</v>
      </c>
      <c r="BT821" s="1">
        <v>45055</v>
      </c>
      <c r="BU821" s="1">
        <v>4.5279999999999996</v>
      </c>
      <c r="BV821" s="1">
        <v>45055</v>
      </c>
      <c r="BW821" s="1">
        <v>4.13</v>
      </c>
      <c r="BY821" s="1">
        <v>45005</v>
      </c>
      <c r="BZ821" s="1">
        <v>13</v>
      </c>
      <c r="CA821" s="3">
        <v>44998</v>
      </c>
      <c r="CB821" s="1">
        <v>16.29</v>
      </c>
      <c r="CC821" s="1">
        <v>45055</v>
      </c>
      <c r="CD821" s="1">
        <v>15.59</v>
      </c>
      <c r="CE821" s="3">
        <v>45055</v>
      </c>
      <c r="CF821" s="1">
        <v>14.94</v>
      </c>
      <c r="CG821" s="1">
        <v>45055</v>
      </c>
      <c r="CH821" s="1">
        <v>14.45</v>
      </c>
      <c r="CI821" s="1">
        <v>45055</v>
      </c>
      <c r="CJ821" s="1">
        <v>12.7</v>
      </c>
      <c r="CK821" s="1">
        <v>45055</v>
      </c>
      <c r="CL821" s="1">
        <v>11.35</v>
      </c>
      <c r="CM821" s="1">
        <v>45055</v>
      </c>
      <c r="CN821" s="1">
        <v>9.9350000000000005</v>
      </c>
      <c r="CO821" s="1">
        <v>45047</v>
      </c>
      <c r="CP821" s="1">
        <v>8.49</v>
      </c>
      <c r="CQ821" s="1">
        <v>45047</v>
      </c>
      <c r="CR821" s="1">
        <v>7.53</v>
      </c>
      <c r="CS821" s="1">
        <v>45047</v>
      </c>
      <c r="CT821" s="1">
        <v>6.8</v>
      </c>
    </row>
    <row r="822" spans="31:98" x14ac:dyDescent="0.2">
      <c r="AE822" s="1">
        <v>45044</v>
      </c>
      <c r="AF822" s="1">
        <v>6.75</v>
      </c>
      <c r="AG822" s="3">
        <v>45006</v>
      </c>
      <c r="AH822" s="1">
        <v>6.9</v>
      </c>
      <c r="AI822" s="1">
        <v>45054</v>
      </c>
      <c r="AJ822" s="2">
        <v>6.8579999999999997</v>
      </c>
      <c r="AK822" s="3">
        <v>45054</v>
      </c>
      <c r="AL822" s="2">
        <v>6.82</v>
      </c>
      <c r="AM822" s="1">
        <v>45054</v>
      </c>
      <c r="AN822" s="2">
        <v>6.7549999999999999</v>
      </c>
      <c r="AO822" s="1">
        <v>45054</v>
      </c>
      <c r="AP822" s="2">
        <v>6.42</v>
      </c>
      <c r="AQ822" s="1">
        <v>45054</v>
      </c>
      <c r="AR822" s="2">
        <v>5.9850000000000003</v>
      </c>
      <c r="AS822" s="1">
        <v>45054</v>
      </c>
      <c r="AT822" s="2">
        <v>5.62</v>
      </c>
      <c r="AU822" s="1">
        <v>45054</v>
      </c>
      <c r="AV822" s="2">
        <v>5.26</v>
      </c>
      <c r="AW822" s="1">
        <v>45054</v>
      </c>
      <c r="AX822" s="2">
        <v>4.9550000000000001</v>
      </c>
      <c r="AY822" s="1">
        <v>45054</v>
      </c>
      <c r="AZ822" s="2">
        <v>4.7</v>
      </c>
      <c r="BB822" s="1">
        <v>44987</v>
      </c>
      <c r="BC822" s="1">
        <v>7</v>
      </c>
      <c r="BD822" s="3">
        <v>45005</v>
      </c>
      <c r="BE822" s="1">
        <v>7.19</v>
      </c>
      <c r="BF822" s="1">
        <v>45054</v>
      </c>
      <c r="BG822" s="1">
        <v>7.22</v>
      </c>
      <c r="BH822" s="3">
        <v>45054</v>
      </c>
      <c r="BI822" s="1">
        <v>7.26</v>
      </c>
      <c r="BJ822" s="1">
        <v>45054</v>
      </c>
      <c r="BK822" s="1">
        <v>7.2480000000000002</v>
      </c>
      <c r="BL822" s="1">
        <v>45054</v>
      </c>
      <c r="BM822" s="1">
        <v>6.8129999999999997</v>
      </c>
      <c r="BN822" s="1">
        <v>45054</v>
      </c>
      <c r="BO822" s="1">
        <v>6.0650000000000004</v>
      </c>
      <c r="BP822" s="1">
        <v>45054</v>
      </c>
      <c r="BQ822" s="1">
        <v>5.423</v>
      </c>
      <c r="BR822" s="1">
        <v>45054</v>
      </c>
      <c r="BS822" s="1">
        <v>4.9379999999999997</v>
      </c>
      <c r="BT822" s="1">
        <v>45054</v>
      </c>
      <c r="BU822" s="1">
        <v>4.4729999999999999</v>
      </c>
      <c r="BV822" s="1">
        <v>45054</v>
      </c>
      <c r="BW822" s="1">
        <v>4.0750000000000002</v>
      </c>
      <c r="BY822" s="1">
        <v>45002</v>
      </c>
      <c r="BZ822" s="1">
        <v>13</v>
      </c>
      <c r="CA822" s="3">
        <v>44995</v>
      </c>
      <c r="CB822" s="1">
        <v>16.3</v>
      </c>
      <c r="CC822" s="1">
        <v>45054</v>
      </c>
      <c r="CD822" s="1">
        <v>15.57</v>
      </c>
      <c r="CE822" s="3">
        <v>45054</v>
      </c>
      <c r="CF822" s="1">
        <v>14.91</v>
      </c>
      <c r="CG822" s="1">
        <v>45054</v>
      </c>
      <c r="CH822" s="1">
        <v>14.4</v>
      </c>
      <c r="CI822" s="1">
        <v>45054</v>
      </c>
      <c r="CJ822" s="1">
        <v>12.6</v>
      </c>
      <c r="CK822" s="1">
        <v>45054</v>
      </c>
      <c r="CL822" s="1">
        <v>11.2</v>
      </c>
      <c r="CM822" s="1">
        <v>45054</v>
      </c>
      <c r="CN822" s="1">
        <v>9.85</v>
      </c>
      <c r="CO822" s="1">
        <v>45044</v>
      </c>
      <c r="CP822" s="1">
        <v>8.49</v>
      </c>
      <c r="CQ822" s="1">
        <v>45044</v>
      </c>
      <c r="CR822" s="1">
        <v>7.53</v>
      </c>
      <c r="CS822" s="1">
        <v>45044</v>
      </c>
      <c r="CT822" s="1">
        <v>6.8</v>
      </c>
    </row>
    <row r="823" spans="31:98" x14ac:dyDescent="0.2">
      <c r="AE823" s="1">
        <v>45043</v>
      </c>
      <c r="AF823" s="1">
        <v>6.75</v>
      </c>
      <c r="AG823" s="3">
        <v>45005</v>
      </c>
      <c r="AH823" s="1">
        <v>6.9</v>
      </c>
      <c r="AI823" s="1">
        <v>45051</v>
      </c>
      <c r="AJ823" s="2">
        <v>6.8579999999999997</v>
      </c>
      <c r="AK823" s="3">
        <v>45051</v>
      </c>
      <c r="AL823" s="2">
        <v>6.82</v>
      </c>
      <c r="AM823" s="1">
        <v>45051</v>
      </c>
      <c r="AN823" s="2">
        <v>6.7549999999999999</v>
      </c>
      <c r="AO823" s="1">
        <v>45051</v>
      </c>
      <c r="AP823" s="2">
        <v>6.42</v>
      </c>
      <c r="AQ823" s="1">
        <v>45051</v>
      </c>
      <c r="AR823" s="2">
        <v>5.9850000000000003</v>
      </c>
      <c r="AS823" s="1">
        <v>45051</v>
      </c>
      <c r="AT823" s="2">
        <v>5.62</v>
      </c>
      <c r="AU823" s="1">
        <v>45051</v>
      </c>
      <c r="AV823" s="2">
        <v>5.26</v>
      </c>
      <c r="AW823" s="1">
        <v>45051</v>
      </c>
      <c r="AX823" s="2">
        <v>4.9550000000000001</v>
      </c>
      <c r="AY823" s="1">
        <v>45051</v>
      </c>
      <c r="AZ823" s="2">
        <v>4.7</v>
      </c>
      <c r="BB823" s="1">
        <v>44986</v>
      </c>
      <c r="BC823" s="1">
        <v>7</v>
      </c>
      <c r="BD823" s="3">
        <v>45002</v>
      </c>
      <c r="BE823" s="1">
        <v>7.19</v>
      </c>
      <c r="BF823" s="1">
        <v>45051</v>
      </c>
      <c r="BG823" s="1">
        <v>7.22</v>
      </c>
      <c r="BH823" s="3">
        <v>45051</v>
      </c>
      <c r="BI823" s="1">
        <v>7.26</v>
      </c>
      <c r="BJ823" s="1">
        <v>45051</v>
      </c>
      <c r="BK823" s="1">
        <v>7.2480000000000002</v>
      </c>
      <c r="BL823" s="1">
        <v>45051</v>
      </c>
      <c r="BM823" s="1">
        <v>6.8129999999999997</v>
      </c>
      <c r="BN823" s="1">
        <v>45051</v>
      </c>
      <c r="BO823" s="1">
        <v>6.0650000000000004</v>
      </c>
      <c r="BP823" s="1">
        <v>45051</v>
      </c>
      <c r="BQ823" s="1">
        <v>5.423</v>
      </c>
      <c r="BR823" s="1">
        <v>45051</v>
      </c>
      <c r="BS823" s="1">
        <v>4.9379999999999997</v>
      </c>
      <c r="BT823" s="1">
        <v>45051</v>
      </c>
      <c r="BU823" s="1">
        <v>4.4729999999999999</v>
      </c>
      <c r="BV823" s="1">
        <v>45051</v>
      </c>
      <c r="BW823" s="1">
        <v>4.0750000000000002</v>
      </c>
      <c r="BY823" s="1">
        <v>45001</v>
      </c>
      <c r="BZ823" s="1">
        <v>13</v>
      </c>
      <c r="CA823" s="3">
        <v>44994</v>
      </c>
      <c r="CB823" s="1">
        <v>16.3</v>
      </c>
      <c r="CC823" s="1">
        <v>45051</v>
      </c>
      <c r="CD823" s="1">
        <v>15.57</v>
      </c>
      <c r="CE823" s="3">
        <v>45051</v>
      </c>
      <c r="CF823" s="1">
        <v>14.91</v>
      </c>
      <c r="CG823" s="1">
        <v>45051</v>
      </c>
      <c r="CH823" s="1">
        <v>14.4</v>
      </c>
      <c r="CI823" s="1">
        <v>45051</v>
      </c>
      <c r="CJ823" s="1">
        <v>12.6</v>
      </c>
      <c r="CK823" s="1">
        <v>45051</v>
      </c>
      <c r="CL823" s="1">
        <v>11.2</v>
      </c>
      <c r="CM823" s="1">
        <v>45051</v>
      </c>
      <c r="CN823" s="1">
        <v>9.85</v>
      </c>
      <c r="CO823" s="1">
        <v>45043</v>
      </c>
      <c r="CP823" s="1">
        <v>8.81</v>
      </c>
      <c r="CQ823" s="1">
        <v>45043</v>
      </c>
      <c r="CR823" s="1">
        <v>7.85</v>
      </c>
      <c r="CS823" s="1">
        <v>45043</v>
      </c>
      <c r="CT823" s="1">
        <v>7.09</v>
      </c>
    </row>
    <row r="824" spans="31:98" x14ac:dyDescent="0.2">
      <c r="AE824" s="1">
        <v>45042</v>
      </c>
      <c r="AF824" s="1">
        <v>6.75</v>
      </c>
      <c r="AG824" s="3">
        <v>45002</v>
      </c>
      <c r="AH824" s="1">
        <v>6.9</v>
      </c>
      <c r="AI824" s="1">
        <v>45050</v>
      </c>
      <c r="AJ824" s="2">
        <v>6.8414999999999999</v>
      </c>
      <c r="AK824" s="3">
        <v>45050</v>
      </c>
      <c r="AL824" s="2">
        <v>6.8</v>
      </c>
      <c r="AM824" s="1">
        <v>45050</v>
      </c>
      <c r="AN824" s="2">
        <v>6.7275</v>
      </c>
      <c r="AO824" s="1">
        <v>45050</v>
      </c>
      <c r="AP824" s="2">
        <v>6.3949999999999996</v>
      </c>
      <c r="AQ824" s="1">
        <v>45050</v>
      </c>
      <c r="AR824" s="2">
        <v>5.9550000000000001</v>
      </c>
      <c r="AS824" s="1">
        <v>45050</v>
      </c>
      <c r="AT824" s="2">
        <v>5.5449999999999999</v>
      </c>
      <c r="AU824" s="1">
        <v>45050</v>
      </c>
      <c r="AV824" s="2">
        <v>5.1950000000000003</v>
      </c>
      <c r="AW824" s="1">
        <v>45050</v>
      </c>
      <c r="AX824" s="2">
        <v>4.91</v>
      </c>
      <c r="AY824" s="1">
        <v>45050</v>
      </c>
      <c r="AZ824" s="2">
        <v>4.6500000000000004</v>
      </c>
      <c r="BB824" s="1">
        <v>44985</v>
      </c>
      <c r="BC824" s="1">
        <v>7</v>
      </c>
      <c r="BD824" s="3">
        <v>45001</v>
      </c>
      <c r="BE824" s="1">
        <v>7.19</v>
      </c>
      <c r="BF824" s="1">
        <v>45050</v>
      </c>
      <c r="BG824" s="1">
        <v>7.21</v>
      </c>
      <c r="BH824" s="3">
        <v>45050</v>
      </c>
      <c r="BI824" s="1">
        <v>7.26</v>
      </c>
      <c r="BJ824" s="1">
        <v>45050</v>
      </c>
      <c r="BK824" s="1">
        <v>7.25</v>
      </c>
      <c r="BL824" s="1">
        <v>45050</v>
      </c>
      <c r="BM824" s="1">
        <v>6.8</v>
      </c>
      <c r="BN824" s="1">
        <v>45050</v>
      </c>
      <c r="BO824" s="1">
        <v>6.04</v>
      </c>
      <c r="BP824" s="1">
        <v>45050</v>
      </c>
      <c r="BQ824" s="1">
        <v>5.4180000000000001</v>
      </c>
      <c r="BR824" s="1">
        <v>45050</v>
      </c>
      <c r="BS824" s="1">
        <v>4.93</v>
      </c>
      <c r="BT824" s="1">
        <v>45050</v>
      </c>
      <c r="BU824" s="1">
        <v>4.468</v>
      </c>
      <c r="BV824" s="1">
        <v>45050</v>
      </c>
      <c r="BW824" s="1">
        <v>4.0679999999999996</v>
      </c>
      <c r="BY824" s="1">
        <v>45000</v>
      </c>
      <c r="BZ824" s="1">
        <v>13</v>
      </c>
      <c r="CA824" s="3">
        <v>44993</v>
      </c>
      <c r="CB824" s="1">
        <v>16.29</v>
      </c>
      <c r="CC824" s="1">
        <v>45050</v>
      </c>
      <c r="CD824" s="1">
        <v>15.53</v>
      </c>
      <c r="CE824" s="3">
        <v>45050</v>
      </c>
      <c r="CF824" s="1">
        <v>14.83</v>
      </c>
      <c r="CG824" s="1">
        <v>45050</v>
      </c>
      <c r="CH824" s="1">
        <v>14.3</v>
      </c>
      <c r="CI824" s="1">
        <v>45050</v>
      </c>
      <c r="CJ824" s="1">
        <v>12.45</v>
      </c>
      <c r="CK824" s="1">
        <v>45050</v>
      </c>
      <c r="CL824" s="1">
        <v>11.05</v>
      </c>
      <c r="CM824" s="1">
        <v>45050</v>
      </c>
      <c r="CN824" s="1">
        <v>9.6999999999999993</v>
      </c>
      <c r="CO824" s="1">
        <v>45042</v>
      </c>
      <c r="CP824" s="1">
        <v>8.66</v>
      </c>
      <c r="CQ824" s="1">
        <v>45042</v>
      </c>
      <c r="CR824" s="1">
        <v>7.7</v>
      </c>
      <c r="CS824" s="1">
        <v>45042</v>
      </c>
      <c r="CT824" s="1">
        <v>6.94</v>
      </c>
    </row>
    <row r="825" spans="31:98" x14ac:dyDescent="0.2">
      <c r="AE825" s="1">
        <v>45041</v>
      </c>
      <c r="AF825" s="1">
        <v>6.75</v>
      </c>
      <c r="AG825" s="3">
        <v>45001</v>
      </c>
      <c r="AH825" s="1">
        <v>6.92</v>
      </c>
      <c r="AI825" s="1">
        <v>45049</v>
      </c>
      <c r="AJ825" s="2">
        <v>6.8585000000000003</v>
      </c>
      <c r="AK825" s="3">
        <v>45049</v>
      </c>
      <c r="AL825" s="2">
        <v>6.83</v>
      </c>
      <c r="AM825" s="1">
        <v>45049</v>
      </c>
      <c r="AN825" s="2">
        <v>6.75</v>
      </c>
      <c r="AO825" s="1">
        <v>45049</v>
      </c>
      <c r="AP825" s="2">
        <v>6.4450000000000003</v>
      </c>
      <c r="AQ825" s="1">
        <v>45049</v>
      </c>
      <c r="AR825" s="2">
        <v>6.05</v>
      </c>
      <c r="AS825" s="1">
        <v>45049</v>
      </c>
      <c r="AT825" s="2">
        <v>5.6849999999999996</v>
      </c>
      <c r="AU825" s="1">
        <v>45049</v>
      </c>
      <c r="AV825" s="2">
        <v>5.35</v>
      </c>
      <c r="AW825" s="1">
        <v>45049</v>
      </c>
      <c r="AX825" s="2">
        <v>5.0599999999999996</v>
      </c>
      <c r="AY825" s="1">
        <v>45049</v>
      </c>
      <c r="AZ825" s="2">
        <v>4.7949999999999999</v>
      </c>
      <c r="BB825" s="1">
        <v>44984</v>
      </c>
      <c r="BC825" s="1">
        <v>7</v>
      </c>
      <c r="BD825" s="3">
        <v>45000</v>
      </c>
      <c r="BE825" s="1">
        <v>7.2</v>
      </c>
      <c r="BF825" s="1">
        <v>45049</v>
      </c>
      <c r="BG825" s="1">
        <v>7.21</v>
      </c>
      <c r="BH825" s="3">
        <v>45049</v>
      </c>
      <c r="BI825" s="1">
        <v>7.23</v>
      </c>
      <c r="BJ825" s="1">
        <v>45049</v>
      </c>
      <c r="BK825" s="1">
        <v>7.26</v>
      </c>
      <c r="BL825" s="1">
        <v>45049</v>
      </c>
      <c r="BM825" s="1">
        <v>6.9</v>
      </c>
      <c r="BN825" s="1">
        <v>45049</v>
      </c>
      <c r="BO825" s="1">
        <v>6.36</v>
      </c>
      <c r="BP825" s="1">
        <v>45049</v>
      </c>
      <c r="BQ825" s="1">
        <v>5.69</v>
      </c>
      <c r="BR825" s="1">
        <v>45049</v>
      </c>
      <c r="BS825" s="1">
        <v>5.1630000000000003</v>
      </c>
      <c r="BT825" s="1">
        <v>45049</v>
      </c>
      <c r="BU825" s="1">
        <v>4.7350000000000003</v>
      </c>
      <c r="BV825" s="1">
        <v>45049</v>
      </c>
      <c r="BW825" s="1">
        <v>4.3650000000000002</v>
      </c>
      <c r="BY825" s="1">
        <v>44999</v>
      </c>
      <c r="BZ825" s="1">
        <v>13</v>
      </c>
      <c r="CA825" s="3">
        <v>44992</v>
      </c>
      <c r="CB825" s="1">
        <v>16.29</v>
      </c>
      <c r="CC825" s="1">
        <v>45049</v>
      </c>
      <c r="CD825" s="1">
        <v>15.55</v>
      </c>
      <c r="CE825" s="3">
        <v>45049</v>
      </c>
      <c r="CF825" s="1">
        <v>14.88</v>
      </c>
      <c r="CG825" s="1">
        <v>45049</v>
      </c>
      <c r="CH825" s="1">
        <v>14.35</v>
      </c>
      <c r="CI825" s="1">
        <v>45049</v>
      </c>
      <c r="CJ825" s="1">
        <v>12.6</v>
      </c>
      <c r="CK825" s="1">
        <v>45049</v>
      </c>
      <c r="CL825" s="1">
        <v>11.25</v>
      </c>
      <c r="CM825" s="1">
        <v>45049</v>
      </c>
      <c r="CN825" s="1">
        <v>9.5500000000000007</v>
      </c>
      <c r="CO825" s="1">
        <v>45041</v>
      </c>
      <c r="CP825" s="1">
        <v>8.69</v>
      </c>
      <c r="CQ825" s="1">
        <v>45041</v>
      </c>
      <c r="CR825" s="1">
        <v>7.73</v>
      </c>
      <c r="CS825" s="1">
        <v>45041</v>
      </c>
      <c r="CT825" s="1">
        <v>6.97</v>
      </c>
    </row>
    <row r="826" spans="31:98" x14ac:dyDescent="0.2">
      <c r="AE826" s="1">
        <v>45040</v>
      </c>
      <c r="AF826" s="1">
        <v>6.75</v>
      </c>
      <c r="AG826" s="3">
        <v>45000</v>
      </c>
      <c r="AH826" s="1">
        <v>6.92</v>
      </c>
      <c r="AI826" s="1">
        <v>45048</v>
      </c>
      <c r="AJ826" s="2">
        <v>6.8585000000000003</v>
      </c>
      <c r="AK826" s="3">
        <v>45048</v>
      </c>
      <c r="AL826" s="2">
        <v>6.83</v>
      </c>
      <c r="AM826" s="1">
        <v>45048</v>
      </c>
      <c r="AN826" s="2">
        <v>6.75</v>
      </c>
      <c r="AO826" s="1">
        <v>45048</v>
      </c>
      <c r="AP826" s="2">
        <v>6.4450000000000003</v>
      </c>
      <c r="AQ826" s="1">
        <v>45048</v>
      </c>
      <c r="AR826" s="2">
        <v>6.05</v>
      </c>
      <c r="AS826" s="1">
        <v>45048</v>
      </c>
      <c r="AT826" s="2">
        <v>5.6849999999999996</v>
      </c>
      <c r="AU826" s="1">
        <v>45048</v>
      </c>
      <c r="AV826" s="2">
        <v>5.35</v>
      </c>
      <c r="AW826" s="1">
        <v>45048</v>
      </c>
      <c r="AX826" s="2">
        <v>5.0599999999999996</v>
      </c>
      <c r="AY826" s="1">
        <v>45048</v>
      </c>
      <c r="AZ826" s="2">
        <v>4.7949999999999999</v>
      </c>
      <c r="BB826" s="1">
        <v>44981</v>
      </c>
      <c r="BC826" s="1">
        <v>7</v>
      </c>
      <c r="BD826" s="3">
        <v>44999</v>
      </c>
      <c r="BE826" s="1">
        <v>7.19</v>
      </c>
      <c r="BF826" s="1">
        <v>45048</v>
      </c>
      <c r="BG826" s="1">
        <v>7.19</v>
      </c>
      <c r="BH826" s="3">
        <v>45048</v>
      </c>
      <c r="BI826" s="1">
        <v>7.2030000000000003</v>
      </c>
      <c r="BJ826" s="1">
        <v>45048</v>
      </c>
      <c r="BK826" s="1">
        <v>7.19</v>
      </c>
      <c r="BL826" s="1">
        <v>45048</v>
      </c>
      <c r="BM826" s="1">
        <v>6.6550000000000002</v>
      </c>
      <c r="BN826" s="1">
        <v>45048</v>
      </c>
      <c r="BO826" s="1">
        <v>6.0449999999999999</v>
      </c>
      <c r="BP826" s="1">
        <v>45048</v>
      </c>
      <c r="BQ826" s="1">
        <v>5.31</v>
      </c>
      <c r="BR826" s="1">
        <v>45048</v>
      </c>
      <c r="BS826" s="1">
        <v>4.76</v>
      </c>
      <c r="BT826" s="1">
        <v>45048</v>
      </c>
      <c r="BU826" s="1">
        <v>4.34</v>
      </c>
      <c r="BV826" s="1">
        <v>45048</v>
      </c>
      <c r="BW826" s="1">
        <v>3.98</v>
      </c>
      <c r="BY826" s="1">
        <v>44998</v>
      </c>
      <c r="BZ826" s="1">
        <v>13</v>
      </c>
      <c r="CA826" s="3">
        <v>44991</v>
      </c>
      <c r="CB826" s="1">
        <v>16.29</v>
      </c>
      <c r="CC826" s="1">
        <v>45048</v>
      </c>
      <c r="CD826" s="1">
        <v>15.54</v>
      </c>
      <c r="CE826" s="3">
        <v>45048</v>
      </c>
      <c r="CF826" s="1">
        <v>14.87</v>
      </c>
      <c r="CG826" s="1">
        <v>45048</v>
      </c>
      <c r="CH826" s="1">
        <v>14.3</v>
      </c>
      <c r="CI826" s="1">
        <v>45048</v>
      </c>
      <c r="CJ826" s="1">
        <v>12.5</v>
      </c>
      <c r="CK826" s="1">
        <v>45048</v>
      </c>
      <c r="CL826" s="1">
        <v>11.1</v>
      </c>
      <c r="CM826" s="1">
        <v>45048</v>
      </c>
      <c r="CN826" s="1">
        <v>9.5500000000000007</v>
      </c>
      <c r="CO826" s="1">
        <v>45040</v>
      </c>
      <c r="CP826" s="1">
        <v>8.6300000000000008</v>
      </c>
      <c r="CQ826" s="1">
        <v>45040</v>
      </c>
      <c r="CR826" s="1">
        <v>7.67</v>
      </c>
      <c r="CS826" s="1">
        <v>45040</v>
      </c>
      <c r="CT826" s="1">
        <v>6.91</v>
      </c>
    </row>
    <row r="827" spans="31:98" x14ac:dyDescent="0.2">
      <c r="AE827" s="1">
        <v>45037</v>
      </c>
      <c r="AF827" s="1">
        <v>6.75</v>
      </c>
      <c r="AG827" s="3">
        <v>44999</v>
      </c>
      <c r="AH827" s="1">
        <v>6.93</v>
      </c>
      <c r="AI827" s="1">
        <v>45047</v>
      </c>
      <c r="AJ827" s="2">
        <v>6.87</v>
      </c>
      <c r="AK827" s="3">
        <v>45047</v>
      </c>
      <c r="AL827" s="2">
        <v>6.8449999999999998</v>
      </c>
      <c r="AM827" s="1">
        <v>45047</v>
      </c>
      <c r="AN827" s="2">
        <v>6.79</v>
      </c>
      <c r="AO827" s="1">
        <v>45047</v>
      </c>
      <c r="AP827" s="2">
        <v>6.54</v>
      </c>
      <c r="AQ827" s="1">
        <v>45047</v>
      </c>
      <c r="AR827" s="2">
        <v>6.15</v>
      </c>
      <c r="AS827" s="1">
        <v>45047</v>
      </c>
      <c r="AT827" s="2">
        <v>5.79</v>
      </c>
      <c r="AU827" s="1">
        <v>45047</v>
      </c>
      <c r="AV827" s="2">
        <v>5.47</v>
      </c>
      <c r="AW827" s="1">
        <v>45047</v>
      </c>
      <c r="AX827" s="2">
        <v>5.19</v>
      </c>
      <c r="AY827" s="1">
        <v>45047</v>
      </c>
      <c r="AZ827" s="2">
        <v>4.93</v>
      </c>
      <c r="BB827" s="1">
        <v>44980</v>
      </c>
      <c r="BC827" s="1">
        <v>7</v>
      </c>
      <c r="BD827" s="3">
        <v>44998</v>
      </c>
      <c r="BE827" s="1">
        <v>7.2</v>
      </c>
      <c r="BF827" s="1">
        <v>45047</v>
      </c>
      <c r="BG827" s="1">
        <v>7.1950000000000003</v>
      </c>
      <c r="BH827" s="3">
        <v>45047</v>
      </c>
      <c r="BI827" s="1">
        <v>7.1760000000000002</v>
      </c>
      <c r="BJ827" s="1">
        <v>45047</v>
      </c>
      <c r="BK827" s="1">
        <v>7.15</v>
      </c>
      <c r="BL827" s="1">
        <v>45047</v>
      </c>
      <c r="BM827" s="1">
        <v>6.6749999999999998</v>
      </c>
      <c r="BN827" s="1">
        <v>45047</v>
      </c>
      <c r="BO827" s="1">
        <v>6.01</v>
      </c>
      <c r="BP827" s="1">
        <v>45047</v>
      </c>
      <c r="BQ827" s="1">
        <v>5.335</v>
      </c>
      <c r="BR827" s="1">
        <v>45047</v>
      </c>
      <c r="BS827" s="1">
        <v>4.7949999999999999</v>
      </c>
      <c r="BT827" s="1">
        <v>45047</v>
      </c>
      <c r="BU827" s="1">
        <v>4.3899999999999997</v>
      </c>
      <c r="BV827" s="1">
        <v>45047</v>
      </c>
      <c r="BW827" s="1">
        <v>4.0449999999999999</v>
      </c>
      <c r="BY827" s="1">
        <v>44995</v>
      </c>
      <c r="BZ827" s="1">
        <v>13</v>
      </c>
      <c r="CA827" s="3">
        <v>44988</v>
      </c>
      <c r="CB827" s="1">
        <v>16.29</v>
      </c>
      <c r="CC827" s="1">
        <v>45047</v>
      </c>
      <c r="CD827" s="1">
        <v>15.6014</v>
      </c>
      <c r="CE827" s="3">
        <v>45047</v>
      </c>
      <c r="CF827" s="1">
        <v>14.950100000000001</v>
      </c>
      <c r="CG827" s="1">
        <v>45047</v>
      </c>
      <c r="CH827" s="1">
        <v>14.3916</v>
      </c>
      <c r="CI827" s="1">
        <v>45047</v>
      </c>
      <c r="CJ827" s="1">
        <v>12.5945</v>
      </c>
      <c r="CK827" s="1">
        <v>45047</v>
      </c>
      <c r="CL827" s="1">
        <v>11.1913</v>
      </c>
      <c r="CM827" s="1">
        <v>45047</v>
      </c>
      <c r="CN827" s="1">
        <v>9.65</v>
      </c>
      <c r="CO827" s="1">
        <v>45037</v>
      </c>
      <c r="CP827" s="1">
        <v>8.89</v>
      </c>
      <c r="CQ827" s="1">
        <v>45037</v>
      </c>
      <c r="CR827" s="1">
        <v>8.01</v>
      </c>
      <c r="CS827" s="1">
        <v>45037</v>
      </c>
      <c r="CT827" s="1">
        <v>7.25</v>
      </c>
    </row>
    <row r="828" spans="31:98" x14ac:dyDescent="0.2">
      <c r="AE828" s="1">
        <v>45036</v>
      </c>
      <c r="AF828" s="1">
        <v>6.75</v>
      </c>
      <c r="AG828" s="3">
        <v>44998</v>
      </c>
      <c r="AH828" s="1">
        <v>6.92</v>
      </c>
      <c r="AI828" s="1">
        <v>45044</v>
      </c>
      <c r="AJ828" s="2">
        <v>6.87</v>
      </c>
      <c r="AK828" s="3">
        <v>45044</v>
      </c>
      <c r="AL828" s="2">
        <v>6.8449999999999998</v>
      </c>
      <c r="AM828" s="1">
        <v>45044</v>
      </c>
      <c r="AN828" s="2">
        <v>6.79</v>
      </c>
      <c r="AO828" s="1">
        <v>45044</v>
      </c>
      <c r="AP828" s="2">
        <v>6.54</v>
      </c>
      <c r="AQ828" s="1">
        <v>45044</v>
      </c>
      <c r="AR828" s="2">
        <v>6.15</v>
      </c>
      <c r="AS828" s="1">
        <v>45044</v>
      </c>
      <c r="AT828" s="2">
        <v>5.79</v>
      </c>
      <c r="AU828" s="1">
        <v>45044</v>
      </c>
      <c r="AV828" s="2">
        <v>5.47</v>
      </c>
      <c r="AW828" s="1">
        <v>45044</v>
      </c>
      <c r="AX828" s="2">
        <v>5.19</v>
      </c>
      <c r="AY828" s="1">
        <v>45044</v>
      </c>
      <c r="AZ828" s="2">
        <v>4.93</v>
      </c>
      <c r="BB828" s="1">
        <v>44979</v>
      </c>
      <c r="BC828" s="1">
        <v>7</v>
      </c>
      <c r="BD828" s="3">
        <v>44995</v>
      </c>
      <c r="BE828" s="1">
        <v>7.2</v>
      </c>
      <c r="BF828" s="1">
        <v>45044</v>
      </c>
      <c r="BG828" s="1">
        <v>7.19</v>
      </c>
      <c r="BH828" s="3">
        <v>45044</v>
      </c>
      <c r="BI828" s="1">
        <v>7.1749999999999998</v>
      </c>
      <c r="BJ828" s="1">
        <v>45044</v>
      </c>
      <c r="BK828" s="1">
        <v>7.15</v>
      </c>
      <c r="BL828" s="1">
        <v>45044</v>
      </c>
      <c r="BM828" s="1">
        <v>6.6749999999999998</v>
      </c>
      <c r="BN828" s="1">
        <v>45044</v>
      </c>
      <c r="BO828" s="1">
        <v>6.01</v>
      </c>
      <c r="BP828" s="1">
        <v>45044</v>
      </c>
      <c r="BQ828" s="1">
        <v>5.335</v>
      </c>
      <c r="BR828" s="1">
        <v>45044</v>
      </c>
      <c r="BS828" s="1">
        <v>4.7949999999999999</v>
      </c>
      <c r="BT828" s="1">
        <v>45044</v>
      </c>
      <c r="BU828" s="1">
        <v>4.3899999999999997</v>
      </c>
      <c r="BV828" s="1">
        <v>45044</v>
      </c>
      <c r="BW828" s="1">
        <v>4.0449999999999999</v>
      </c>
      <c r="BY828" s="1">
        <v>44994</v>
      </c>
      <c r="BZ828" s="1">
        <v>13</v>
      </c>
      <c r="CA828" s="3">
        <v>44987</v>
      </c>
      <c r="CB828" s="1">
        <v>16.29</v>
      </c>
      <c r="CC828" s="1">
        <v>45044</v>
      </c>
      <c r="CD828" s="1">
        <v>15.54</v>
      </c>
      <c r="CE828" s="3">
        <v>45044</v>
      </c>
      <c r="CF828" s="1">
        <v>14.9</v>
      </c>
      <c r="CG828" s="1">
        <v>45044</v>
      </c>
      <c r="CH828" s="1">
        <v>14.35</v>
      </c>
      <c r="CI828" s="1">
        <v>45044</v>
      </c>
      <c r="CJ828" s="1">
        <v>12.55</v>
      </c>
      <c r="CK828" s="1">
        <v>45044</v>
      </c>
      <c r="CL828" s="1">
        <v>11.15</v>
      </c>
      <c r="CM828" s="1">
        <v>45044</v>
      </c>
      <c r="CN828" s="1">
        <v>9.65</v>
      </c>
      <c r="CO828" s="1">
        <v>45036</v>
      </c>
      <c r="CP828" s="1">
        <v>9.0500000000000007</v>
      </c>
      <c r="CQ828" s="1">
        <v>45036</v>
      </c>
      <c r="CR828" s="1">
        <v>8.25</v>
      </c>
      <c r="CS828" s="1">
        <v>45036</v>
      </c>
      <c r="CT828" s="1">
        <v>7.53</v>
      </c>
    </row>
    <row r="829" spans="31:98" x14ac:dyDescent="0.2">
      <c r="AE829" s="1">
        <v>45035</v>
      </c>
      <c r="AF829" s="1">
        <v>6.75</v>
      </c>
      <c r="AG829" s="3">
        <v>44995</v>
      </c>
      <c r="AH829" s="1">
        <v>6.93</v>
      </c>
      <c r="AI829" s="1">
        <v>45043</v>
      </c>
      <c r="AJ829" s="2">
        <v>6.8734999999999999</v>
      </c>
      <c r="AK829" s="3">
        <v>45043</v>
      </c>
      <c r="AL829" s="2">
        <v>6.8550000000000004</v>
      </c>
      <c r="AM829" s="1">
        <v>45043</v>
      </c>
      <c r="AN829" s="2">
        <v>6.81</v>
      </c>
      <c r="AO829" s="1">
        <v>45043</v>
      </c>
      <c r="AP829" s="2">
        <v>6.63</v>
      </c>
      <c r="AQ829" s="1">
        <v>45043</v>
      </c>
      <c r="AR829" s="2">
        <v>6.27</v>
      </c>
      <c r="AS829" s="1">
        <v>45043</v>
      </c>
      <c r="AT829" s="2">
        <v>5.9249999999999998</v>
      </c>
      <c r="AU829" s="1">
        <v>45043</v>
      </c>
      <c r="AV829" s="2">
        <v>5.61</v>
      </c>
      <c r="AW829" s="1">
        <v>45043</v>
      </c>
      <c r="AX829" s="2">
        <v>5.32</v>
      </c>
      <c r="AY829" s="1">
        <v>45043</v>
      </c>
      <c r="AZ829" s="2">
        <v>5.0350000000000001</v>
      </c>
      <c r="BB829" s="1">
        <v>44978</v>
      </c>
      <c r="BC829" s="1">
        <v>7</v>
      </c>
      <c r="BD829" s="3">
        <v>44994</v>
      </c>
      <c r="BE829" s="1">
        <v>7.2</v>
      </c>
      <c r="BF829" s="1">
        <v>45043</v>
      </c>
      <c r="BG829" s="1">
        <v>7.19</v>
      </c>
      <c r="BH829" s="3">
        <v>45043</v>
      </c>
      <c r="BI829" s="1">
        <v>7.1849999999999996</v>
      </c>
      <c r="BJ829" s="1">
        <v>45043</v>
      </c>
      <c r="BK829" s="1">
        <v>7.173</v>
      </c>
      <c r="BL829" s="1">
        <v>45043</v>
      </c>
      <c r="BM829" s="1">
        <v>6.81</v>
      </c>
      <c r="BN829" s="1">
        <v>45043</v>
      </c>
      <c r="BO829" s="1">
        <v>6.125</v>
      </c>
      <c r="BP829" s="1">
        <v>45043</v>
      </c>
      <c r="BQ829" s="1">
        <v>5.43</v>
      </c>
      <c r="BR829" s="1">
        <v>45043</v>
      </c>
      <c r="BS829" s="1">
        <v>4.8949999999999996</v>
      </c>
      <c r="BT829" s="1">
        <v>45043</v>
      </c>
      <c r="BU829" s="1">
        <v>4.4749999999999996</v>
      </c>
      <c r="BV829" s="1">
        <v>45043</v>
      </c>
      <c r="BW829" s="1">
        <v>4.1399999999999997</v>
      </c>
      <c r="BY829" s="1">
        <v>44993</v>
      </c>
      <c r="BZ829" s="1">
        <v>13</v>
      </c>
      <c r="CA829" s="3">
        <v>44986</v>
      </c>
      <c r="CB829" s="1">
        <v>16.29</v>
      </c>
      <c r="CC829" s="1">
        <v>45043</v>
      </c>
      <c r="CD829" s="1">
        <v>15.6</v>
      </c>
      <c r="CE829" s="3">
        <v>45043</v>
      </c>
      <c r="CF829" s="1">
        <v>14.93</v>
      </c>
      <c r="CG829" s="1">
        <v>45043</v>
      </c>
      <c r="CH829" s="1">
        <v>14.5</v>
      </c>
      <c r="CI829" s="1">
        <v>45043</v>
      </c>
      <c r="CJ829" s="1">
        <v>12.7</v>
      </c>
      <c r="CK829" s="1">
        <v>45043</v>
      </c>
      <c r="CL829" s="1">
        <v>11.3</v>
      </c>
      <c r="CM829" s="1">
        <v>45043</v>
      </c>
      <c r="CN829" s="1">
        <v>9.9700000000000006</v>
      </c>
      <c r="CO829" s="1">
        <v>45035</v>
      </c>
      <c r="CP829" s="1">
        <v>9.3800000000000008</v>
      </c>
      <c r="CQ829" s="1">
        <v>45035</v>
      </c>
      <c r="CR829" s="1">
        <v>8.59</v>
      </c>
      <c r="CS829" s="1">
        <v>45035</v>
      </c>
      <c r="CT829" s="1">
        <v>7.87</v>
      </c>
    </row>
    <row r="830" spans="31:98" x14ac:dyDescent="0.2">
      <c r="AE830" s="1">
        <v>45034</v>
      </c>
      <c r="AF830" s="1">
        <v>6.75</v>
      </c>
      <c r="AG830" s="3">
        <v>44994</v>
      </c>
      <c r="AH830" s="1">
        <v>6.93</v>
      </c>
      <c r="AI830" s="1">
        <v>45042</v>
      </c>
      <c r="AJ830" s="2">
        <v>6.87</v>
      </c>
      <c r="AK830" s="3">
        <v>45042</v>
      </c>
      <c r="AL830" s="2">
        <v>6.86</v>
      </c>
      <c r="AM830" s="1">
        <v>45042</v>
      </c>
      <c r="AN830" s="2">
        <v>6.8049999999999997</v>
      </c>
      <c r="AO830" s="1">
        <v>45042</v>
      </c>
      <c r="AP830" s="2">
        <v>6.6050000000000004</v>
      </c>
      <c r="AQ830" s="1">
        <v>45042</v>
      </c>
      <c r="AR830" s="2">
        <v>6.2450000000000001</v>
      </c>
      <c r="AS830" s="1">
        <v>45042</v>
      </c>
      <c r="AT830" s="2">
        <v>5.8949999999999996</v>
      </c>
      <c r="AU830" s="1">
        <v>45042</v>
      </c>
      <c r="AV830" s="2">
        <v>5.5949999999999998</v>
      </c>
      <c r="AW830" s="1">
        <v>45042</v>
      </c>
      <c r="AX830" s="2">
        <v>5.3150000000000004</v>
      </c>
      <c r="AY830" s="1">
        <v>45042</v>
      </c>
      <c r="AZ830" s="2">
        <v>5.04</v>
      </c>
      <c r="BB830" s="1">
        <v>44977</v>
      </c>
      <c r="BC830" s="1">
        <v>7</v>
      </c>
      <c r="BD830" s="3">
        <v>44993</v>
      </c>
      <c r="BE830" s="1">
        <v>7.2</v>
      </c>
      <c r="BF830" s="1">
        <v>45042</v>
      </c>
      <c r="BG830" s="1">
        <v>7.1849999999999996</v>
      </c>
      <c r="BH830" s="3">
        <v>45042</v>
      </c>
      <c r="BI830" s="1">
        <v>7.1849999999999996</v>
      </c>
      <c r="BJ830" s="1">
        <v>45042</v>
      </c>
      <c r="BK830" s="1">
        <v>7.16</v>
      </c>
      <c r="BL830" s="1">
        <v>45042</v>
      </c>
      <c r="BM830" s="1">
        <v>6.75</v>
      </c>
      <c r="BN830" s="1">
        <v>45042</v>
      </c>
      <c r="BO830" s="1">
        <v>6.0149999999999997</v>
      </c>
      <c r="BP830" s="1">
        <v>45042</v>
      </c>
      <c r="BQ830" s="1">
        <v>5.2850000000000001</v>
      </c>
      <c r="BR830" s="1">
        <v>45042</v>
      </c>
      <c r="BS830" s="1">
        <v>4.7380000000000004</v>
      </c>
      <c r="BT830" s="1">
        <v>45042</v>
      </c>
      <c r="BU830" s="1">
        <v>4.3099999999999996</v>
      </c>
      <c r="BV830" s="1">
        <v>45042</v>
      </c>
      <c r="BW830" s="1">
        <v>3.9780000000000002</v>
      </c>
      <c r="BY830" s="1">
        <v>44992</v>
      </c>
      <c r="BZ830" s="1">
        <v>13</v>
      </c>
      <c r="CA830" s="3">
        <v>44985</v>
      </c>
      <c r="CB830" s="1">
        <v>16.28</v>
      </c>
      <c r="CC830" s="1">
        <v>45042</v>
      </c>
      <c r="CD830" s="1">
        <v>15.59</v>
      </c>
      <c r="CE830" s="3">
        <v>45042</v>
      </c>
      <c r="CF830" s="1">
        <v>14.9</v>
      </c>
      <c r="CG830" s="1">
        <v>45042</v>
      </c>
      <c r="CH830" s="1">
        <v>14.45</v>
      </c>
      <c r="CI830" s="1">
        <v>45042</v>
      </c>
      <c r="CJ830" s="1">
        <v>12.6</v>
      </c>
      <c r="CK830" s="1">
        <v>45042</v>
      </c>
      <c r="CL830" s="1">
        <v>11.15</v>
      </c>
      <c r="CM830" s="1">
        <v>45042</v>
      </c>
      <c r="CN830" s="1">
        <v>9.82</v>
      </c>
      <c r="CO830" s="1">
        <v>45034</v>
      </c>
      <c r="CP830" s="1">
        <v>10.01</v>
      </c>
      <c r="CQ830" s="1">
        <v>45034</v>
      </c>
      <c r="CR830" s="1">
        <v>9.1300000000000008</v>
      </c>
      <c r="CS830" s="1">
        <v>45034</v>
      </c>
      <c r="CT830" s="1">
        <v>8.34</v>
      </c>
    </row>
    <row r="831" spans="31:98" x14ac:dyDescent="0.2">
      <c r="AE831" s="1">
        <v>45033</v>
      </c>
      <c r="AF831" s="1">
        <v>6.75</v>
      </c>
      <c r="AG831" s="3">
        <v>44993</v>
      </c>
      <c r="AH831" s="1">
        <v>6.93</v>
      </c>
      <c r="AI831" s="1">
        <v>45041</v>
      </c>
      <c r="AJ831" s="2">
        <v>6.8654999999999999</v>
      </c>
      <c r="AK831" s="3">
        <v>45041</v>
      </c>
      <c r="AL831" s="2">
        <v>6.85</v>
      </c>
      <c r="AM831" s="1">
        <v>45041</v>
      </c>
      <c r="AN831" s="2">
        <v>6.7949999999999999</v>
      </c>
      <c r="AO831" s="1">
        <v>45041</v>
      </c>
      <c r="AP831" s="2">
        <v>6.6150000000000002</v>
      </c>
      <c r="AQ831" s="1">
        <v>45041</v>
      </c>
      <c r="AR831" s="2">
        <v>6.24</v>
      </c>
      <c r="AS831" s="1">
        <v>45041</v>
      </c>
      <c r="AT831" s="2">
        <v>5.8949999999999996</v>
      </c>
      <c r="AU831" s="1">
        <v>45041</v>
      </c>
      <c r="AV831" s="2">
        <v>5.5949999999999998</v>
      </c>
      <c r="AW831" s="1">
        <v>45041</v>
      </c>
      <c r="AX831" s="2">
        <v>5.3150000000000004</v>
      </c>
      <c r="AY831" s="1">
        <v>45041</v>
      </c>
      <c r="AZ831" s="2">
        <v>5.04</v>
      </c>
      <c r="BB831" s="1">
        <v>44974</v>
      </c>
      <c r="BC831" s="1">
        <v>7</v>
      </c>
      <c r="BD831" s="3">
        <v>44992</v>
      </c>
      <c r="BE831" s="1">
        <v>7.2</v>
      </c>
      <c r="BF831" s="1">
        <v>45041</v>
      </c>
      <c r="BG831" s="1">
        <v>7.18</v>
      </c>
      <c r="BH831" s="3">
        <v>45041</v>
      </c>
      <c r="BI831" s="1">
        <v>7.1749999999999998</v>
      </c>
      <c r="BJ831" s="1">
        <v>45041</v>
      </c>
      <c r="BK831" s="1">
        <v>7.13</v>
      </c>
      <c r="BL831" s="1">
        <v>45041</v>
      </c>
      <c r="BM831" s="1">
        <v>6.71</v>
      </c>
      <c r="BN831" s="1">
        <v>45041</v>
      </c>
      <c r="BO831" s="1">
        <v>6.0030000000000001</v>
      </c>
      <c r="BP831" s="1">
        <v>45041</v>
      </c>
      <c r="BQ831" s="1">
        <v>5.2850000000000001</v>
      </c>
      <c r="BR831" s="1">
        <v>45041</v>
      </c>
      <c r="BS831" s="1">
        <v>4.7850000000000001</v>
      </c>
      <c r="BT831" s="1">
        <v>45041</v>
      </c>
      <c r="BU831" s="1">
        <v>4.3979999999999997</v>
      </c>
      <c r="BV831" s="1">
        <v>45041</v>
      </c>
      <c r="BW831" s="1">
        <v>4.08</v>
      </c>
      <c r="BY831" s="1">
        <v>44991</v>
      </c>
      <c r="BZ831" s="1">
        <v>13</v>
      </c>
      <c r="CA831" s="3">
        <v>44984</v>
      </c>
      <c r="CB831" s="1">
        <v>16.28</v>
      </c>
      <c r="CC831" s="1">
        <v>45041</v>
      </c>
      <c r="CD831" s="1">
        <v>15.63</v>
      </c>
      <c r="CE831" s="3">
        <v>45041</v>
      </c>
      <c r="CF831" s="1">
        <v>14.86</v>
      </c>
      <c r="CG831" s="1">
        <v>45041</v>
      </c>
      <c r="CH831" s="1">
        <v>14.6</v>
      </c>
      <c r="CI831" s="1">
        <v>45041</v>
      </c>
      <c r="CJ831" s="1">
        <v>12.7</v>
      </c>
      <c r="CK831" s="1">
        <v>45041</v>
      </c>
      <c r="CL831" s="1">
        <v>11.25</v>
      </c>
      <c r="CM831" s="1">
        <v>45041</v>
      </c>
      <c r="CN831" s="1">
        <v>9.8800000000000008</v>
      </c>
      <c r="CO831" s="1">
        <v>45033</v>
      </c>
      <c r="CP831" s="1">
        <v>10.01</v>
      </c>
      <c r="CQ831" s="1">
        <v>45033</v>
      </c>
      <c r="CR831" s="1">
        <v>9.1300000000000008</v>
      </c>
      <c r="CS831" s="1">
        <v>45033</v>
      </c>
      <c r="CT831" s="1">
        <v>8.34</v>
      </c>
    </row>
    <row r="832" spans="31:98" x14ac:dyDescent="0.2">
      <c r="AE832" s="1">
        <v>45030</v>
      </c>
      <c r="AF832" s="1">
        <v>6.75</v>
      </c>
      <c r="AG832" s="3">
        <v>44992</v>
      </c>
      <c r="AH832" s="1">
        <v>6.94</v>
      </c>
      <c r="AI832" s="1">
        <v>45040</v>
      </c>
      <c r="AJ832" s="2">
        <v>6.8769999999999998</v>
      </c>
      <c r="AK832" s="3">
        <v>45040</v>
      </c>
      <c r="AL832" s="2">
        <v>6.87</v>
      </c>
      <c r="AM832" s="1">
        <v>45040</v>
      </c>
      <c r="AN832" s="2">
        <v>6.83</v>
      </c>
      <c r="AO832" s="1">
        <v>45040</v>
      </c>
      <c r="AP832" s="2">
        <v>6.72</v>
      </c>
      <c r="AQ832" s="1">
        <v>45040</v>
      </c>
      <c r="AR832" s="2">
        <v>6.38</v>
      </c>
      <c r="AS832" s="1">
        <v>45040</v>
      </c>
      <c r="AT832" s="2">
        <v>6.0350000000000001</v>
      </c>
      <c r="AU832" s="1">
        <v>45040</v>
      </c>
      <c r="AV832" s="2">
        <v>5.74</v>
      </c>
      <c r="AW832" s="1">
        <v>45040</v>
      </c>
      <c r="AX832" s="2">
        <v>5.46</v>
      </c>
      <c r="AY832" s="1">
        <v>45040</v>
      </c>
      <c r="AZ832" s="2">
        <v>5.1849999999999996</v>
      </c>
      <c r="BB832" s="1">
        <v>44973</v>
      </c>
      <c r="BC832" s="1">
        <v>7</v>
      </c>
      <c r="BD832" s="3">
        <v>44991</v>
      </c>
      <c r="BE832" s="1">
        <v>7.2</v>
      </c>
      <c r="BF832" s="1">
        <v>45040</v>
      </c>
      <c r="BG832" s="1">
        <v>7.2149999999999999</v>
      </c>
      <c r="BH832" s="3">
        <v>45040</v>
      </c>
      <c r="BI832" s="1">
        <v>7.1980000000000004</v>
      </c>
      <c r="BJ832" s="1">
        <v>45040</v>
      </c>
      <c r="BK832" s="1">
        <v>7.1749999999999998</v>
      </c>
      <c r="BL832" s="1">
        <v>45040</v>
      </c>
      <c r="BM832" s="1">
        <v>6.8550000000000004</v>
      </c>
      <c r="BN832" s="1">
        <v>45040</v>
      </c>
      <c r="BO832" s="1">
        <v>6.1950000000000003</v>
      </c>
      <c r="BP832" s="1">
        <v>45040</v>
      </c>
      <c r="BQ832" s="1">
        <v>5.51</v>
      </c>
      <c r="BR832" s="1">
        <v>45040</v>
      </c>
      <c r="BS832" s="1">
        <v>5.0199999999999996</v>
      </c>
      <c r="BT832" s="1">
        <v>45040</v>
      </c>
      <c r="BU832" s="1">
        <v>4.62</v>
      </c>
      <c r="BV832" s="1">
        <v>45040</v>
      </c>
      <c r="BW832" s="1">
        <v>4.29</v>
      </c>
      <c r="BY832" s="1">
        <v>44988</v>
      </c>
      <c r="BZ832" s="1">
        <v>13</v>
      </c>
      <c r="CA832" s="3">
        <v>44981</v>
      </c>
      <c r="CB832" s="1">
        <v>16.3</v>
      </c>
      <c r="CC832" s="1">
        <v>45040</v>
      </c>
      <c r="CD832" s="1">
        <v>15.72</v>
      </c>
      <c r="CE832" s="3">
        <v>45040</v>
      </c>
      <c r="CF832" s="1">
        <v>14.92</v>
      </c>
      <c r="CG832" s="1">
        <v>45040</v>
      </c>
      <c r="CH832" s="1">
        <v>14.55</v>
      </c>
      <c r="CI832" s="1">
        <v>45040</v>
      </c>
      <c r="CJ832" s="1">
        <v>12.7</v>
      </c>
      <c r="CK832" s="1">
        <v>45040</v>
      </c>
      <c r="CL832" s="1">
        <v>11.3</v>
      </c>
      <c r="CM832" s="1">
        <v>45040</v>
      </c>
      <c r="CN832" s="1">
        <v>9.82</v>
      </c>
      <c r="CO832" s="1">
        <v>45030</v>
      </c>
      <c r="CP832" s="1">
        <v>9.92</v>
      </c>
      <c r="CQ832" s="1">
        <v>45030</v>
      </c>
      <c r="CR832" s="1">
        <v>9.0399999999999991</v>
      </c>
      <c r="CS832" s="1">
        <v>45030</v>
      </c>
      <c r="CT832" s="1">
        <v>8.25</v>
      </c>
    </row>
    <row r="833" spans="31:98" x14ac:dyDescent="0.2">
      <c r="AE833" s="1">
        <v>45029</v>
      </c>
      <c r="AF833" s="1">
        <v>6.75</v>
      </c>
      <c r="AG833" s="3">
        <v>44991</v>
      </c>
      <c r="AH833" s="1">
        <v>6.94</v>
      </c>
      <c r="AI833" s="1">
        <v>45037</v>
      </c>
      <c r="AJ833" s="2">
        <v>6.8784999999999998</v>
      </c>
      <c r="AK833" s="3">
        <v>45037</v>
      </c>
      <c r="AL833" s="2">
        <v>6.875</v>
      </c>
      <c r="AM833" s="1">
        <v>45037</v>
      </c>
      <c r="AN833" s="2">
        <v>6.84</v>
      </c>
      <c r="AO833" s="1">
        <v>45037</v>
      </c>
      <c r="AP833" s="2">
        <v>6.7249999999999996</v>
      </c>
      <c r="AQ833" s="1">
        <v>45037</v>
      </c>
      <c r="AR833" s="2">
        <v>6.3949999999999996</v>
      </c>
      <c r="AS833" s="1">
        <v>45037</v>
      </c>
      <c r="AT833" s="2">
        <v>6.0650000000000004</v>
      </c>
      <c r="AU833" s="1">
        <v>45037</v>
      </c>
      <c r="AV833" s="2">
        <v>5.7649999999999997</v>
      </c>
      <c r="AW833" s="1">
        <v>45037</v>
      </c>
      <c r="AX833" s="2">
        <v>5.4749999999999996</v>
      </c>
      <c r="AY833" s="1">
        <v>45037</v>
      </c>
      <c r="AZ833" s="2">
        <v>5.2050000000000001</v>
      </c>
      <c r="BB833" s="1">
        <v>44972</v>
      </c>
      <c r="BC833" s="1">
        <v>7</v>
      </c>
      <c r="BD833" s="3">
        <v>44988</v>
      </c>
      <c r="BE833" s="1">
        <v>7.2</v>
      </c>
      <c r="BF833" s="1">
        <v>45037</v>
      </c>
      <c r="BG833" s="1">
        <v>7.22</v>
      </c>
      <c r="BH833" s="3">
        <v>45037</v>
      </c>
      <c r="BI833" s="1">
        <v>7.1980000000000004</v>
      </c>
      <c r="BJ833" s="1">
        <v>45037</v>
      </c>
      <c r="BK833" s="1">
        <v>7.1950000000000003</v>
      </c>
      <c r="BL833" s="1">
        <v>45037</v>
      </c>
      <c r="BM833" s="1">
        <v>6.8929999999999998</v>
      </c>
      <c r="BN833" s="1">
        <v>45037</v>
      </c>
      <c r="BO833" s="1">
        <v>6.2430000000000003</v>
      </c>
      <c r="BP833" s="1">
        <v>45037</v>
      </c>
      <c r="BQ833" s="1">
        <v>5.57</v>
      </c>
      <c r="BR833" s="1">
        <v>45037</v>
      </c>
      <c r="BS833" s="1">
        <v>5.0650000000000004</v>
      </c>
      <c r="BT833" s="1">
        <v>45037</v>
      </c>
      <c r="BU833" s="1">
        <v>4.6349999999999998</v>
      </c>
      <c r="BV833" s="1">
        <v>45037</v>
      </c>
      <c r="BW833" s="1">
        <v>4.2949999999999999</v>
      </c>
      <c r="BY833" s="1">
        <v>44987</v>
      </c>
      <c r="BZ833" s="1">
        <v>13</v>
      </c>
      <c r="CA833" s="3">
        <v>44980</v>
      </c>
      <c r="CB833" s="1">
        <v>16.3</v>
      </c>
      <c r="CC833" s="1">
        <v>45037</v>
      </c>
      <c r="CD833" s="1">
        <v>15.9</v>
      </c>
      <c r="CE833" s="3">
        <v>45037</v>
      </c>
      <c r="CF833" s="1">
        <v>15</v>
      </c>
      <c r="CG833" s="1">
        <v>45037</v>
      </c>
      <c r="CH833" s="1">
        <v>14.65</v>
      </c>
      <c r="CI833" s="1">
        <v>45037</v>
      </c>
      <c r="CJ833" s="1">
        <v>12.8</v>
      </c>
      <c r="CK833" s="1">
        <v>45037</v>
      </c>
      <c r="CL833" s="1">
        <v>11.4</v>
      </c>
      <c r="CM833" s="1">
        <v>45037</v>
      </c>
      <c r="CN833" s="1">
        <v>9.92</v>
      </c>
      <c r="CO833" s="1">
        <v>45029</v>
      </c>
      <c r="CP833" s="1">
        <v>9.7200000000000006</v>
      </c>
      <c r="CQ833" s="1">
        <v>45029</v>
      </c>
      <c r="CR833" s="1">
        <v>8.81</v>
      </c>
      <c r="CS833" s="1">
        <v>45029</v>
      </c>
      <c r="CT833" s="1">
        <v>7.98</v>
      </c>
    </row>
    <row r="834" spans="31:98" x14ac:dyDescent="0.2">
      <c r="AE834" s="1">
        <v>45028</v>
      </c>
      <c r="AF834" s="1">
        <v>6.75</v>
      </c>
      <c r="AG834" s="3">
        <v>44988</v>
      </c>
      <c r="AH834" s="1">
        <v>6.95</v>
      </c>
      <c r="AI834" s="1">
        <v>45036</v>
      </c>
      <c r="AJ834" s="2">
        <v>6.875</v>
      </c>
      <c r="AK834" s="3">
        <v>45036</v>
      </c>
      <c r="AL834" s="2">
        <v>6.87</v>
      </c>
      <c r="AM834" s="1">
        <v>45036</v>
      </c>
      <c r="AN834" s="2">
        <v>6.85</v>
      </c>
      <c r="AO834" s="1">
        <v>45036</v>
      </c>
      <c r="AP834" s="2">
        <v>6.74</v>
      </c>
      <c r="AQ834" s="1">
        <v>45036</v>
      </c>
      <c r="AR834" s="2">
        <v>6.41</v>
      </c>
      <c r="AS834" s="1">
        <v>45036</v>
      </c>
      <c r="AT834" s="2">
        <v>6.085</v>
      </c>
      <c r="AU834" s="1">
        <v>45036</v>
      </c>
      <c r="AV834" s="2">
        <v>5.78</v>
      </c>
      <c r="AW834" s="1">
        <v>45036</v>
      </c>
      <c r="AX834" s="2">
        <v>5.4850000000000003</v>
      </c>
      <c r="AY834" s="1">
        <v>45036</v>
      </c>
      <c r="AZ834" s="2">
        <v>5.2050000000000001</v>
      </c>
      <c r="BB834" s="1">
        <v>44971</v>
      </c>
      <c r="BC834" s="1">
        <v>7</v>
      </c>
      <c r="BD834" s="3">
        <v>44987</v>
      </c>
      <c r="BE834" s="1">
        <v>7.2</v>
      </c>
      <c r="BF834" s="1">
        <v>45036</v>
      </c>
      <c r="BG834" s="1">
        <v>7.19</v>
      </c>
      <c r="BH834" s="3">
        <v>45036</v>
      </c>
      <c r="BI834" s="1">
        <v>7.16</v>
      </c>
      <c r="BJ834" s="1">
        <v>45036</v>
      </c>
      <c r="BK834" s="1">
        <v>7.14</v>
      </c>
      <c r="BL834" s="1">
        <v>45036</v>
      </c>
      <c r="BM834" s="1">
        <v>6.8150000000000004</v>
      </c>
      <c r="BN834" s="1">
        <v>45036</v>
      </c>
      <c r="BO834" s="1">
        <v>6.17</v>
      </c>
      <c r="BP834" s="1">
        <v>45036</v>
      </c>
      <c r="BQ834" s="1">
        <v>5.53</v>
      </c>
      <c r="BR834" s="1">
        <v>45036</v>
      </c>
      <c r="BS834" s="1">
        <v>5.05</v>
      </c>
      <c r="BT834" s="1">
        <v>45036</v>
      </c>
      <c r="BU834" s="1">
        <v>4.66</v>
      </c>
      <c r="BV834" s="1">
        <v>45036</v>
      </c>
      <c r="BW834" s="1">
        <v>4.3330000000000002</v>
      </c>
      <c r="BY834" s="1">
        <v>44986</v>
      </c>
      <c r="BZ834" s="1">
        <v>13</v>
      </c>
      <c r="CA834" s="3">
        <v>44979</v>
      </c>
      <c r="CB834" s="1">
        <v>16.29</v>
      </c>
      <c r="CC834" s="1">
        <v>45036</v>
      </c>
      <c r="CD834" s="1">
        <v>15.88</v>
      </c>
      <c r="CE834" s="3">
        <v>45036</v>
      </c>
      <c r="CF834" s="1">
        <v>14.93</v>
      </c>
      <c r="CG834" s="1">
        <v>45036</v>
      </c>
      <c r="CH834" s="1">
        <v>14.42</v>
      </c>
      <c r="CI834" s="1">
        <v>45036</v>
      </c>
      <c r="CJ834" s="1">
        <v>12.62</v>
      </c>
      <c r="CK834" s="1">
        <v>45036</v>
      </c>
      <c r="CL834" s="1">
        <v>11.22</v>
      </c>
      <c r="CM834" s="1">
        <v>45036</v>
      </c>
      <c r="CN834" s="1">
        <v>10</v>
      </c>
      <c r="CO834" s="1">
        <v>45028</v>
      </c>
      <c r="CP834" s="1">
        <v>9.9</v>
      </c>
      <c r="CQ834" s="1">
        <v>45028</v>
      </c>
      <c r="CR834" s="1">
        <v>9</v>
      </c>
      <c r="CS834" s="1">
        <v>45028</v>
      </c>
      <c r="CT834" s="1">
        <v>8.18</v>
      </c>
    </row>
    <row r="835" spans="31:98" x14ac:dyDescent="0.2">
      <c r="AE835" s="1">
        <v>45027</v>
      </c>
      <c r="AF835" s="1">
        <v>6.75</v>
      </c>
      <c r="AG835" s="3">
        <v>44987</v>
      </c>
      <c r="AH835" s="1">
        <v>6.94</v>
      </c>
      <c r="AI835" s="1">
        <v>45035</v>
      </c>
      <c r="AJ835" s="2">
        <v>6.9015000000000004</v>
      </c>
      <c r="AK835" s="3">
        <v>45035</v>
      </c>
      <c r="AL835" s="2">
        <v>6.89</v>
      </c>
      <c r="AM835" s="1">
        <v>45035</v>
      </c>
      <c r="AN835" s="2">
        <v>6.88</v>
      </c>
      <c r="AO835" s="1">
        <v>45035</v>
      </c>
      <c r="AP835" s="2">
        <v>6.81</v>
      </c>
      <c r="AQ835" s="1">
        <v>45035</v>
      </c>
      <c r="AR835" s="2">
        <v>6.5</v>
      </c>
      <c r="AS835" s="1">
        <v>45035</v>
      </c>
      <c r="AT835" s="2">
        <v>6.1950000000000003</v>
      </c>
      <c r="AU835" s="1">
        <v>45035</v>
      </c>
      <c r="AV835" s="2">
        <v>5.9</v>
      </c>
      <c r="AW835" s="1">
        <v>45035</v>
      </c>
      <c r="AX835" s="2">
        <v>5.61</v>
      </c>
      <c r="AY835" s="1">
        <v>45035</v>
      </c>
      <c r="AZ835" s="2">
        <v>5.3449999999999998</v>
      </c>
      <c r="BB835" s="1">
        <v>44970</v>
      </c>
      <c r="BC835" s="1">
        <v>7</v>
      </c>
      <c r="BD835" s="3">
        <v>44986</v>
      </c>
      <c r="BE835" s="1">
        <v>7.2</v>
      </c>
      <c r="BF835" s="1">
        <v>45035</v>
      </c>
      <c r="BG835" s="1">
        <v>7.19</v>
      </c>
      <c r="BH835" s="3">
        <v>45035</v>
      </c>
      <c r="BI835" s="1">
        <v>7.1749999999999998</v>
      </c>
      <c r="BJ835" s="1">
        <v>45035</v>
      </c>
      <c r="BK835" s="1">
        <v>7.1550000000000002</v>
      </c>
      <c r="BL835" s="1">
        <v>45035</v>
      </c>
      <c r="BM835" s="1">
        <v>6.87</v>
      </c>
      <c r="BN835" s="1">
        <v>45035</v>
      </c>
      <c r="BO835" s="1">
        <v>6.2450000000000001</v>
      </c>
      <c r="BP835" s="1">
        <v>45035</v>
      </c>
      <c r="BQ835" s="1">
        <v>5.65</v>
      </c>
      <c r="BR835" s="1">
        <v>45035</v>
      </c>
      <c r="BS835" s="1">
        <v>5.19</v>
      </c>
      <c r="BT835" s="1">
        <v>45035</v>
      </c>
      <c r="BU835" s="1">
        <v>4.8099999999999996</v>
      </c>
      <c r="BV835" s="1">
        <v>45035</v>
      </c>
      <c r="BW835" s="1">
        <v>4.4800000000000004</v>
      </c>
      <c r="BY835" s="1">
        <v>44985</v>
      </c>
      <c r="BZ835" s="1">
        <v>13</v>
      </c>
      <c r="CA835" s="3">
        <v>44978</v>
      </c>
      <c r="CB835" s="1">
        <v>16.27</v>
      </c>
      <c r="CC835" s="1">
        <v>45035</v>
      </c>
      <c r="CD835" s="1">
        <v>15.97</v>
      </c>
      <c r="CE835" s="3">
        <v>45035</v>
      </c>
      <c r="CF835" s="1">
        <v>15.28</v>
      </c>
      <c r="CG835" s="1">
        <v>45035</v>
      </c>
      <c r="CH835" s="1">
        <v>14.65</v>
      </c>
      <c r="CI835" s="1">
        <v>45035</v>
      </c>
      <c r="CJ835" s="1">
        <v>12.85</v>
      </c>
      <c r="CK835" s="1">
        <v>45035</v>
      </c>
      <c r="CL835" s="1">
        <v>11.45</v>
      </c>
      <c r="CM835" s="1">
        <v>45035</v>
      </c>
      <c r="CN835" s="1">
        <v>10.3</v>
      </c>
      <c r="CO835" s="1">
        <v>45027</v>
      </c>
      <c r="CP835" s="1">
        <v>9.36</v>
      </c>
      <c r="CQ835" s="1">
        <v>45027</v>
      </c>
      <c r="CR835" s="1">
        <v>8.4</v>
      </c>
      <c r="CS835" s="1">
        <v>45027</v>
      </c>
      <c r="CT835" s="1">
        <v>7.7</v>
      </c>
    </row>
    <row r="836" spans="31:98" x14ac:dyDescent="0.2">
      <c r="AE836" s="1">
        <v>45026</v>
      </c>
      <c r="AF836" s="1">
        <v>6.75</v>
      </c>
      <c r="AG836" s="3">
        <v>44986</v>
      </c>
      <c r="AH836" s="1">
        <v>6.94</v>
      </c>
      <c r="AI836" s="1">
        <v>45034</v>
      </c>
      <c r="AJ836" s="2">
        <v>6.8967999999999998</v>
      </c>
      <c r="AK836" s="3">
        <v>45034</v>
      </c>
      <c r="AL836" s="2">
        <v>6.8849999999999998</v>
      </c>
      <c r="AM836" s="1">
        <v>45034</v>
      </c>
      <c r="AN836" s="2">
        <v>6.87</v>
      </c>
      <c r="AO836" s="1">
        <v>45034</v>
      </c>
      <c r="AP836" s="2">
        <v>6.7949999999999999</v>
      </c>
      <c r="AQ836" s="1">
        <v>45034</v>
      </c>
      <c r="AR836" s="2">
        <v>6.4349999999999996</v>
      </c>
      <c r="AS836" s="1">
        <v>45034</v>
      </c>
      <c r="AT836" s="2">
        <v>6.08</v>
      </c>
      <c r="AU836" s="1">
        <v>45034</v>
      </c>
      <c r="AV836" s="2">
        <v>5.73</v>
      </c>
      <c r="AW836" s="1">
        <v>45034</v>
      </c>
      <c r="AX836" s="2">
        <v>5.42</v>
      </c>
      <c r="AY836" s="1">
        <v>45034</v>
      </c>
      <c r="AZ836" s="2">
        <v>5.14</v>
      </c>
      <c r="BB836" s="1">
        <v>44967</v>
      </c>
      <c r="BC836" s="1">
        <v>7</v>
      </c>
      <c r="BD836" s="3">
        <v>44985</v>
      </c>
      <c r="BE836" s="1">
        <v>7.2</v>
      </c>
      <c r="BF836" s="1">
        <v>45034</v>
      </c>
      <c r="BG836" s="1">
        <v>7.2</v>
      </c>
      <c r="BH836" s="3">
        <v>45034</v>
      </c>
      <c r="BI836" s="1">
        <v>7.1929999999999996</v>
      </c>
      <c r="BJ836" s="1">
        <v>45034</v>
      </c>
      <c r="BK836" s="1">
        <v>7.18</v>
      </c>
      <c r="BL836" s="1">
        <v>45034</v>
      </c>
      <c r="BM836" s="1">
        <v>6.94</v>
      </c>
      <c r="BN836" s="1">
        <v>45034</v>
      </c>
      <c r="BO836" s="1">
        <v>6.335</v>
      </c>
      <c r="BP836" s="1">
        <v>45034</v>
      </c>
      <c r="BQ836" s="1">
        <v>5.74</v>
      </c>
      <c r="BR836" s="1">
        <v>45034</v>
      </c>
      <c r="BS836" s="1">
        <v>5.26</v>
      </c>
      <c r="BT836" s="1">
        <v>45034</v>
      </c>
      <c r="BU836" s="1">
        <v>4.8849999999999998</v>
      </c>
      <c r="BV836" s="1">
        <v>45034</v>
      </c>
      <c r="BW836" s="1">
        <v>4.5449999999999999</v>
      </c>
      <c r="BY836" s="1">
        <v>44984</v>
      </c>
      <c r="BZ836" s="1">
        <v>13</v>
      </c>
      <c r="CA836" s="3">
        <v>44977</v>
      </c>
      <c r="CB836" s="1">
        <v>16.23</v>
      </c>
      <c r="CC836" s="1">
        <v>45034</v>
      </c>
      <c r="CD836" s="1">
        <v>16.170000000000002</v>
      </c>
      <c r="CE836" s="3">
        <v>45034</v>
      </c>
      <c r="CF836" s="1">
        <v>15.69</v>
      </c>
      <c r="CG836" s="1">
        <v>45034</v>
      </c>
      <c r="CH836" s="1">
        <v>15.25</v>
      </c>
      <c r="CI836" s="1">
        <v>45034</v>
      </c>
      <c r="CJ836" s="1">
        <v>13.55</v>
      </c>
      <c r="CK836" s="1">
        <v>45034</v>
      </c>
      <c r="CL836" s="1">
        <v>12.1</v>
      </c>
      <c r="CM836" s="1">
        <v>45034</v>
      </c>
      <c r="CN836" s="1">
        <v>11</v>
      </c>
      <c r="CO836" s="1">
        <v>45026</v>
      </c>
      <c r="CP836" s="1">
        <v>9.3000000000000007</v>
      </c>
      <c r="CQ836" s="1">
        <v>45026</v>
      </c>
      <c r="CR836" s="1">
        <v>8.34</v>
      </c>
      <c r="CS836" s="1">
        <v>45026</v>
      </c>
      <c r="CT836" s="1">
        <v>7.64</v>
      </c>
    </row>
    <row r="837" spans="31:98" x14ac:dyDescent="0.2">
      <c r="AE837" s="1">
        <v>45023</v>
      </c>
      <c r="AF837" s="1">
        <v>6.75</v>
      </c>
      <c r="AG837" s="3">
        <v>44985</v>
      </c>
      <c r="AH837" s="1">
        <v>6.94</v>
      </c>
      <c r="AI837" s="1">
        <v>45033</v>
      </c>
      <c r="AJ837" s="2">
        <v>6.8949999999999996</v>
      </c>
      <c r="AK837" s="3">
        <v>45033</v>
      </c>
      <c r="AL837" s="2">
        <v>6.8849999999999998</v>
      </c>
      <c r="AM837" s="1">
        <v>45033</v>
      </c>
      <c r="AN837" s="2">
        <v>6.87</v>
      </c>
      <c r="AO837" s="1">
        <v>45033</v>
      </c>
      <c r="AP837" s="2">
        <v>6.8</v>
      </c>
      <c r="AQ837" s="1">
        <v>45033</v>
      </c>
      <c r="AR837" s="2">
        <v>6.4550000000000001</v>
      </c>
      <c r="AS837" s="1">
        <v>45033</v>
      </c>
      <c r="AT837" s="2">
        <v>6.125</v>
      </c>
      <c r="AU837" s="1">
        <v>45033</v>
      </c>
      <c r="AV837" s="2">
        <v>5.82</v>
      </c>
      <c r="AW837" s="1">
        <v>45033</v>
      </c>
      <c r="AX837" s="2">
        <v>5.5250000000000004</v>
      </c>
      <c r="AY837" s="1">
        <v>45033</v>
      </c>
      <c r="AZ837" s="2">
        <v>5.2450000000000001</v>
      </c>
      <c r="BB837" s="1">
        <v>44966</v>
      </c>
      <c r="BC837" s="1">
        <v>7</v>
      </c>
      <c r="BD837" s="3">
        <v>44984</v>
      </c>
      <c r="BE837" s="1">
        <v>7.2</v>
      </c>
      <c r="BF837" s="1">
        <v>45033</v>
      </c>
      <c r="BG837" s="1">
        <v>7.2050000000000001</v>
      </c>
      <c r="BH837" s="3">
        <v>45033</v>
      </c>
      <c r="BI837" s="1">
        <v>7.21</v>
      </c>
      <c r="BJ837" s="1">
        <v>45033</v>
      </c>
      <c r="BK837" s="1">
        <v>7.19</v>
      </c>
      <c r="BL837" s="1">
        <v>45033</v>
      </c>
      <c r="BM837" s="1">
        <v>6.97</v>
      </c>
      <c r="BN837" s="1">
        <v>45033</v>
      </c>
      <c r="BO837" s="1">
        <v>6.3849999999999998</v>
      </c>
      <c r="BP837" s="1">
        <v>45033</v>
      </c>
      <c r="BQ837" s="1">
        <v>5.83</v>
      </c>
      <c r="BR837" s="1">
        <v>45033</v>
      </c>
      <c r="BS837" s="1">
        <v>5.35</v>
      </c>
      <c r="BT837" s="1">
        <v>45033</v>
      </c>
      <c r="BU837" s="1">
        <v>4.99</v>
      </c>
      <c r="BV837" s="1">
        <v>45033</v>
      </c>
      <c r="BW837" s="1">
        <v>4.68</v>
      </c>
      <c r="BY837" s="1">
        <v>44981</v>
      </c>
      <c r="BZ837" s="1">
        <v>13</v>
      </c>
      <c r="CA837" s="3">
        <v>44974</v>
      </c>
      <c r="CB837" s="1">
        <v>16.18</v>
      </c>
      <c r="CC837" s="1">
        <v>45033</v>
      </c>
      <c r="CD837" s="1">
        <v>16.21</v>
      </c>
      <c r="CE837" s="3">
        <v>45033</v>
      </c>
      <c r="CF837" s="1">
        <v>15.78</v>
      </c>
      <c r="CG837" s="1">
        <v>45033</v>
      </c>
      <c r="CH837" s="1">
        <v>15.35</v>
      </c>
      <c r="CI837" s="1">
        <v>45033</v>
      </c>
      <c r="CJ837" s="1">
        <v>13.55</v>
      </c>
      <c r="CK837" s="1">
        <v>45033</v>
      </c>
      <c r="CL837" s="1">
        <v>12.1</v>
      </c>
      <c r="CM837" s="1">
        <v>45033</v>
      </c>
      <c r="CN837" s="1">
        <v>11</v>
      </c>
      <c r="CO837" s="1">
        <v>45023</v>
      </c>
      <c r="CP837" s="1">
        <v>9.3000000000000007</v>
      </c>
      <c r="CQ837" s="1">
        <v>45023</v>
      </c>
      <c r="CR837" s="1">
        <v>8.34</v>
      </c>
      <c r="CS837" s="1">
        <v>45023</v>
      </c>
      <c r="CT837" s="1">
        <v>7.64</v>
      </c>
    </row>
    <row r="838" spans="31:98" x14ac:dyDescent="0.2">
      <c r="AE838" s="1">
        <v>45022</v>
      </c>
      <c r="AF838" s="1">
        <v>6.75</v>
      </c>
      <c r="AG838" s="3">
        <v>44984</v>
      </c>
      <c r="AH838" s="1">
        <v>6.94</v>
      </c>
      <c r="AI838" s="1">
        <v>45030</v>
      </c>
      <c r="AJ838" s="2">
        <v>6.8985000000000003</v>
      </c>
      <c r="AK838" s="3">
        <v>45030</v>
      </c>
      <c r="AL838" s="2">
        <v>6.8849999999999998</v>
      </c>
      <c r="AM838" s="1">
        <v>45030</v>
      </c>
      <c r="AN838" s="2">
        <v>6.88</v>
      </c>
      <c r="AO838" s="1">
        <v>45030</v>
      </c>
      <c r="AP838" s="2">
        <v>6.8</v>
      </c>
      <c r="AQ838" s="1">
        <v>45030</v>
      </c>
      <c r="AR838" s="2">
        <v>6.4450000000000003</v>
      </c>
      <c r="AS838" s="1">
        <v>45030</v>
      </c>
      <c r="AT838" s="2">
        <v>6.125</v>
      </c>
      <c r="AU838" s="1">
        <v>45030</v>
      </c>
      <c r="AV838" s="2">
        <v>5.83</v>
      </c>
      <c r="AW838" s="1">
        <v>45030</v>
      </c>
      <c r="AX838" s="2">
        <v>5.5449999999999999</v>
      </c>
      <c r="AY838" s="1">
        <v>45030</v>
      </c>
      <c r="AZ838" s="2">
        <v>5.2649999999999997</v>
      </c>
      <c r="BB838" s="1">
        <v>44965</v>
      </c>
      <c r="BC838" s="1">
        <v>7</v>
      </c>
      <c r="BD838" s="3">
        <v>44981</v>
      </c>
      <c r="BE838" s="1">
        <v>7.21</v>
      </c>
      <c r="BF838" s="1">
        <v>45030</v>
      </c>
      <c r="BG838" s="1">
        <v>7.2050000000000001</v>
      </c>
      <c r="BH838" s="3">
        <v>45030</v>
      </c>
      <c r="BI838" s="1">
        <v>7.2050000000000001</v>
      </c>
      <c r="BJ838" s="1">
        <v>45030</v>
      </c>
      <c r="BK838" s="1">
        <v>7.2</v>
      </c>
      <c r="BL838" s="1">
        <v>45030</v>
      </c>
      <c r="BM838" s="1">
        <v>6.97</v>
      </c>
      <c r="BN838" s="1">
        <v>45030</v>
      </c>
      <c r="BO838" s="1">
        <v>6.343</v>
      </c>
      <c r="BP838" s="1">
        <v>45030</v>
      </c>
      <c r="BQ838" s="1">
        <v>5.81</v>
      </c>
      <c r="BR838" s="1">
        <v>45030</v>
      </c>
      <c r="BS838" s="1">
        <v>5.3230000000000004</v>
      </c>
      <c r="BT838" s="1">
        <v>45030</v>
      </c>
      <c r="BU838" s="1">
        <v>4.968</v>
      </c>
      <c r="BV838" s="1">
        <v>45030</v>
      </c>
      <c r="BW838" s="1">
        <v>4.6280000000000001</v>
      </c>
      <c r="BY838" s="1">
        <v>44980</v>
      </c>
      <c r="BZ838" s="1">
        <v>13</v>
      </c>
      <c r="CA838" s="3">
        <v>44973</v>
      </c>
      <c r="CB838" s="1">
        <v>16.149999999999999</v>
      </c>
      <c r="CC838" s="1">
        <v>45030</v>
      </c>
      <c r="CD838" s="1">
        <v>16.22</v>
      </c>
      <c r="CE838" s="3">
        <v>45030</v>
      </c>
      <c r="CF838" s="1">
        <v>15.69</v>
      </c>
      <c r="CG838" s="1">
        <v>45030</v>
      </c>
      <c r="CH838" s="1">
        <v>15.25</v>
      </c>
      <c r="CI838" s="1">
        <v>45030</v>
      </c>
      <c r="CJ838" s="1">
        <v>13.45</v>
      </c>
      <c r="CK838" s="1">
        <v>45030</v>
      </c>
      <c r="CL838" s="1">
        <v>12</v>
      </c>
      <c r="CM838" s="1">
        <v>45030</v>
      </c>
      <c r="CN838" s="1">
        <v>10.91</v>
      </c>
      <c r="CO838" s="1">
        <v>45022</v>
      </c>
      <c r="CP838" s="1">
        <v>9.3000000000000007</v>
      </c>
      <c r="CQ838" s="1">
        <v>45022</v>
      </c>
      <c r="CR838" s="1">
        <v>8.34</v>
      </c>
      <c r="CS838" s="1">
        <v>45022</v>
      </c>
      <c r="CT838" s="1">
        <v>7.64</v>
      </c>
    </row>
    <row r="839" spans="31:98" x14ac:dyDescent="0.2">
      <c r="AE839" s="1">
        <v>45021</v>
      </c>
      <c r="AF839" s="1">
        <v>6.75</v>
      </c>
      <c r="AG839" s="3">
        <v>44981</v>
      </c>
      <c r="AH839" s="1">
        <v>6.94</v>
      </c>
      <c r="AI839" s="1">
        <v>45029</v>
      </c>
      <c r="AJ839" s="2">
        <v>6.883</v>
      </c>
      <c r="AK839" s="3">
        <v>45029</v>
      </c>
      <c r="AL839" s="2">
        <v>6.8849999999999998</v>
      </c>
      <c r="AM839" s="1">
        <v>45029</v>
      </c>
      <c r="AN839" s="2">
        <v>6.875</v>
      </c>
      <c r="AO839" s="1">
        <v>45029</v>
      </c>
      <c r="AP839" s="2">
        <v>6.7750000000000004</v>
      </c>
      <c r="AQ839" s="1">
        <v>45029</v>
      </c>
      <c r="AR839" s="2">
        <v>6.41</v>
      </c>
      <c r="AS839" s="1">
        <v>45029</v>
      </c>
      <c r="AT839" s="2">
        <v>6.08</v>
      </c>
      <c r="AU839" s="1">
        <v>45029</v>
      </c>
      <c r="AV839" s="2">
        <v>5.7750000000000004</v>
      </c>
      <c r="AW839" s="1">
        <v>45029</v>
      </c>
      <c r="AX839" s="2">
        <v>5.4850000000000003</v>
      </c>
      <c r="AY839" s="1">
        <v>45029</v>
      </c>
      <c r="AZ839" s="2">
        <v>5.2</v>
      </c>
      <c r="BB839" s="1">
        <v>44964</v>
      </c>
      <c r="BC839" s="1">
        <v>7</v>
      </c>
      <c r="BD839" s="3">
        <v>44980</v>
      </c>
      <c r="BE839" s="1">
        <v>7.21</v>
      </c>
      <c r="BF839" s="1">
        <v>45029</v>
      </c>
      <c r="BG839" s="1">
        <v>7.2</v>
      </c>
      <c r="BH839" s="3">
        <v>45029</v>
      </c>
      <c r="BI839" s="1">
        <v>7.2050000000000001</v>
      </c>
      <c r="BJ839" s="1">
        <v>45029</v>
      </c>
      <c r="BK839" s="1">
        <v>7.18</v>
      </c>
      <c r="BL839" s="1">
        <v>45029</v>
      </c>
      <c r="BM839" s="1">
        <v>6.9</v>
      </c>
      <c r="BN839" s="1">
        <v>45029</v>
      </c>
      <c r="BO839" s="1">
        <v>6.27</v>
      </c>
      <c r="BP839" s="1">
        <v>45029</v>
      </c>
      <c r="BQ839" s="1">
        <v>5.7</v>
      </c>
      <c r="BR839" s="1">
        <v>45029</v>
      </c>
      <c r="BS839" s="1">
        <v>5.1950000000000003</v>
      </c>
      <c r="BT839" s="1">
        <v>45029</v>
      </c>
      <c r="BU839" s="1">
        <v>4.8250000000000002</v>
      </c>
      <c r="BV839" s="1">
        <v>45029</v>
      </c>
      <c r="BW839" s="1">
        <v>4.51</v>
      </c>
      <c r="BY839" s="1">
        <v>44978</v>
      </c>
      <c r="BZ839" s="1">
        <v>13</v>
      </c>
      <c r="CA839" s="3">
        <v>44972</v>
      </c>
      <c r="CB839" s="1">
        <v>16.14</v>
      </c>
      <c r="CC839" s="1">
        <v>45029</v>
      </c>
      <c r="CD839" s="1">
        <v>16.2</v>
      </c>
      <c r="CE839" s="3">
        <v>45029</v>
      </c>
      <c r="CF839" s="1">
        <v>15.6</v>
      </c>
      <c r="CG839" s="1">
        <v>45029</v>
      </c>
      <c r="CH839" s="1">
        <v>15.15</v>
      </c>
      <c r="CI839" s="1">
        <v>45029</v>
      </c>
      <c r="CJ839" s="1">
        <v>13.35</v>
      </c>
      <c r="CK839" s="1">
        <v>45029</v>
      </c>
      <c r="CL839" s="1">
        <v>11.9</v>
      </c>
      <c r="CM839" s="1">
        <v>45029</v>
      </c>
      <c r="CN839" s="1">
        <v>10.72</v>
      </c>
      <c r="CO839" s="1">
        <v>45021</v>
      </c>
      <c r="CP839" s="1">
        <v>9.35</v>
      </c>
      <c r="CQ839" s="1">
        <v>45021</v>
      </c>
      <c r="CR839" s="1">
        <v>8.3699999999999992</v>
      </c>
      <c r="CS839" s="1">
        <v>45021</v>
      </c>
      <c r="CT839" s="1">
        <v>7.67</v>
      </c>
    </row>
    <row r="840" spans="31:98" x14ac:dyDescent="0.2">
      <c r="AE840" s="1">
        <v>45020</v>
      </c>
      <c r="AF840" s="1">
        <v>6.75</v>
      </c>
      <c r="AG840" s="3">
        <v>44980</v>
      </c>
      <c r="AH840" s="1">
        <v>6.94</v>
      </c>
      <c r="AI840" s="1">
        <v>45028</v>
      </c>
      <c r="AJ840" s="2">
        <v>6.8860000000000001</v>
      </c>
      <c r="AK840" s="3">
        <v>45028</v>
      </c>
      <c r="AL840" s="2">
        <v>6.875</v>
      </c>
      <c r="AM840" s="1">
        <v>45028</v>
      </c>
      <c r="AN840" s="2">
        <v>6.86</v>
      </c>
      <c r="AO840" s="1">
        <v>45028</v>
      </c>
      <c r="AP840" s="2">
        <v>6.76</v>
      </c>
      <c r="AQ840" s="1">
        <v>45028</v>
      </c>
      <c r="AR840" s="2">
        <v>6.4</v>
      </c>
      <c r="AS840" s="1">
        <v>45028</v>
      </c>
      <c r="AT840" s="2">
        <v>6.0350000000000001</v>
      </c>
      <c r="AU840" s="1">
        <v>45028</v>
      </c>
      <c r="AV840" s="2">
        <v>5.7</v>
      </c>
      <c r="AW840" s="1">
        <v>45028</v>
      </c>
      <c r="AX840" s="2">
        <v>5.39</v>
      </c>
      <c r="AY840" s="1">
        <v>45028</v>
      </c>
      <c r="AZ840" s="2">
        <v>5.12</v>
      </c>
      <c r="BB840" s="1">
        <v>44963</v>
      </c>
      <c r="BC840" s="1">
        <v>7</v>
      </c>
      <c r="BD840" s="3">
        <v>44979</v>
      </c>
      <c r="BE840" s="1">
        <v>7.2</v>
      </c>
      <c r="BF840" s="1">
        <v>45028</v>
      </c>
      <c r="BG840" s="1">
        <v>7.1849999999999996</v>
      </c>
      <c r="BH840" s="3">
        <v>45028</v>
      </c>
      <c r="BI840" s="1">
        <v>7.18</v>
      </c>
      <c r="BJ840" s="1">
        <v>45028</v>
      </c>
      <c r="BK840" s="1">
        <v>7.15</v>
      </c>
      <c r="BL840" s="1">
        <v>45028</v>
      </c>
      <c r="BM840" s="1">
        <v>6.84</v>
      </c>
      <c r="BN840" s="1">
        <v>45028</v>
      </c>
      <c r="BO840" s="1">
        <v>6.1749999999999998</v>
      </c>
      <c r="BP840" s="1">
        <v>45028</v>
      </c>
      <c r="BQ840" s="1">
        <v>5.5750000000000002</v>
      </c>
      <c r="BR840" s="1">
        <v>45028</v>
      </c>
      <c r="BS840" s="1">
        <v>5.0529999999999999</v>
      </c>
      <c r="BT840" s="1">
        <v>45028</v>
      </c>
      <c r="BU840" s="1">
        <v>4.665</v>
      </c>
      <c r="BV840" s="1">
        <v>45028</v>
      </c>
      <c r="BW840" s="1">
        <v>4.3550000000000004</v>
      </c>
      <c r="BY840" s="1">
        <v>44974</v>
      </c>
      <c r="BZ840" s="1">
        <v>13</v>
      </c>
      <c r="CA840" s="3">
        <v>44971</v>
      </c>
      <c r="CB840" s="1">
        <v>16.13</v>
      </c>
      <c r="CC840" s="1">
        <v>45028</v>
      </c>
      <c r="CD840" s="1">
        <v>16.09</v>
      </c>
      <c r="CE840" s="3">
        <v>45028</v>
      </c>
      <c r="CF840" s="1">
        <v>15.63</v>
      </c>
      <c r="CG840" s="1">
        <v>45028</v>
      </c>
      <c r="CH840" s="1">
        <v>15.15</v>
      </c>
      <c r="CI840" s="1">
        <v>45028</v>
      </c>
      <c r="CJ840" s="1">
        <v>13.45</v>
      </c>
      <c r="CK840" s="1">
        <v>45028</v>
      </c>
      <c r="CL840" s="1">
        <v>12</v>
      </c>
      <c r="CM840" s="1">
        <v>45028</v>
      </c>
      <c r="CN840" s="1">
        <v>10.86</v>
      </c>
      <c r="CO840" s="1">
        <v>45020</v>
      </c>
      <c r="CP840" s="1">
        <v>9.48</v>
      </c>
      <c r="CQ840" s="1">
        <v>45020</v>
      </c>
      <c r="CR840" s="1">
        <v>8.4600000000000009</v>
      </c>
      <c r="CS840" s="1">
        <v>45020</v>
      </c>
      <c r="CT840" s="1">
        <v>7.76</v>
      </c>
    </row>
    <row r="841" spans="31:98" x14ac:dyDescent="0.2">
      <c r="AE841" s="1">
        <v>45019</v>
      </c>
      <c r="AF841" s="1">
        <v>6.75</v>
      </c>
      <c r="AG841" s="3">
        <v>44979</v>
      </c>
      <c r="AH841" s="1">
        <v>6.94</v>
      </c>
      <c r="AI841" s="1">
        <v>45027</v>
      </c>
      <c r="AJ841" s="2">
        <v>6.8650000000000002</v>
      </c>
      <c r="AK841" s="3">
        <v>45027</v>
      </c>
      <c r="AL841" s="2">
        <v>6.8550000000000004</v>
      </c>
      <c r="AM841" s="1">
        <v>45027</v>
      </c>
      <c r="AN841" s="2">
        <v>6.82</v>
      </c>
      <c r="AO841" s="1">
        <v>45027</v>
      </c>
      <c r="AP841" s="2">
        <v>6.6550000000000002</v>
      </c>
      <c r="AQ841" s="1">
        <v>45027</v>
      </c>
      <c r="AR841" s="2">
        <v>6.27</v>
      </c>
      <c r="AS841" s="1">
        <v>45027</v>
      </c>
      <c r="AT841" s="2">
        <v>5.915</v>
      </c>
      <c r="AU841" s="1">
        <v>45027</v>
      </c>
      <c r="AV841" s="2">
        <v>5.5750000000000002</v>
      </c>
      <c r="AW841" s="1">
        <v>45027</v>
      </c>
      <c r="AX841" s="2">
        <v>5.2649999999999997</v>
      </c>
      <c r="AY841" s="1">
        <v>45027</v>
      </c>
      <c r="AZ841" s="2">
        <v>4.9950000000000001</v>
      </c>
      <c r="BB841" s="1">
        <v>44960</v>
      </c>
      <c r="BC841" s="1">
        <v>7</v>
      </c>
      <c r="BD841" s="3">
        <v>44978</v>
      </c>
      <c r="BE841" s="1">
        <v>7.2</v>
      </c>
      <c r="BF841" s="1">
        <v>45027</v>
      </c>
      <c r="BG841" s="1">
        <v>7.18</v>
      </c>
      <c r="BH841" s="3">
        <v>45027</v>
      </c>
      <c r="BI841" s="1">
        <v>7.1749999999999998</v>
      </c>
      <c r="BJ841" s="1">
        <v>45027</v>
      </c>
      <c r="BK841" s="1">
        <v>7.12</v>
      </c>
      <c r="BL841" s="1">
        <v>45027</v>
      </c>
      <c r="BM841" s="1">
        <v>6.78</v>
      </c>
      <c r="BN841" s="1">
        <v>45027</v>
      </c>
      <c r="BO841" s="1">
        <v>6.0650000000000004</v>
      </c>
      <c r="BP841" s="1">
        <v>45027</v>
      </c>
      <c r="BQ841" s="1">
        <v>5.4550000000000001</v>
      </c>
      <c r="BR841" s="1">
        <v>45027</v>
      </c>
      <c r="BS841" s="1">
        <v>4.915</v>
      </c>
      <c r="BT841" s="1">
        <v>45027</v>
      </c>
      <c r="BU841" s="1">
        <v>4.5030000000000001</v>
      </c>
      <c r="BV841" s="1">
        <v>45027</v>
      </c>
      <c r="BW841" s="1">
        <v>4.1929999999999996</v>
      </c>
      <c r="BY841" s="1">
        <v>44973</v>
      </c>
      <c r="BZ841" s="1">
        <v>13</v>
      </c>
      <c r="CA841" s="3">
        <v>44970</v>
      </c>
      <c r="CB841" s="1">
        <v>16.12</v>
      </c>
      <c r="CC841" s="1">
        <v>45027</v>
      </c>
      <c r="CD841" s="1">
        <v>15.9</v>
      </c>
      <c r="CE841" s="3">
        <v>45027</v>
      </c>
      <c r="CF841" s="1">
        <v>15.3</v>
      </c>
      <c r="CG841" s="1">
        <v>45027</v>
      </c>
      <c r="CH841" s="1">
        <v>14.65</v>
      </c>
      <c r="CI841" s="1">
        <v>45027</v>
      </c>
      <c r="CJ841" s="1">
        <v>12.9</v>
      </c>
      <c r="CK841" s="1">
        <v>45027</v>
      </c>
      <c r="CL841" s="1">
        <v>11.5</v>
      </c>
      <c r="CM841" s="1">
        <v>45027</v>
      </c>
      <c r="CN841" s="1">
        <v>10.36</v>
      </c>
      <c r="CO841" s="1">
        <v>45019</v>
      </c>
      <c r="CP841" s="1">
        <v>9.67</v>
      </c>
      <c r="CQ841" s="1">
        <v>45019</v>
      </c>
      <c r="CR841" s="1">
        <v>8.58</v>
      </c>
      <c r="CS841" s="1">
        <v>45019</v>
      </c>
      <c r="CT841" s="1">
        <v>7.95</v>
      </c>
    </row>
    <row r="842" spans="31:98" x14ac:dyDescent="0.2">
      <c r="AE842" s="1">
        <v>45016</v>
      </c>
      <c r="AF842" s="1">
        <v>6.75</v>
      </c>
      <c r="AG842" s="3">
        <v>44978</v>
      </c>
      <c r="AH842" s="1">
        <v>6.94</v>
      </c>
      <c r="AI842" s="1">
        <v>45026</v>
      </c>
      <c r="AJ842" s="2">
        <v>6.8570000000000002</v>
      </c>
      <c r="AK842" s="3">
        <v>45026</v>
      </c>
      <c r="AL842" s="2">
        <v>6.83</v>
      </c>
      <c r="AM842" s="1">
        <v>45026</v>
      </c>
      <c r="AN842" s="2">
        <v>6.7649999999999997</v>
      </c>
      <c r="AO842" s="1">
        <v>45026</v>
      </c>
      <c r="AP842" s="2">
        <v>6.6</v>
      </c>
      <c r="AQ842" s="1">
        <v>45026</v>
      </c>
      <c r="AR842" s="2">
        <v>6.18</v>
      </c>
      <c r="AS842" s="1">
        <v>45026</v>
      </c>
      <c r="AT842" s="2">
        <v>5.8</v>
      </c>
      <c r="AU842" s="1">
        <v>45026</v>
      </c>
      <c r="AV842" s="2">
        <v>5.45</v>
      </c>
      <c r="AW842" s="1">
        <v>45026</v>
      </c>
      <c r="AX842" s="2">
        <v>5.1449999999999996</v>
      </c>
      <c r="AY842" s="1">
        <v>45026</v>
      </c>
      <c r="AZ842" s="2">
        <v>4.875</v>
      </c>
      <c r="BB842" s="1">
        <v>44959</v>
      </c>
      <c r="BC842" s="1">
        <v>7</v>
      </c>
      <c r="BD842" s="3">
        <v>44977</v>
      </c>
      <c r="BE842" s="1">
        <v>7.2</v>
      </c>
      <c r="BF842" s="1">
        <v>45026</v>
      </c>
      <c r="BG842" s="1">
        <v>7.17</v>
      </c>
      <c r="BH842" s="3">
        <v>45026</v>
      </c>
      <c r="BI842" s="1">
        <v>7.1639999999999997</v>
      </c>
      <c r="BJ842" s="1">
        <v>45026</v>
      </c>
      <c r="BK842" s="1">
        <v>7.08</v>
      </c>
      <c r="BL842" s="1">
        <v>45026</v>
      </c>
      <c r="BM842" s="1">
        <v>6.67</v>
      </c>
      <c r="BN842" s="1">
        <v>45026</v>
      </c>
      <c r="BO842" s="1">
        <v>5.95</v>
      </c>
      <c r="BP842" s="1">
        <v>45026</v>
      </c>
      <c r="BQ842" s="1">
        <v>5.32</v>
      </c>
      <c r="BR842" s="1">
        <v>45026</v>
      </c>
      <c r="BS842" s="1">
        <v>4.78</v>
      </c>
      <c r="BT842" s="1">
        <v>45026</v>
      </c>
      <c r="BU842" s="1">
        <v>4.3650000000000002</v>
      </c>
      <c r="BV842" s="1">
        <v>45026</v>
      </c>
      <c r="BW842" s="1">
        <v>4.0529999999999999</v>
      </c>
      <c r="BY842" s="1">
        <v>44972</v>
      </c>
      <c r="BZ842" s="1">
        <v>13</v>
      </c>
      <c r="CA842" s="3">
        <v>44967</v>
      </c>
      <c r="CB842" s="1">
        <v>16.09</v>
      </c>
      <c r="CC842" s="1">
        <v>45026</v>
      </c>
      <c r="CD842" s="1">
        <v>15.9521</v>
      </c>
      <c r="CE842" s="3">
        <v>45026</v>
      </c>
      <c r="CF842" s="1">
        <v>15.2904</v>
      </c>
      <c r="CG842" s="1">
        <v>45026</v>
      </c>
      <c r="CH842" s="1">
        <v>14.6205</v>
      </c>
      <c r="CI842" s="1">
        <v>45026</v>
      </c>
      <c r="CJ842" s="1">
        <v>12.8538</v>
      </c>
      <c r="CK842" s="1">
        <v>45026</v>
      </c>
      <c r="CL842" s="1">
        <v>11.446199999999999</v>
      </c>
      <c r="CM842" s="1">
        <v>45026</v>
      </c>
      <c r="CN842" s="1">
        <v>10.3</v>
      </c>
      <c r="CO842" s="1">
        <v>45016</v>
      </c>
      <c r="CP842" s="1">
        <v>9.39</v>
      </c>
      <c r="CQ842" s="1">
        <v>45016</v>
      </c>
      <c r="CR842" s="1">
        <v>8.31</v>
      </c>
      <c r="CS842" s="1">
        <v>45016</v>
      </c>
      <c r="CT842" s="1">
        <v>7.72</v>
      </c>
    </row>
    <row r="843" spans="31:98" x14ac:dyDescent="0.2">
      <c r="AE843" s="1">
        <v>45015</v>
      </c>
      <c r="AF843" s="1">
        <v>6.75</v>
      </c>
      <c r="AG843" s="3">
        <v>44977</v>
      </c>
      <c r="AH843" s="1">
        <v>6.96</v>
      </c>
      <c r="AI843" s="1">
        <v>45023</v>
      </c>
      <c r="AJ843" s="2">
        <v>6.86</v>
      </c>
      <c r="AK843" s="3">
        <v>45023</v>
      </c>
      <c r="AL843" s="2">
        <v>6.83</v>
      </c>
      <c r="AM843" s="1">
        <v>45023</v>
      </c>
      <c r="AN843" s="2">
        <v>6.7649999999999997</v>
      </c>
      <c r="AO843" s="1">
        <v>45023</v>
      </c>
      <c r="AP843" s="2">
        <v>6.6</v>
      </c>
      <c r="AQ843" s="1">
        <v>45023</v>
      </c>
      <c r="AR843" s="2">
        <v>6.18</v>
      </c>
      <c r="AS843" s="1">
        <v>45023</v>
      </c>
      <c r="AT843" s="2">
        <v>5.8</v>
      </c>
      <c r="AU843" s="1">
        <v>45023</v>
      </c>
      <c r="AV843" s="2">
        <v>5.45</v>
      </c>
      <c r="AW843" s="1">
        <v>45023</v>
      </c>
      <c r="AX843" s="2">
        <v>5.1449999999999996</v>
      </c>
      <c r="AY843" s="1">
        <v>45023</v>
      </c>
      <c r="AZ843" s="2">
        <v>4.875</v>
      </c>
      <c r="BB843" s="1">
        <v>44958</v>
      </c>
      <c r="BC843" s="1">
        <v>7</v>
      </c>
      <c r="BD843" s="3">
        <v>44974</v>
      </c>
      <c r="BE843" s="1">
        <v>7.2</v>
      </c>
      <c r="BF843" s="1">
        <v>45023</v>
      </c>
      <c r="BG843" s="1">
        <v>7.17</v>
      </c>
      <c r="BH843" s="3">
        <v>45023</v>
      </c>
      <c r="BI843" s="1">
        <v>7.16</v>
      </c>
      <c r="BJ843" s="1">
        <v>45023</v>
      </c>
      <c r="BK843" s="1">
        <v>7.08</v>
      </c>
      <c r="BL843" s="1">
        <v>45023</v>
      </c>
      <c r="BM843" s="1">
        <v>6.67</v>
      </c>
      <c r="BN843" s="1">
        <v>45023</v>
      </c>
      <c r="BO843" s="1">
        <v>6.0350000000000001</v>
      </c>
      <c r="BP843" s="1">
        <v>45023</v>
      </c>
      <c r="BQ843" s="1">
        <v>5.32</v>
      </c>
      <c r="BR843" s="1">
        <v>45023</v>
      </c>
      <c r="BS843" s="1">
        <v>4.78</v>
      </c>
      <c r="BT843" s="1">
        <v>45023</v>
      </c>
      <c r="BU843" s="1">
        <v>4.3650000000000002</v>
      </c>
      <c r="BV843" s="1">
        <v>45023</v>
      </c>
      <c r="BW843" s="1">
        <v>4.0529999999999999</v>
      </c>
      <c r="BY843" s="1">
        <v>44971</v>
      </c>
      <c r="BZ843" s="1">
        <v>13</v>
      </c>
      <c r="CA843" s="3">
        <v>44966</v>
      </c>
      <c r="CB843" s="1">
        <v>16.05</v>
      </c>
      <c r="CC843" s="1">
        <v>45023</v>
      </c>
      <c r="CD843" s="1">
        <v>15.9053</v>
      </c>
      <c r="CE843" s="3">
        <v>45023</v>
      </c>
      <c r="CF843" s="1">
        <v>15.23</v>
      </c>
      <c r="CG843" s="1">
        <v>45023</v>
      </c>
      <c r="CH843" s="1">
        <v>14.567500000000001</v>
      </c>
      <c r="CI843" s="1">
        <v>45023</v>
      </c>
      <c r="CJ843" s="1">
        <v>12.8134</v>
      </c>
      <c r="CK843" s="1">
        <v>45023</v>
      </c>
      <c r="CL843" s="1">
        <v>11.4116</v>
      </c>
      <c r="CM843" s="1">
        <v>45023</v>
      </c>
      <c r="CN843" s="1">
        <v>10.3</v>
      </c>
      <c r="CO843" s="1">
        <v>45015</v>
      </c>
      <c r="CP843" s="1">
        <v>9.2200000000000006</v>
      </c>
      <c r="CQ843" s="1">
        <v>45015</v>
      </c>
      <c r="CR843" s="1">
        <v>8.14</v>
      </c>
      <c r="CS843" s="1">
        <v>45015</v>
      </c>
      <c r="CT843" s="1">
        <v>7.55</v>
      </c>
    </row>
    <row r="844" spans="31:98" x14ac:dyDescent="0.2">
      <c r="AE844" s="1">
        <v>45014</v>
      </c>
      <c r="AF844" s="1">
        <v>6.75</v>
      </c>
      <c r="AG844" s="3">
        <v>44974</v>
      </c>
      <c r="AH844" s="1">
        <v>6.93</v>
      </c>
      <c r="AI844" s="1">
        <v>45022</v>
      </c>
      <c r="AJ844" s="2">
        <v>6.86</v>
      </c>
      <c r="AK844" s="3">
        <v>45022</v>
      </c>
      <c r="AL844" s="2">
        <v>6.83</v>
      </c>
      <c r="AM844" s="1">
        <v>45022</v>
      </c>
      <c r="AN844" s="2">
        <v>6.7649999999999997</v>
      </c>
      <c r="AO844" s="1">
        <v>45022</v>
      </c>
      <c r="AP844" s="2">
        <v>6.6</v>
      </c>
      <c r="AQ844" s="1">
        <v>45022</v>
      </c>
      <c r="AR844" s="2">
        <v>6.18</v>
      </c>
      <c r="AS844" s="1">
        <v>45022</v>
      </c>
      <c r="AT844" s="2">
        <v>5.8</v>
      </c>
      <c r="AU844" s="1">
        <v>45022</v>
      </c>
      <c r="AV844" s="2">
        <v>5.45</v>
      </c>
      <c r="AW844" s="1">
        <v>45022</v>
      </c>
      <c r="AX844" s="2">
        <v>5.1449999999999996</v>
      </c>
      <c r="AY844" s="1">
        <v>45022</v>
      </c>
      <c r="AZ844" s="2">
        <v>4.875</v>
      </c>
      <c r="BB844" s="1">
        <v>44957</v>
      </c>
      <c r="BC844" s="1">
        <v>7</v>
      </c>
      <c r="BD844" s="3">
        <v>44973</v>
      </c>
      <c r="BE844" s="1">
        <v>7.2</v>
      </c>
      <c r="BF844" s="1">
        <v>45022</v>
      </c>
      <c r="BG844" s="1">
        <v>7.17</v>
      </c>
      <c r="BH844" s="3">
        <v>45022</v>
      </c>
      <c r="BI844" s="1">
        <v>7.16</v>
      </c>
      <c r="BJ844" s="1">
        <v>45022</v>
      </c>
      <c r="BK844" s="1">
        <v>7.08</v>
      </c>
      <c r="BL844" s="1">
        <v>45022</v>
      </c>
      <c r="BM844" s="1">
        <v>6.67</v>
      </c>
      <c r="BN844" s="1">
        <v>45022</v>
      </c>
      <c r="BO844" s="1">
        <v>5.95</v>
      </c>
      <c r="BP844" s="1">
        <v>45022</v>
      </c>
      <c r="BQ844" s="1">
        <v>5.32</v>
      </c>
      <c r="BR844" s="1">
        <v>45022</v>
      </c>
      <c r="BS844" s="1">
        <v>4.78</v>
      </c>
      <c r="BT844" s="1">
        <v>45022</v>
      </c>
      <c r="BU844" s="1">
        <v>4.3650000000000002</v>
      </c>
      <c r="BV844" s="1">
        <v>45022</v>
      </c>
      <c r="BW844" s="1">
        <v>4.0529999999999999</v>
      </c>
      <c r="BY844" s="1">
        <v>44970</v>
      </c>
      <c r="BZ844" s="1">
        <v>13</v>
      </c>
      <c r="CA844" s="3">
        <v>44965</v>
      </c>
      <c r="CB844" s="1">
        <v>16.05</v>
      </c>
      <c r="CC844" s="1">
        <v>45022</v>
      </c>
      <c r="CD844" s="1">
        <v>15.89</v>
      </c>
      <c r="CE844" s="3">
        <v>45022</v>
      </c>
      <c r="CF844" s="1">
        <v>15.21</v>
      </c>
      <c r="CG844" s="1">
        <v>45022</v>
      </c>
      <c r="CH844" s="1">
        <v>14.55</v>
      </c>
      <c r="CI844" s="1">
        <v>45022</v>
      </c>
      <c r="CJ844" s="1">
        <v>12.8</v>
      </c>
      <c r="CK844" s="1">
        <v>45022</v>
      </c>
      <c r="CL844" s="1">
        <v>11.4</v>
      </c>
      <c r="CM844" s="1">
        <v>45022</v>
      </c>
      <c r="CN844" s="1">
        <v>10.3</v>
      </c>
      <c r="CO844" s="1">
        <v>45014</v>
      </c>
      <c r="CP844" s="1">
        <v>9.09</v>
      </c>
      <c r="CQ844" s="1">
        <v>45014</v>
      </c>
      <c r="CR844" s="1">
        <v>8</v>
      </c>
      <c r="CS844" s="1">
        <v>45014</v>
      </c>
      <c r="CT844" s="1">
        <v>7.43</v>
      </c>
    </row>
    <row r="845" spans="31:98" x14ac:dyDescent="0.2">
      <c r="AE845" s="1">
        <v>45013</v>
      </c>
      <c r="AF845" s="1">
        <v>6.75</v>
      </c>
      <c r="AG845" s="3">
        <v>44973</v>
      </c>
      <c r="AH845" s="1">
        <v>6.94</v>
      </c>
      <c r="AI845" s="1">
        <v>45021</v>
      </c>
      <c r="AJ845" s="2">
        <v>6.8659999999999997</v>
      </c>
      <c r="AK845" s="3">
        <v>45021</v>
      </c>
      <c r="AL845" s="2">
        <v>6.85</v>
      </c>
      <c r="AM845" s="1">
        <v>45021</v>
      </c>
      <c r="AN845" s="2">
        <v>6.83</v>
      </c>
      <c r="AO845" s="1">
        <v>45021</v>
      </c>
      <c r="AP845" s="2">
        <v>6.6749999999999998</v>
      </c>
      <c r="AQ845" s="1">
        <v>45021</v>
      </c>
      <c r="AR845" s="2">
        <v>6.27</v>
      </c>
      <c r="AS845" s="1">
        <v>45021</v>
      </c>
      <c r="AT845" s="2">
        <v>5.89</v>
      </c>
      <c r="AU845" s="1">
        <v>45021</v>
      </c>
      <c r="AV845" s="2">
        <v>5.5350000000000001</v>
      </c>
      <c r="AW845" s="1">
        <v>45021</v>
      </c>
      <c r="AX845" s="2">
        <v>5.2350000000000003</v>
      </c>
      <c r="AY845" s="1">
        <v>45021</v>
      </c>
      <c r="AZ845" s="2">
        <v>4.9649999999999999</v>
      </c>
      <c r="BB845" s="1">
        <v>44956</v>
      </c>
      <c r="BC845" s="1">
        <v>7</v>
      </c>
      <c r="BD845" s="3">
        <v>44972</v>
      </c>
      <c r="BE845" s="1">
        <v>7.2</v>
      </c>
      <c r="BF845" s="1">
        <v>45021</v>
      </c>
      <c r="BG845" s="1">
        <v>7.16</v>
      </c>
      <c r="BH845" s="3">
        <v>45021</v>
      </c>
      <c r="BI845" s="1">
        <v>7.16</v>
      </c>
      <c r="BJ845" s="1">
        <v>45021</v>
      </c>
      <c r="BK845" s="1">
        <v>7.1050000000000004</v>
      </c>
      <c r="BL845" s="1">
        <v>45021</v>
      </c>
      <c r="BM845" s="1">
        <v>6.71</v>
      </c>
      <c r="BN845" s="1">
        <v>45021</v>
      </c>
      <c r="BO845" s="1">
        <v>6.01</v>
      </c>
      <c r="BP845" s="1">
        <v>45021</v>
      </c>
      <c r="BQ845" s="1">
        <v>5.415</v>
      </c>
      <c r="BR845" s="1">
        <v>45021</v>
      </c>
      <c r="BS845" s="1">
        <v>4.84</v>
      </c>
      <c r="BT845" s="1">
        <v>45021</v>
      </c>
      <c r="BU845" s="1">
        <v>4.43</v>
      </c>
      <c r="BV845" s="1">
        <v>45021</v>
      </c>
      <c r="BW845" s="1">
        <v>4.0830000000000002</v>
      </c>
      <c r="BY845" s="1">
        <v>44967</v>
      </c>
      <c r="BZ845" s="1">
        <v>13</v>
      </c>
      <c r="CA845" s="3">
        <v>44964</v>
      </c>
      <c r="CB845" s="1">
        <v>16.05</v>
      </c>
      <c r="CC845" s="1">
        <v>45021</v>
      </c>
      <c r="CD845" s="1">
        <v>15.92</v>
      </c>
      <c r="CE845" s="3">
        <v>45021</v>
      </c>
      <c r="CF845" s="1">
        <v>15.28</v>
      </c>
      <c r="CG845" s="1">
        <v>45021</v>
      </c>
      <c r="CH845" s="1">
        <v>14.65</v>
      </c>
      <c r="CI845" s="1">
        <v>45021</v>
      </c>
      <c r="CJ845" s="1">
        <v>12.9</v>
      </c>
      <c r="CK845" s="1">
        <v>45021</v>
      </c>
      <c r="CL845" s="1">
        <v>11.5</v>
      </c>
      <c r="CM845" s="1">
        <v>45021</v>
      </c>
      <c r="CN845" s="1">
        <v>10.36</v>
      </c>
      <c r="CO845" s="1">
        <v>45013</v>
      </c>
      <c r="CP845" s="1">
        <v>9.15</v>
      </c>
      <c r="CQ845" s="1">
        <v>45013</v>
      </c>
      <c r="CR845" s="1">
        <v>8.06</v>
      </c>
      <c r="CS845" s="1">
        <v>45013</v>
      </c>
      <c r="CT845" s="1">
        <v>7.49</v>
      </c>
    </row>
    <row r="846" spans="31:98" x14ac:dyDescent="0.2">
      <c r="AE846" s="1">
        <v>45012</v>
      </c>
      <c r="AF846" s="1">
        <v>6.75</v>
      </c>
      <c r="AG846" s="3">
        <v>44972</v>
      </c>
      <c r="AH846" s="1">
        <v>6.93</v>
      </c>
      <c r="AI846" s="1">
        <v>45020</v>
      </c>
      <c r="AJ846" s="2">
        <v>6.8789999999999996</v>
      </c>
      <c r="AK846" s="3">
        <v>45020</v>
      </c>
      <c r="AL846" s="2">
        <v>6.85</v>
      </c>
      <c r="AM846" s="1">
        <v>45020</v>
      </c>
      <c r="AN846" s="2">
        <v>6.84</v>
      </c>
      <c r="AO846" s="1">
        <v>45020</v>
      </c>
      <c r="AP846" s="2">
        <v>6.7149999999999999</v>
      </c>
      <c r="AQ846" s="1">
        <v>45020</v>
      </c>
      <c r="AR846" s="2">
        <v>6.31</v>
      </c>
      <c r="AS846" s="1">
        <v>45020</v>
      </c>
      <c r="AT846" s="2">
        <v>5.95</v>
      </c>
      <c r="AU846" s="1">
        <v>45020</v>
      </c>
      <c r="AV846" s="2">
        <v>5.6</v>
      </c>
      <c r="AW846" s="1">
        <v>45020</v>
      </c>
      <c r="AX846" s="2">
        <v>5.3</v>
      </c>
      <c r="AY846" s="1">
        <v>45020</v>
      </c>
      <c r="AZ846" s="2">
        <v>5.03</v>
      </c>
      <c r="BB846" s="1">
        <v>44953</v>
      </c>
      <c r="BC846" s="1">
        <v>7</v>
      </c>
      <c r="BD846" s="3">
        <v>44971</v>
      </c>
      <c r="BE846" s="1">
        <v>7.2</v>
      </c>
      <c r="BF846" s="1">
        <v>45020</v>
      </c>
      <c r="BG846" s="1">
        <v>7.15</v>
      </c>
      <c r="BH846" s="3">
        <v>45020</v>
      </c>
      <c r="BI846" s="1">
        <v>7.165</v>
      </c>
      <c r="BJ846" s="1">
        <v>45020</v>
      </c>
      <c r="BK846" s="1">
        <v>7.12</v>
      </c>
      <c r="BL846" s="1">
        <v>45020</v>
      </c>
      <c r="BM846" s="1">
        <v>6.75</v>
      </c>
      <c r="BN846" s="1">
        <v>45020</v>
      </c>
      <c r="BO846" s="1">
        <v>6.06</v>
      </c>
      <c r="BP846" s="1">
        <v>45020</v>
      </c>
      <c r="BQ846" s="1">
        <v>5.5</v>
      </c>
      <c r="BR846" s="1">
        <v>45020</v>
      </c>
      <c r="BS846" s="1">
        <v>4.9450000000000003</v>
      </c>
      <c r="BT846" s="1">
        <v>45020</v>
      </c>
      <c r="BU846" s="1">
        <v>4.5579999999999998</v>
      </c>
      <c r="BV846" s="1">
        <v>45020</v>
      </c>
      <c r="BW846" s="1">
        <v>4.21</v>
      </c>
      <c r="BY846" s="1">
        <v>44966</v>
      </c>
      <c r="BZ846" s="1">
        <v>13</v>
      </c>
      <c r="CA846" s="3">
        <v>44963</v>
      </c>
      <c r="CB846" s="1">
        <v>16.05</v>
      </c>
      <c r="CC846" s="1">
        <v>45020</v>
      </c>
      <c r="CD846" s="1">
        <v>15.87</v>
      </c>
      <c r="CE846" s="3">
        <v>45020</v>
      </c>
      <c r="CF846" s="1">
        <v>15.36</v>
      </c>
      <c r="CG846" s="1">
        <v>45020</v>
      </c>
      <c r="CH846" s="1">
        <v>14.8</v>
      </c>
      <c r="CI846" s="1">
        <v>45020</v>
      </c>
      <c r="CJ846" s="1">
        <v>13</v>
      </c>
      <c r="CK846" s="1">
        <v>45020</v>
      </c>
      <c r="CL846" s="1">
        <v>11.6</v>
      </c>
      <c r="CM846" s="1">
        <v>45020</v>
      </c>
      <c r="CN846" s="1">
        <v>10.55</v>
      </c>
      <c r="CO846" s="1">
        <v>45012</v>
      </c>
      <c r="CP846" s="1">
        <v>8.75</v>
      </c>
      <c r="CQ846" s="1">
        <v>45012</v>
      </c>
      <c r="CR846" s="1">
        <v>7.8</v>
      </c>
      <c r="CS846" s="1">
        <v>45012</v>
      </c>
      <c r="CT846" s="1">
        <v>7.25</v>
      </c>
    </row>
    <row r="847" spans="31:98" x14ac:dyDescent="0.2">
      <c r="AE847" s="1">
        <v>45009</v>
      </c>
      <c r="AF847" s="1">
        <v>6.75</v>
      </c>
      <c r="AG847" s="3">
        <v>44971</v>
      </c>
      <c r="AH847" s="1">
        <v>6.93</v>
      </c>
      <c r="AI847" s="1">
        <v>45019</v>
      </c>
      <c r="AJ847" s="2">
        <v>6.89</v>
      </c>
      <c r="AK847" s="3">
        <v>45019</v>
      </c>
      <c r="AL847" s="2">
        <v>6.88</v>
      </c>
      <c r="AM847" s="1">
        <v>45019</v>
      </c>
      <c r="AN847" s="2">
        <v>6.87</v>
      </c>
      <c r="AO847" s="1">
        <v>45019</v>
      </c>
      <c r="AP847" s="2">
        <v>6.77</v>
      </c>
      <c r="AQ847" s="1">
        <v>45019</v>
      </c>
      <c r="AR847" s="2">
        <v>6.3449999999999998</v>
      </c>
      <c r="AS847" s="1">
        <v>45019</v>
      </c>
      <c r="AT847" s="2">
        <v>5.9550000000000001</v>
      </c>
      <c r="AU847" s="1">
        <v>45019</v>
      </c>
      <c r="AV847" s="2">
        <v>5.6</v>
      </c>
      <c r="AW847" s="1">
        <v>45019</v>
      </c>
      <c r="AX847" s="2">
        <v>5.3</v>
      </c>
      <c r="AY847" s="1">
        <v>45019</v>
      </c>
      <c r="AZ847" s="2">
        <v>5.03</v>
      </c>
      <c r="BB847" s="1">
        <v>44952</v>
      </c>
      <c r="BC847" s="1">
        <v>7</v>
      </c>
      <c r="BD847" s="3">
        <v>44970</v>
      </c>
      <c r="BE847" s="1">
        <v>7.2</v>
      </c>
      <c r="BF847" s="1">
        <v>45019</v>
      </c>
      <c r="BG847" s="1">
        <v>7.17</v>
      </c>
      <c r="BH847" s="3">
        <v>45019</v>
      </c>
      <c r="BI847" s="1">
        <v>7.1429999999999998</v>
      </c>
      <c r="BJ847" s="1">
        <v>45019</v>
      </c>
      <c r="BK847" s="1">
        <v>7.14</v>
      </c>
      <c r="BL847" s="1">
        <v>45019</v>
      </c>
      <c r="BM847" s="1">
        <v>6.8150000000000004</v>
      </c>
      <c r="BN847" s="1">
        <v>45019</v>
      </c>
      <c r="BO847" s="1">
        <v>6.18</v>
      </c>
      <c r="BP847" s="1">
        <v>45019</v>
      </c>
      <c r="BQ847" s="1">
        <v>5.6349999999999998</v>
      </c>
      <c r="BR847" s="1">
        <v>45019</v>
      </c>
      <c r="BS847" s="1">
        <v>5.0750000000000002</v>
      </c>
      <c r="BT847" s="1">
        <v>45019</v>
      </c>
      <c r="BU847" s="1">
        <v>4.68</v>
      </c>
      <c r="BV847" s="1">
        <v>45019</v>
      </c>
      <c r="BW847" s="1">
        <v>4.3250000000000002</v>
      </c>
      <c r="BY847" s="1">
        <v>44965</v>
      </c>
      <c r="BZ847" s="1">
        <v>13</v>
      </c>
      <c r="CA847" s="3">
        <v>44960</v>
      </c>
      <c r="CB847" s="1">
        <v>16.05</v>
      </c>
      <c r="CC847" s="1">
        <v>45019</v>
      </c>
      <c r="CD847" s="1">
        <v>16</v>
      </c>
      <c r="CE847" s="3">
        <v>45019</v>
      </c>
      <c r="CF847" s="1">
        <v>15.63</v>
      </c>
      <c r="CG847" s="1">
        <v>45019</v>
      </c>
      <c r="CH847" s="1">
        <v>15.15</v>
      </c>
      <c r="CI847" s="1">
        <v>45019</v>
      </c>
      <c r="CJ847" s="1">
        <v>13.35</v>
      </c>
      <c r="CK847" s="1">
        <v>45019</v>
      </c>
      <c r="CL847" s="1">
        <v>12.05</v>
      </c>
      <c r="CM847" s="1">
        <v>45019</v>
      </c>
      <c r="CN847" s="1">
        <v>10.85</v>
      </c>
      <c r="CO847" s="1">
        <v>45009</v>
      </c>
      <c r="CP847" s="1">
        <v>8.74</v>
      </c>
      <c r="CQ847" s="1">
        <v>45009</v>
      </c>
      <c r="CR847" s="1">
        <v>7.79</v>
      </c>
      <c r="CS847" s="1">
        <v>45009</v>
      </c>
      <c r="CT847" s="1">
        <v>7.24</v>
      </c>
    </row>
    <row r="848" spans="31:98" x14ac:dyDescent="0.2">
      <c r="AE848" s="1">
        <v>45008</v>
      </c>
      <c r="AF848" s="1">
        <v>6.75</v>
      </c>
      <c r="AG848" s="3">
        <v>44970</v>
      </c>
      <c r="AH848" s="1">
        <v>6.92</v>
      </c>
      <c r="AI848" s="1">
        <v>45016</v>
      </c>
      <c r="AJ848" s="2">
        <v>6.883</v>
      </c>
      <c r="AK848" s="3">
        <v>45016</v>
      </c>
      <c r="AL848" s="2">
        <v>6.875</v>
      </c>
      <c r="AM848" s="1">
        <v>45016</v>
      </c>
      <c r="AN848" s="2">
        <v>6.8650000000000002</v>
      </c>
      <c r="AO848" s="1">
        <v>45016</v>
      </c>
      <c r="AP848" s="2">
        <v>6.75</v>
      </c>
      <c r="AQ848" s="1">
        <v>45016</v>
      </c>
      <c r="AR848" s="2">
        <v>6.335</v>
      </c>
      <c r="AS848" s="1">
        <v>45016</v>
      </c>
      <c r="AT848" s="2">
        <v>5.94</v>
      </c>
      <c r="AU848" s="1">
        <v>45016</v>
      </c>
      <c r="AV848" s="2">
        <v>5.56</v>
      </c>
      <c r="AW848" s="1">
        <v>45016</v>
      </c>
      <c r="AX848" s="2">
        <v>5.25</v>
      </c>
      <c r="AY848" s="1">
        <v>45016</v>
      </c>
      <c r="AZ848" s="2">
        <v>4.9649999999999999</v>
      </c>
      <c r="BB848" s="1">
        <v>44951</v>
      </c>
      <c r="BC848" s="1">
        <v>7</v>
      </c>
      <c r="BD848" s="3">
        <v>44967</v>
      </c>
      <c r="BE848" s="1">
        <v>7.2</v>
      </c>
      <c r="BF848" s="1">
        <v>45016</v>
      </c>
      <c r="BG848" s="1">
        <v>7.17</v>
      </c>
      <c r="BH848" s="3">
        <v>45016</v>
      </c>
      <c r="BI848" s="1">
        <v>7.16</v>
      </c>
      <c r="BJ848" s="1">
        <v>45016</v>
      </c>
      <c r="BK848" s="1">
        <v>7.125</v>
      </c>
      <c r="BL848" s="1">
        <v>45016</v>
      </c>
      <c r="BM848" s="1">
        <v>6.7779999999999996</v>
      </c>
      <c r="BN848" s="1">
        <v>45016</v>
      </c>
      <c r="BO848" s="1">
        <v>6.1630000000000003</v>
      </c>
      <c r="BP848" s="1">
        <v>45016</v>
      </c>
      <c r="BQ848" s="1">
        <v>5.6029999999999998</v>
      </c>
      <c r="BR848" s="1">
        <v>45016</v>
      </c>
      <c r="BS848" s="1">
        <v>5.0199999999999996</v>
      </c>
      <c r="BT848" s="1">
        <v>45016</v>
      </c>
      <c r="BU848" s="1">
        <v>4.6230000000000002</v>
      </c>
      <c r="BV848" s="1">
        <v>45016</v>
      </c>
      <c r="BW848" s="1">
        <v>4.2779999999999996</v>
      </c>
      <c r="BY848" s="1">
        <v>44964</v>
      </c>
      <c r="BZ848" s="1">
        <v>13</v>
      </c>
      <c r="CA848" s="3">
        <v>44959</v>
      </c>
      <c r="CB848" s="1">
        <v>16.05</v>
      </c>
      <c r="CC848" s="1">
        <v>45016</v>
      </c>
      <c r="CD848" s="1">
        <v>15.99</v>
      </c>
      <c r="CE848" s="3">
        <v>45016</v>
      </c>
      <c r="CF848" s="1">
        <v>15.58</v>
      </c>
      <c r="CG848" s="1">
        <v>45016</v>
      </c>
      <c r="CH848" s="1">
        <v>15.1</v>
      </c>
      <c r="CI848" s="1">
        <v>45016</v>
      </c>
      <c r="CJ848" s="1">
        <v>13.3</v>
      </c>
      <c r="CK848" s="1">
        <v>45016</v>
      </c>
      <c r="CL848" s="1">
        <v>12</v>
      </c>
      <c r="CM848" s="1">
        <v>45016</v>
      </c>
      <c r="CN848" s="1">
        <v>10.6</v>
      </c>
      <c r="CO848" s="1">
        <v>45008</v>
      </c>
      <c r="CP848" s="1">
        <v>8.74</v>
      </c>
      <c r="CQ848" s="1">
        <v>45008</v>
      </c>
      <c r="CR848" s="1">
        <v>7.79</v>
      </c>
      <c r="CS848" s="1">
        <v>45008</v>
      </c>
      <c r="CT848" s="1">
        <v>7.24</v>
      </c>
    </row>
    <row r="849" spans="31:98" x14ac:dyDescent="0.2">
      <c r="AE849" s="1">
        <v>45007</v>
      </c>
      <c r="AF849" s="1">
        <v>6.75</v>
      </c>
      <c r="AG849" s="3">
        <v>44967</v>
      </c>
      <c r="AH849" s="1">
        <v>6.93</v>
      </c>
      <c r="AI849" s="1">
        <v>45015</v>
      </c>
      <c r="AJ849" s="2">
        <v>6.8689999999999998</v>
      </c>
      <c r="AK849" s="3">
        <v>45015</v>
      </c>
      <c r="AL849" s="2">
        <v>6.86</v>
      </c>
      <c r="AM849" s="1">
        <v>45015</v>
      </c>
      <c r="AN849" s="2">
        <v>6.8150000000000004</v>
      </c>
      <c r="AO849" s="1">
        <v>45015</v>
      </c>
      <c r="AP849" s="2">
        <v>6.63</v>
      </c>
      <c r="AQ849" s="1">
        <v>45015</v>
      </c>
      <c r="AR849" s="2">
        <v>6.2450000000000001</v>
      </c>
      <c r="AS849" s="1">
        <v>45015</v>
      </c>
      <c r="AT849" s="2">
        <v>5.84</v>
      </c>
      <c r="AU849" s="1">
        <v>45015</v>
      </c>
      <c r="AV849" s="2">
        <v>5.4550000000000001</v>
      </c>
      <c r="AW849" s="1">
        <v>45015</v>
      </c>
      <c r="AX849" s="2">
        <v>5.12</v>
      </c>
      <c r="AY849" s="1">
        <v>45015</v>
      </c>
      <c r="AZ849" s="2">
        <v>4.8499999999999996</v>
      </c>
      <c r="BB849" s="1">
        <v>44950</v>
      </c>
      <c r="BC849" s="1">
        <v>7</v>
      </c>
      <c r="BD849" s="3">
        <v>44966</v>
      </c>
      <c r="BE849" s="1">
        <v>7.2</v>
      </c>
      <c r="BF849" s="1">
        <v>45015</v>
      </c>
      <c r="BG849" s="1">
        <v>7.17</v>
      </c>
      <c r="BH849" s="3">
        <v>45015</v>
      </c>
      <c r="BI849" s="1">
        <v>7.17</v>
      </c>
      <c r="BJ849" s="1">
        <v>45015</v>
      </c>
      <c r="BK849" s="1">
        <v>7.1449999999999996</v>
      </c>
      <c r="BL849" s="1">
        <v>45015</v>
      </c>
      <c r="BM849" s="1">
        <v>6.7549999999999999</v>
      </c>
      <c r="BN849" s="1">
        <v>45015</v>
      </c>
      <c r="BO849" s="1">
        <v>6.1150000000000002</v>
      </c>
      <c r="BP849" s="1">
        <v>45015</v>
      </c>
      <c r="BQ849" s="1">
        <v>5.55</v>
      </c>
      <c r="BR849" s="1">
        <v>45015</v>
      </c>
      <c r="BS849" s="1">
        <v>4.9530000000000003</v>
      </c>
      <c r="BT849" s="1">
        <v>45015</v>
      </c>
      <c r="BU849" s="1">
        <v>4.55</v>
      </c>
      <c r="BV849" s="1">
        <v>45015</v>
      </c>
      <c r="BW849" s="1">
        <v>4.1950000000000003</v>
      </c>
      <c r="BY849" s="1">
        <v>44963</v>
      </c>
      <c r="BZ849" s="1">
        <v>13</v>
      </c>
      <c r="CA849" s="3">
        <v>44958</v>
      </c>
      <c r="CB849" s="1">
        <v>16.05</v>
      </c>
      <c r="CC849" s="1">
        <v>45015</v>
      </c>
      <c r="CD849" s="1">
        <v>15.92</v>
      </c>
      <c r="CE849" s="3">
        <v>45015</v>
      </c>
      <c r="CF849" s="1">
        <v>15.44</v>
      </c>
      <c r="CG849" s="1">
        <v>45015</v>
      </c>
      <c r="CH849" s="1">
        <v>14.85</v>
      </c>
      <c r="CI849" s="1">
        <v>45015</v>
      </c>
      <c r="CJ849" s="1">
        <v>13.05</v>
      </c>
      <c r="CK849" s="1">
        <v>45015</v>
      </c>
      <c r="CL849" s="1">
        <v>11.75</v>
      </c>
      <c r="CM849" s="1">
        <v>45015</v>
      </c>
      <c r="CN849" s="1">
        <v>10.43</v>
      </c>
      <c r="CO849" s="1">
        <v>45007</v>
      </c>
      <c r="CP849" s="1">
        <v>8.84</v>
      </c>
      <c r="CQ849" s="1">
        <v>45007</v>
      </c>
      <c r="CR849" s="1">
        <v>7.89</v>
      </c>
      <c r="CS849" s="1">
        <v>45007</v>
      </c>
      <c r="CT849" s="1">
        <v>7.34</v>
      </c>
    </row>
    <row r="850" spans="31:98" x14ac:dyDescent="0.2">
      <c r="AE850" s="1">
        <v>45006</v>
      </c>
      <c r="AF850" s="1">
        <v>6.75</v>
      </c>
      <c r="AG850" s="3">
        <v>44966</v>
      </c>
      <c r="AH850" s="1">
        <v>6.94</v>
      </c>
      <c r="AI850" s="1">
        <v>45014</v>
      </c>
      <c r="AJ850" s="2">
        <v>6.8689999999999998</v>
      </c>
      <c r="AK850" s="3">
        <v>45014</v>
      </c>
      <c r="AL850" s="2">
        <v>6.88</v>
      </c>
      <c r="AM850" s="1">
        <v>45014</v>
      </c>
      <c r="AN850" s="2">
        <v>6.83</v>
      </c>
      <c r="AO850" s="1">
        <v>45014</v>
      </c>
      <c r="AP850" s="2">
        <v>6.6950000000000003</v>
      </c>
      <c r="AQ850" s="1">
        <v>45014</v>
      </c>
      <c r="AR850" s="2">
        <v>6.28</v>
      </c>
      <c r="AS850" s="1">
        <v>45014</v>
      </c>
      <c r="AT850" s="2">
        <v>5.85</v>
      </c>
      <c r="AU850" s="1">
        <v>45014</v>
      </c>
      <c r="AV850" s="2">
        <v>5.46</v>
      </c>
      <c r="AW850" s="1">
        <v>45014</v>
      </c>
      <c r="AX850" s="2">
        <v>5.12</v>
      </c>
      <c r="AY850" s="1">
        <v>45014</v>
      </c>
      <c r="AZ850" s="2">
        <v>4.8499999999999996</v>
      </c>
      <c r="BB850" s="1">
        <v>44949</v>
      </c>
      <c r="BC850" s="1">
        <v>7</v>
      </c>
      <c r="BD850" s="3">
        <v>44965</v>
      </c>
      <c r="BE850" s="1">
        <v>7.2</v>
      </c>
      <c r="BF850" s="1">
        <v>45014</v>
      </c>
      <c r="BG850" s="1">
        <v>7.17</v>
      </c>
      <c r="BH850" s="3">
        <v>45014</v>
      </c>
      <c r="BI850" s="1">
        <v>7.1550000000000002</v>
      </c>
      <c r="BJ850" s="1">
        <v>45014</v>
      </c>
      <c r="BK850" s="1">
        <v>7.1150000000000002</v>
      </c>
      <c r="BL850" s="1">
        <v>45014</v>
      </c>
      <c r="BM850" s="1">
        <v>6.8049999999999997</v>
      </c>
      <c r="BN850" s="1">
        <v>45014</v>
      </c>
      <c r="BO850" s="1">
        <v>6.0650000000000004</v>
      </c>
      <c r="BP850" s="1">
        <v>45014</v>
      </c>
      <c r="BQ850" s="1">
        <v>5.5250000000000004</v>
      </c>
      <c r="BR850" s="1">
        <v>45014</v>
      </c>
      <c r="BS850" s="1">
        <v>4.9649999999999999</v>
      </c>
      <c r="BT850" s="1">
        <v>45014</v>
      </c>
      <c r="BU850" s="1">
        <v>4.58</v>
      </c>
      <c r="BV850" s="1">
        <v>45014</v>
      </c>
      <c r="BW850" s="1">
        <v>4.2430000000000003</v>
      </c>
      <c r="BY850" s="1">
        <v>44960</v>
      </c>
      <c r="BZ850" s="1">
        <v>13</v>
      </c>
      <c r="CA850" s="3">
        <v>44957</v>
      </c>
      <c r="CB850" s="1">
        <v>16.05</v>
      </c>
      <c r="CC850" s="1">
        <v>45014</v>
      </c>
      <c r="CD850" s="1">
        <v>15.8</v>
      </c>
      <c r="CE850" s="3">
        <v>45014</v>
      </c>
      <c r="CF850" s="1">
        <v>15.31</v>
      </c>
      <c r="CG850" s="1">
        <v>45014</v>
      </c>
      <c r="CH850" s="1">
        <v>14.65</v>
      </c>
      <c r="CI850" s="1">
        <v>45014</v>
      </c>
      <c r="CJ850" s="1">
        <v>12.9</v>
      </c>
      <c r="CK850" s="1">
        <v>45014</v>
      </c>
      <c r="CL850" s="1">
        <v>11.6</v>
      </c>
      <c r="CM850" s="1">
        <v>45014</v>
      </c>
      <c r="CN850" s="1">
        <v>10.3</v>
      </c>
      <c r="CO850" s="1">
        <v>45006</v>
      </c>
      <c r="CP850" s="1">
        <v>8.91</v>
      </c>
      <c r="CQ850" s="1">
        <v>45006</v>
      </c>
      <c r="CR850" s="1">
        <v>7.96</v>
      </c>
      <c r="CS850" s="1">
        <v>45006</v>
      </c>
      <c r="CT850" s="1">
        <v>7.41</v>
      </c>
    </row>
    <row r="851" spans="31:98" x14ac:dyDescent="0.2">
      <c r="AE851" s="1">
        <v>45005</v>
      </c>
      <c r="AF851" s="1">
        <v>6.75</v>
      </c>
      <c r="AG851" s="3">
        <v>44965</v>
      </c>
      <c r="AH851" s="1">
        <v>6.94</v>
      </c>
      <c r="AI851" s="1">
        <v>45013</v>
      </c>
      <c r="AJ851" s="2">
        <v>6.8689999999999998</v>
      </c>
      <c r="AK851" s="3">
        <v>45013</v>
      </c>
      <c r="AL851" s="2">
        <v>6.8550000000000004</v>
      </c>
      <c r="AM851" s="1">
        <v>45013</v>
      </c>
      <c r="AN851" s="2">
        <v>6.8</v>
      </c>
      <c r="AO851" s="1">
        <v>45013</v>
      </c>
      <c r="AP851" s="2">
        <v>6.6</v>
      </c>
      <c r="AQ851" s="1">
        <v>45013</v>
      </c>
      <c r="AR851" s="2">
        <v>6.18</v>
      </c>
      <c r="AS851" s="1">
        <v>45013</v>
      </c>
      <c r="AT851" s="2">
        <v>5.76</v>
      </c>
      <c r="AU851" s="1">
        <v>45013</v>
      </c>
      <c r="AV851" s="2">
        <v>5.38</v>
      </c>
      <c r="AW851" s="1">
        <v>45013</v>
      </c>
      <c r="AX851" s="2">
        <v>5.05</v>
      </c>
      <c r="AY851" s="1">
        <v>45013</v>
      </c>
      <c r="AZ851" s="2">
        <v>4.78</v>
      </c>
      <c r="BB851" s="1">
        <v>44946</v>
      </c>
      <c r="BC851" s="1">
        <v>7</v>
      </c>
      <c r="BD851" s="3">
        <v>44964</v>
      </c>
      <c r="BE851" s="1">
        <v>7.2</v>
      </c>
      <c r="BF851" s="1">
        <v>45013</v>
      </c>
      <c r="BG851" s="1">
        <v>7.16</v>
      </c>
      <c r="BH851" s="3">
        <v>45013</v>
      </c>
      <c r="BI851" s="1">
        <v>7.1349999999999998</v>
      </c>
      <c r="BJ851" s="1">
        <v>45013</v>
      </c>
      <c r="BK851" s="1">
        <v>7.085</v>
      </c>
      <c r="BL851" s="1">
        <v>45013</v>
      </c>
      <c r="BM851" s="1">
        <v>6.7249999999999996</v>
      </c>
      <c r="BN851" s="1">
        <v>45013</v>
      </c>
      <c r="BO851" s="1">
        <v>5.9850000000000003</v>
      </c>
      <c r="BP851" s="1">
        <v>45013</v>
      </c>
      <c r="BQ851" s="1">
        <v>5.45</v>
      </c>
      <c r="BR851" s="1">
        <v>45013</v>
      </c>
      <c r="BS851" s="1">
        <v>4.8230000000000004</v>
      </c>
      <c r="BT851" s="1">
        <v>45013</v>
      </c>
      <c r="BU851" s="1">
        <v>4.4130000000000003</v>
      </c>
      <c r="BV851" s="1">
        <v>45013</v>
      </c>
      <c r="BW851" s="1">
        <v>4.0529999999999999</v>
      </c>
      <c r="BY851" s="1">
        <v>44959</v>
      </c>
      <c r="BZ851" s="1">
        <v>13</v>
      </c>
      <c r="CA851" s="3">
        <v>44956</v>
      </c>
      <c r="CB851" s="1">
        <v>16.04</v>
      </c>
      <c r="CC851" s="1">
        <v>45013</v>
      </c>
      <c r="CD851" s="1">
        <v>15.79</v>
      </c>
      <c r="CE851" s="3">
        <v>45013</v>
      </c>
      <c r="CF851" s="1">
        <v>15.28</v>
      </c>
      <c r="CG851" s="1">
        <v>45013</v>
      </c>
      <c r="CH851" s="1">
        <v>14.6</v>
      </c>
      <c r="CI851" s="1">
        <v>45013</v>
      </c>
      <c r="CJ851" s="1">
        <v>12.8</v>
      </c>
      <c r="CK851" s="1">
        <v>45013</v>
      </c>
      <c r="CL851" s="1">
        <v>11.55</v>
      </c>
      <c r="CM851" s="1">
        <v>45013</v>
      </c>
      <c r="CN851" s="1">
        <v>10.3</v>
      </c>
      <c r="CO851" s="1">
        <v>45005</v>
      </c>
      <c r="CP851" s="1">
        <v>9.4</v>
      </c>
      <c r="CQ851" s="1">
        <v>45005</v>
      </c>
      <c r="CR851" s="1">
        <v>8.3800000000000008</v>
      </c>
      <c r="CS851" s="1">
        <v>45005</v>
      </c>
      <c r="CT851" s="1">
        <v>7.76</v>
      </c>
    </row>
    <row r="852" spans="31:98" x14ac:dyDescent="0.2">
      <c r="AE852" s="1">
        <v>45002</v>
      </c>
      <c r="AF852" s="1">
        <v>6.75</v>
      </c>
      <c r="AG852" s="3">
        <v>44964</v>
      </c>
      <c r="AH852" s="1">
        <v>6.92</v>
      </c>
      <c r="AI852" s="1">
        <v>45012</v>
      </c>
      <c r="AJ852" s="2">
        <v>6.867</v>
      </c>
      <c r="AK852" s="3">
        <v>45012</v>
      </c>
      <c r="AL852" s="2">
        <v>6.84</v>
      </c>
      <c r="AM852" s="1">
        <v>45012</v>
      </c>
      <c r="AN852" s="2">
        <v>6.7949999999999999</v>
      </c>
      <c r="AO852" s="1">
        <v>45012</v>
      </c>
      <c r="AP852" s="2">
        <v>6.58</v>
      </c>
      <c r="AQ852" s="1">
        <v>45012</v>
      </c>
      <c r="AR852" s="2">
        <v>6.1349999999999998</v>
      </c>
      <c r="AS852" s="1">
        <v>45012</v>
      </c>
      <c r="AT852" s="2">
        <v>5.72</v>
      </c>
      <c r="AU852" s="1">
        <v>45012</v>
      </c>
      <c r="AV852" s="2">
        <v>5.36</v>
      </c>
      <c r="AW852" s="1">
        <v>45012</v>
      </c>
      <c r="AX852" s="2">
        <v>5.01</v>
      </c>
      <c r="AY852" s="1">
        <v>45012</v>
      </c>
      <c r="AZ852" s="2">
        <v>4.74</v>
      </c>
      <c r="BB852" s="1">
        <v>44945</v>
      </c>
      <c r="BC852" s="1">
        <v>7</v>
      </c>
      <c r="BD852" s="3">
        <v>44963</v>
      </c>
      <c r="BE852" s="1">
        <v>7.2</v>
      </c>
      <c r="BF852" s="1">
        <v>45012</v>
      </c>
      <c r="BG852" s="1">
        <v>7.1449999999999996</v>
      </c>
      <c r="BH852" s="3">
        <v>45012</v>
      </c>
      <c r="BI852" s="1">
        <v>7.1280000000000001</v>
      </c>
      <c r="BJ852" s="1">
        <v>45012</v>
      </c>
      <c r="BK852" s="1">
        <v>7.06</v>
      </c>
      <c r="BL852" s="1">
        <v>45012</v>
      </c>
      <c r="BM852" s="1">
        <v>6.6950000000000003</v>
      </c>
      <c r="BN852" s="1">
        <v>45012</v>
      </c>
      <c r="BO852" s="1">
        <v>5.9450000000000003</v>
      </c>
      <c r="BP852" s="1">
        <v>45012</v>
      </c>
      <c r="BQ852" s="1">
        <v>5.37</v>
      </c>
      <c r="BR852" s="1">
        <v>45012</v>
      </c>
      <c r="BS852" s="1">
        <v>4.75</v>
      </c>
      <c r="BT852" s="1">
        <v>45012</v>
      </c>
      <c r="BU852" s="1">
        <v>4.3650000000000002</v>
      </c>
      <c r="BV852" s="1">
        <v>45012</v>
      </c>
      <c r="BW852" s="1">
        <v>3.9750000000000001</v>
      </c>
      <c r="BY852" s="1">
        <v>44958</v>
      </c>
      <c r="BZ852" s="1">
        <v>13</v>
      </c>
      <c r="CA852" s="3">
        <v>44953</v>
      </c>
      <c r="CB852" s="1">
        <v>16.03</v>
      </c>
      <c r="CC852" s="1">
        <v>45012</v>
      </c>
      <c r="CD852" s="1">
        <v>15.512</v>
      </c>
      <c r="CE852" s="3">
        <v>45012</v>
      </c>
      <c r="CF852" s="1">
        <v>14.8</v>
      </c>
      <c r="CG852" s="1">
        <v>45012</v>
      </c>
      <c r="CH852" s="1">
        <v>14.1</v>
      </c>
      <c r="CI852" s="1">
        <v>45012</v>
      </c>
      <c r="CJ852" s="1">
        <v>12.3</v>
      </c>
      <c r="CK852" s="1">
        <v>45012</v>
      </c>
      <c r="CL852" s="1">
        <v>11.05</v>
      </c>
      <c r="CM852" s="1">
        <v>45012</v>
      </c>
      <c r="CN852" s="1">
        <v>9.9</v>
      </c>
      <c r="CO852" s="1">
        <v>45002</v>
      </c>
      <c r="CP852" s="1">
        <v>9.4600000000000009</v>
      </c>
      <c r="CQ852" s="1">
        <v>45002</v>
      </c>
      <c r="CR852" s="1">
        <v>8.4</v>
      </c>
      <c r="CS852" s="1">
        <v>45002</v>
      </c>
      <c r="CT852" s="1">
        <v>7.78</v>
      </c>
    </row>
    <row r="853" spans="31:98" x14ac:dyDescent="0.2">
      <c r="AE853" s="1">
        <v>45001</v>
      </c>
      <c r="AF853" s="1">
        <v>6.75</v>
      </c>
      <c r="AG853" s="3">
        <v>44963</v>
      </c>
      <c r="AH853" s="1">
        <v>6.91</v>
      </c>
      <c r="AI853" s="1">
        <v>45009</v>
      </c>
      <c r="AJ853" s="2">
        <v>6.8529999999999998</v>
      </c>
      <c r="AK853" s="3">
        <v>45009</v>
      </c>
      <c r="AL853" s="2">
        <v>6.8449999999999998</v>
      </c>
      <c r="AM853" s="1">
        <v>45009</v>
      </c>
      <c r="AN853" s="2">
        <v>6.76</v>
      </c>
      <c r="AO853" s="1">
        <v>45009</v>
      </c>
      <c r="AP853" s="2">
        <v>6.55</v>
      </c>
      <c r="AQ853" s="1">
        <v>45009</v>
      </c>
      <c r="AR853" s="2">
        <v>6.1050000000000004</v>
      </c>
      <c r="AS853" s="1">
        <v>45009</v>
      </c>
      <c r="AT853" s="2">
        <v>5.665</v>
      </c>
      <c r="AU853" s="1">
        <v>45009</v>
      </c>
      <c r="AV853" s="2">
        <v>5.28</v>
      </c>
      <c r="AW853" s="1">
        <v>45009</v>
      </c>
      <c r="AX853" s="2">
        <v>4.915</v>
      </c>
      <c r="AY853" s="1">
        <v>45009</v>
      </c>
      <c r="AZ853" s="2">
        <v>4.6500000000000004</v>
      </c>
      <c r="BB853" s="1">
        <v>44944</v>
      </c>
      <c r="BC853" s="1">
        <v>7</v>
      </c>
      <c r="BD853" s="3">
        <v>44960</v>
      </c>
      <c r="BE853" s="1">
        <v>7.2</v>
      </c>
      <c r="BF853" s="1">
        <v>45009</v>
      </c>
      <c r="BG853" s="1">
        <v>7.165</v>
      </c>
      <c r="BH853" s="3">
        <v>45009</v>
      </c>
      <c r="BI853" s="1">
        <v>7.13</v>
      </c>
      <c r="BJ853" s="1">
        <v>45009</v>
      </c>
      <c r="BK853" s="1">
        <v>7.04</v>
      </c>
      <c r="BL853" s="1">
        <v>45009</v>
      </c>
      <c r="BM853" s="1">
        <v>6.6449999999999996</v>
      </c>
      <c r="BN853" s="1">
        <v>45009</v>
      </c>
      <c r="BO853" s="1">
        <v>5.8650000000000002</v>
      </c>
      <c r="BP853" s="1">
        <v>45009</v>
      </c>
      <c r="BQ853" s="1">
        <v>5.3</v>
      </c>
      <c r="BR853" s="1">
        <v>45009</v>
      </c>
      <c r="BS853" s="1">
        <v>4.6749999999999998</v>
      </c>
      <c r="BT853" s="1">
        <v>45009</v>
      </c>
      <c r="BU853" s="1">
        <v>4.29</v>
      </c>
      <c r="BV853" s="1">
        <v>45009</v>
      </c>
      <c r="BW853" s="1">
        <v>3.9</v>
      </c>
      <c r="BY853" s="1">
        <v>44957</v>
      </c>
      <c r="BZ853" s="1">
        <v>13</v>
      </c>
      <c r="CA853" s="1">
        <v>44952</v>
      </c>
      <c r="CB853" s="1">
        <v>16.02</v>
      </c>
      <c r="CC853" s="1">
        <v>45009</v>
      </c>
      <c r="CD853" s="1">
        <v>15.507</v>
      </c>
      <c r="CE853" s="3">
        <v>45009</v>
      </c>
      <c r="CF853" s="1">
        <v>14.804</v>
      </c>
      <c r="CG853" s="1">
        <v>45009</v>
      </c>
      <c r="CH853" s="1">
        <v>14.1</v>
      </c>
      <c r="CI853" s="1">
        <v>45009</v>
      </c>
      <c r="CJ853" s="1">
        <v>12.3</v>
      </c>
      <c r="CK853" s="1">
        <v>45009</v>
      </c>
      <c r="CL853" s="1">
        <v>11.05</v>
      </c>
      <c r="CM853" s="1">
        <v>45009</v>
      </c>
      <c r="CN853" s="1">
        <v>9.89</v>
      </c>
      <c r="CO853" s="1">
        <v>45001</v>
      </c>
      <c r="CP853" s="1">
        <v>9.41</v>
      </c>
      <c r="CQ853" s="1">
        <v>45001</v>
      </c>
      <c r="CR853" s="1">
        <v>8.35</v>
      </c>
      <c r="CS853" s="1">
        <v>45001</v>
      </c>
      <c r="CT853" s="1">
        <v>7.73</v>
      </c>
    </row>
    <row r="854" spans="31:98" x14ac:dyDescent="0.2">
      <c r="AE854" s="1">
        <v>45000</v>
      </c>
      <c r="AF854" s="1">
        <v>6.75</v>
      </c>
      <c r="AG854" s="3">
        <v>44960</v>
      </c>
      <c r="AH854" s="1">
        <v>6.92</v>
      </c>
      <c r="AI854" s="1">
        <v>45008</v>
      </c>
      <c r="AJ854" s="2">
        <v>6.8630000000000004</v>
      </c>
      <c r="AK854" s="3">
        <v>45008</v>
      </c>
      <c r="AL854" s="2">
        <v>6.84</v>
      </c>
      <c r="AM854" s="1">
        <v>45008</v>
      </c>
      <c r="AN854" s="2">
        <v>6.7750000000000004</v>
      </c>
      <c r="AO854" s="1">
        <v>45008</v>
      </c>
      <c r="AP854" s="2">
        <v>6.5949999999999998</v>
      </c>
      <c r="AQ854" s="1">
        <v>45008</v>
      </c>
      <c r="AR854" s="2">
        <v>6.1624999999999996</v>
      </c>
      <c r="AS854" s="1">
        <v>45008</v>
      </c>
      <c r="AT854" s="2">
        <v>5.7649999999999997</v>
      </c>
      <c r="AU854" s="1">
        <v>45008</v>
      </c>
      <c r="AV854" s="2">
        <v>5.3849999999999998</v>
      </c>
      <c r="AW854" s="1">
        <v>45008</v>
      </c>
      <c r="AX854" s="2">
        <v>5.0199999999999996</v>
      </c>
      <c r="AY854" s="1">
        <v>45008</v>
      </c>
      <c r="AZ854" s="2">
        <v>4.7549999999999999</v>
      </c>
      <c r="BB854" s="1">
        <v>44943</v>
      </c>
      <c r="BC854" s="1">
        <v>7</v>
      </c>
      <c r="BD854" s="1">
        <v>44959</v>
      </c>
      <c r="BE854" s="1">
        <v>7.2</v>
      </c>
      <c r="BF854" s="1">
        <v>45008</v>
      </c>
      <c r="BG854" s="1">
        <v>7.16</v>
      </c>
      <c r="BH854" s="3">
        <v>45008</v>
      </c>
      <c r="BI854" s="1">
        <v>7.1079999999999997</v>
      </c>
      <c r="BJ854" s="1">
        <v>45008</v>
      </c>
      <c r="BK854" s="1">
        <v>7.0449999999999999</v>
      </c>
      <c r="BL854" s="1">
        <v>45008</v>
      </c>
      <c r="BM854" s="1">
        <v>6.7030000000000003</v>
      </c>
      <c r="BN854" s="1">
        <v>45008</v>
      </c>
      <c r="BO854" s="1">
        <v>6.0650000000000004</v>
      </c>
      <c r="BP854" s="1">
        <v>45008</v>
      </c>
      <c r="BQ854" s="1">
        <v>5.4329999999999998</v>
      </c>
      <c r="BR854" s="1">
        <v>45008</v>
      </c>
      <c r="BS854" s="1">
        <v>4.8129999999999997</v>
      </c>
      <c r="BT854" s="1">
        <v>45008</v>
      </c>
      <c r="BU854" s="1">
        <v>4.3579999999999997</v>
      </c>
      <c r="BV854" s="1">
        <v>45008</v>
      </c>
      <c r="BW854" s="1">
        <v>4.0199999999999996</v>
      </c>
      <c r="BY854" s="1">
        <v>44956</v>
      </c>
      <c r="BZ854" s="1">
        <v>13</v>
      </c>
      <c r="CA854" s="1">
        <v>44951</v>
      </c>
      <c r="CB854" s="1">
        <v>16</v>
      </c>
      <c r="CC854" s="1">
        <v>45008</v>
      </c>
      <c r="CD854" s="1">
        <v>15.561</v>
      </c>
      <c r="CE854" s="3">
        <v>45008</v>
      </c>
      <c r="CF854" s="1">
        <v>14.882</v>
      </c>
      <c r="CG854" s="1">
        <v>45008</v>
      </c>
      <c r="CH854" s="1">
        <v>14.2</v>
      </c>
      <c r="CI854" s="1">
        <v>45008</v>
      </c>
      <c r="CJ854" s="1">
        <v>12.4</v>
      </c>
      <c r="CK854" s="1">
        <v>45008</v>
      </c>
      <c r="CL854" s="1">
        <v>11.15</v>
      </c>
      <c r="CM854" s="1">
        <v>45008</v>
      </c>
      <c r="CN854" s="1">
        <v>9.89</v>
      </c>
      <c r="CO854" s="1">
        <v>45000</v>
      </c>
      <c r="CP854" s="1">
        <v>9.41</v>
      </c>
      <c r="CQ854" s="1">
        <v>45000</v>
      </c>
      <c r="CR854" s="1">
        <v>8.35</v>
      </c>
      <c r="CS854" s="1">
        <v>45000</v>
      </c>
      <c r="CT854" s="1">
        <v>7.73</v>
      </c>
    </row>
    <row r="855" spans="31:98" x14ac:dyDescent="0.2">
      <c r="AE855" s="1">
        <v>44999</v>
      </c>
      <c r="AF855" s="1">
        <v>6.75</v>
      </c>
      <c r="AG855" s="3">
        <v>44959</v>
      </c>
      <c r="AH855" s="1">
        <v>6.93</v>
      </c>
      <c r="AI855" s="1">
        <v>45007</v>
      </c>
      <c r="AJ855" s="2">
        <v>6.8639999999999999</v>
      </c>
      <c r="AK855" s="3">
        <v>45007</v>
      </c>
      <c r="AL855" s="2">
        <v>6.84</v>
      </c>
      <c r="AM855" s="1">
        <v>45007</v>
      </c>
      <c r="AN855" s="2">
        <v>6.7925000000000004</v>
      </c>
      <c r="AO855" s="1">
        <v>45007</v>
      </c>
      <c r="AP855" s="2">
        <v>6.5913000000000004</v>
      </c>
      <c r="AQ855" s="1">
        <v>45007</v>
      </c>
      <c r="AR855" s="2">
        <v>6.2175000000000002</v>
      </c>
      <c r="AS855" s="1">
        <v>45007</v>
      </c>
      <c r="AT855" s="2">
        <v>5.73</v>
      </c>
      <c r="AU855" s="1">
        <v>45007</v>
      </c>
      <c r="AV855" s="2">
        <v>5.33</v>
      </c>
      <c r="AW855" s="1">
        <v>45007</v>
      </c>
      <c r="AX855" s="2">
        <v>4.97</v>
      </c>
      <c r="AY855" s="1">
        <v>45007</v>
      </c>
      <c r="AZ855" s="2">
        <v>4.7149999999999999</v>
      </c>
      <c r="BB855" s="1">
        <v>44942</v>
      </c>
      <c r="BC855" s="1">
        <v>7</v>
      </c>
      <c r="BD855" s="1">
        <v>44958</v>
      </c>
      <c r="BE855" s="1">
        <v>7.2</v>
      </c>
      <c r="BF855" s="1">
        <v>45007</v>
      </c>
      <c r="BG855" s="1">
        <v>7.16</v>
      </c>
      <c r="BH855" s="3">
        <v>45007</v>
      </c>
      <c r="BI855" s="1">
        <v>7.1150000000000002</v>
      </c>
      <c r="BJ855" s="1">
        <v>45007</v>
      </c>
      <c r="BK855" s="1">
        <v>7.06</v>
      </c>
      <c r="BL855" s="1">
        <v>45007</v>
      </c>
      <c r="BM855" s="1">
        <v>6.68</v>
      </c>
      <c r="BN855" s="1">
        <v>45007</v>
      </c>
      <c r="BO855" s="1">
        <v>6.05</v>
      </c>
      <c r="BP855" s="1">
        <v>45007</v>
      </c>
      <c r="BQ855" s="1">
        <v>5.43</v>
      </c>
      <c r="BR855" s="1">
        <v>45007</v>
      </c>
      <c r="BS855" s="1">
        <v>4.8099999999999996</v>
      </c>
      <c r="BT855" s="1">
        <v>45007</v>
      </c>
      <c r="BU855" s="1">
        <v>4.3550000000000004</v>
      </c>
      <c r="BV855" s="1">
        <v>45007</v>
      </c>
      <c r="BW855" s="1">
        <v>4.01</v>
      </c>
      <c r="BY855" s="1">
        <v>44953</v>
      </c>
      <c r="BZ855" s="1">
        <v>13</v>
      </c>
      <c r="CA855" s="1">
        <v>44950</v>
      </c>
      <c r="CB855" s="1">
        <v>15.99</v>
      </c>
      <c r="CC855" s="1">
        <v>45007</v>
      </c>
      <c r="CD855" s="1">
        <v>15.618</v>
      </c>
      <c r="CE855" s="3">
        <v>45007</v>
      </c>
      <c r="CF855" s="1">
        <v>15.064</v>
      </c>
      <c r="CG855" s="1">
        <v>45007</v>
      </c>
      <c r="CH855" s="1">
        <v>14.25</v>
      </c>
      <c r="CI855" s="1">
        <v>45007</v>
      </c>
      <c r="CJ855" s="1">
        <v>12.55</v>
      </c>
      <c r="CK855" s="1">
        <v>45007</v>
      </c>
      <c r="CL855" s="1">
        <v>11.2</v>
      </c>
      <c r="CM855" s="1">
        <v>45007</v>
      </c>
      <c r="CN855" s="1">
        <v>9.99</v>
      </c>
      <c r="CO855" s="1">
        <v>44999</v>
      </c>
      <c r="CP855" s="1">
        <v>9.41</v>
      </c>
      <c r="CQ855" s="1">
        <v>44999</v>
      </c>
      <c r="CR855" s="1">
        <v>8.35</v>
      </c>
      <c r="CS855" s="1">
        <v>44999</v>
      </c>
      <c r="CT855" s="1">
        <v>7.73</v>
      </c>
    </row>
    <row r="856" spans="31:98" x14ac:dyDescent="0.2">
      <c r="AE856" s="1">
        <v>44998</v>
      </c>
      <c r="AF856" s="1">
        <v>6.75</v>
      </c>
      <c r="AG856" s="1">
        <v>44958</v>
      </c>
      <c r="AH856" s="1">
        <v>6.95</v>
      </c>
      <c r="AI856" s="1">
        <v>45006</v>
      </c>
      <c r="AJ856" s="2">
        <v>6.8440000000000003</v>
      </c>
      <c r="AK856" s="3">
        <v>45006</v>
      </c>
      <c r="AL856" s="2">
        <v>6.81</v>
      </c>
      <c r="AM856" s="1">
        <v>45006</v>
      </c>
      <c r="AN856" s="2">
        <v>6.75</v>
      </c>
      <c r="AO856" s="1">
        <v>45006</v>
      </c>
      <c r="AP856" s="2">
        <v>6.4950000000000001</v>
      </c>
      <c r="AQ856" s="1">
        <v>45006</v>
      </c>
      <c r="AR856" s="2">
        <v>6.0650000000000004</v>
      </c>
      <c r="AS856" s="1">
        <v>45006</v>
      </c>
      <c r="AT856" s="2">
        <v>5.6849999999999996</v>
      </c>
      <c r="AU856" s="1">
        <v>45006</v>
      </c>
      <c r="AV856" s="2">
        <v>5.29</v>
      </c>
      <c r="AW856" s="1">
        <v>45006</v>
      </c>
      <c r="AX856" s="2">
        <v>4.8849999999999998</v>
      </c>
      <c r="AY856" s="1">
        <v>45006</v>
      </c>
      <c r="AZ856" s="2">
        <v>4.63</v>
      </c>
      <c r="BB856" s="1">
        <v>44939</v>
      </c>
      <c r="BC856" s="1">
        <v>7</v>
      </c>
      <c r="BD856" s="1">
        <v>44957</v>
      </c>
      <c r="BE856" s="1">
        <v>7.21</v>
      </c>
      <c r="BF856" s="1">
        <v>45006</v>
      </c>
      <c r="BG856" s="1">
        <v>7.15</v>
      </c>
      <c r="BH856" s="3">
        <v>45006</v>
      </c>
      <c r="BI856" s="1">
        <v>7.03</v>
      </c>
      <c r="BJ856" s="1">
        <v>45006</v>
      </c>
      <c r="BK856" s="1">
        <v>6.99</v>
      </c>
      <c r="BL856" s="1">
        <v>45006</v>
      </c>
      <c r="BM856" s="1">
        <v>6.56</v>
      </c>
      <c r="BN856" s="1">
        <v>45006</v>
      </c>
      <c r="BO856" s="1">
        <v>5.9</v>
      </c>
      <c r="BP856" s="1">
        <v>45006</v>
      </c>
      <c r="BQ856" s="1">
        <v>5.2750000000000004</v>
      </c>
      <c r="BR856" s="1">
        <v>45006</v>
      </c>
      <c r="BS856" s="1">
        <v>4.6349999999999998</v>
      </c>
      <c r="BT856" s="1">
        <v>45006</v>
      </c>
      <c r="BU856" s="1">
        <v>4.2149999999999999</v>
      </c>
      <c r="BV856" s="1">
        <v>45006</v>
      </c>
      <c r="BW856" s="1">
        <v>3.92</v>
      </c>
      <c r="BY856" s="1">
        <v>44952</v>
      </c>
      <c r="BZ856" s="1">
        <v>13</v>
      </c>
      <c r="CA856" s="1">
        <v>44949</v>
      </c>
      <c r="CB856" s="1">
        <v>16</v>
      </c>
      <c r="CC856" s="1">
        <v>45006</v>
      </c>
      <c r="CD856" s="1">
        <v>15.714</v>
      </c>
      <c r="CE856" s="3">
        <v>45006</v>
      </c>
      <c r="CF856" s="1">
        <v>15.144</v>
      </c>
      <c r="CG856" s="1">
        <v>45006</v>
      </c>
      <c r="CH856" s="1">
        <v>14.5</v>
      </c>
      <c r="CI856" s="1">
        <v>45006</v>
      </c>
      <c r="CJ856" s="1">
        <v>12.7</v>
      </c>
      <c r="CK856" s="1">
        <v>45006</v>
      </c>
      <c r="CL856" s="1">
        <v>11.5</v>
      </c>
      <c r="CM856" s="1">
        <v>45006</v>
      </c>
      <c r="CN856" s="1">
        <v>10.06</v>
      </c>
      <c r="CO856" s="1">
        <v>44998</v>
      </c>
      <c r="CP856" s="1">
        <v>9.31</v>
      </c>
      <c r="CQ856" s="1">
        <v>44998</v>
      </c>
      <c r="CR856" s="1">
        <v>8.25</v>
      </c>
      <c r="CS856" s="1">
        <v>44998</v>
      </c>
      <c r="CT856" s="1">
        <v>7.63</v>
      </c>
    </row>
    <row r="857" spans="31:98" x14ac:dyDescent="0.2">
      <c r="AE857" s="1">
        <v>44995</v>
      </c>
      <c r="AF857" s="1">
        <v>6.75</v>
      </c>
      <c r="AG857" s="1">
        <v>44957</v>
      </c>
      <c r="AH857" s="1">
        <v>6.95</v>
      </c>
      <c r="AI857" s="1">
        <v>45005</v>
      </c>
      <c r="AJ857" s="2">
        <v>6.835</v>
      </c>
      <c r="AK857" s="3">
        <v>45005</v>
      </c>
      <c r="AL857" s="2">
        <v>6.7709999999999999</v>
      </c>
      <c r="AM857" s="1">
        <v>45005</v>
      </c>
      <c r="AN857" s="2">
        <v>6.69</v>
      </c>
      <c r="AO857" s="1">
        <v>45005</v>
      </c>
      <c r="AP857" s="2">
        <v>6.4649999999999999</v>
      </c>
      <c r="AQ857" s="1">
        <v>45005</v>
      </c>
      <c r="AR857" s="2">
        <v>5.9824999999999999</v>
      </c>
      <c r="AS857" s="1">
        <v>45005</v>
      </c>
      <c r="AT857" s="2">
        <v>5.6050000000000004</v>
      </c>
      <c r="AU857" s="1">
        <v>45005</v>
      </c>
      <c r="AV857" s="2">
        <v>5.19</v>
      </c>
      <c r="AW857" s="1">
        <v>45005</v>
      </c>
      <c r="AX857" s="2">
        <v>4.7850000000000001</v>
      </c>
      <c r="AY857" s="1">
        <v>45005</v>
      </c>
      <c r="AZ857" s="2">
        <v>4.5350000000000001</v>
      </c>
      <c r="BB857" s="1">
        <v>44938</v>
      </c>
      <c r="BC857" s="1">
        <v>7</v>
      </c>
      <c r="BD857" s="1">
        <v>44956</v>
      </c>
      <c r="BE857" s="1">
        <v>7.21</v>
      </c>
      <c r="BF857" s="1">
        <v>45005</v>
      </c>
      <c r="BG857" s="1">
        <v>7.14</v>
      </c>
      <c r="BH857" s="3">
        <v>45005</v>
      </c>
      <c r="BI857" s="1">
        <v>7.0149999999999997</v>
      </c>
      <c r="BJ857" s="1">
        <v>45005</v>
      </c>
      <c r="BK857" s="1">
        <v>6.96</v>
      </c>
      <c r="BL857" s="1">
        <v>45005</v>
      </c>
      <c r="BM857" s="1">
        <v>6.51</v>
      </c>
      <c r="BN857" s="1">
        <v>45005</v>
      </c>
      <c r="BO857" s="1">
        <v>5.82</v>
      </c>
      <c r="BP857" s="1">
        <v>45005</v>
      </c>
      <c r="BQ857" s="1">
        <v>5.2</v>
      </c>
      <c r="BR857" s="1">
        <v>45005</v>
      </c>
      <c r="BS857" s="1">
        <v>4.5750000000000002</v>
      </c>
      <c r="BT857" s="1">
        <v>45005</v>
      </c>
      <c r="BU857" s="1">
        <v>4.165</v>
      </c>
      <c r="BV857" s="1">
        <v>45005</v>
      </c>
      <c r="BW857" s="1">
        <v>3.9</v>
      </c>
      <c r="BY857" s="1">
        <v>44951</v>
      </c>
      <c r="BZ857" s="1">
        <v>13</v>
      </c>
      <c r="CA857" s="1">
        <v>44946</v>
      </c>
      <c r="CB857" s="1">
        <v>16</v>
      </c>
      <c r="CC857" s="1">
        <v>45005</v>
      </c>
      <c r="CD857" s="1">
        <v>15.8</v>
      </c>
      <c r="CE857" s="3">
        <v>45005</v>
      </c>
      <c r="CF857" s="1">
        <v>15.3</v>
      </c>
      <c r="CG857" s="1">
        <v>45005</v>
      </c>
      <c r="CH857" s="1">
        <v>14.8</v>
      </c>
      <c r="CI857" s="1">
        <v>45005</v>
      </c>
      <c r="CJ857" s="1">
        <v>13.05</v>
      </c>
      <c r="CK857" s="1">
        <v>45005</v>
      </c>
      <c r="CL857" s="1">
        <v>11.85</v>
      </c>
      <c r="CM857" s="1">
        <v>45005</v>
      </c>
      <c r="CN857" s="1">
        <v>10.46</v>
      </c>
      <c r="CO857" s="1">
        <v>44995</v>
      </c>
      <c r="CP857" s="1">
        <v>9.5299999999999994</v>
      </c>
      <c r="CQ857" s="1">
        <v>44995</v>
      </c>
      <c r="CR857" s="1">
        <v>8.44</v>
      </c>
      <c r="CS857" s="1">
        <v>44995</v>
      </c>
      <c r="CT857" s="1">
        <v>7.77</v>
      </c>
    </row>
    <row r="858" spans="31:98" x14ac:dyDescent="0.2">
      <c r="AE858" s="1">
        <v>44994</v>
      </c>
      <c r="AF858" s="1">
        <v>6.75</v>
      </c>
      <c r="AG858" s="1">
        <v>44956</v>
      </c>
      <c r="AH858" s="1">
        <v>6.95</v>
      </c>
      <c r="AI858" s="1">
        <v>45002</v>
      </c>
      <c r="AJ858" s="2">
        <v>6.8724999999999996</v>
      </c>
      <c r="AK858" s="3">
        <v>45002</v>
      </c>
      <c r="AL858" s="2">
        <v>6.8</v>
      </c>
      <c r="AM858" s="1">
        <v>45002</v>
      </c>
      <c r="AN858" s="2">
        <v>6.7363</v>
      </c>
      <c r="AO858" s="1">
        <v>45002</v>
      </c>
      <c r="AP858" s="2">
        <v>6.4813000000000001</v>
      </c>
      <c r="AQ858" s="1">
        <v>45002</v>
      </c>
      <c r="AR858" s="2">
        <v>6.0449999999999999</v>
      </c>
      <c r="AS858" s="1">
        <v>45002</v>
      </c>
      <c r="AT858" s="2">
        <v>5.6449999999999996</v>
      </c>
      <c r="AU858" s="1">
        <v>45002</v>
      </c>
      <c r="AV858" s="2">
        <v>5.22</v>
      </c>
      <c r="AW858" s="1">
        <v>45002</v>
      </c>
      <c r="AX858" s="2">
        <v>4.8250000000000002</v>
      </c>
      <c r="AY858" s="1">
        <v>45002</v>
      </c>
      <c r="AZ858" s="2">
        <v>4.58</v>
      </c>
      <c r="BB858" s="1">
        <v>44937</v>
      </c>
      <c r="BC858" s="1">
        <v>7</v>
      </c>
      <c r="BD858" s="1">
        <v>44953</v>
      </c>
      <c r="BE858" s="1">
        <v>7.21</v>
      </c>
      <c r="BF858" s="1">
        <v>45002</v>
      </c>
      <c r="BG858" s="1">
        <v>7.14</v>
      </c>
      <c r="BH858" s="3">
        <v>45002</v>
      </c>
      <c r="BI858" s="1">
        <v>7.02</v>
      </c>
      <c r="BJ858" s="1">
        <v>45002</v>
      </c>
      <c r="BK858" s="1">
        <v>6.96</v>
      </c>
      <c r="BL858" s="1">
        <v>45002</v>
      </c>
      <c r="BM858" s="1">
        <v>6.5750000000000002</v>
      </c>
      <c r="BN858" s="1">
        <v>45002</v>
      </c>
      <c r="BO858" s="1">
        <v>5.96</v>
      </c>
      <c r="BP858" s="1">
        <v>45002</v>
      </c>
      <c r="BQ858" s="1">
        <v>5.298</v>
      </c>
      <c r="BR858" s="1">
        <v>45002</v>
      </c>
      <c r="BS858" s="1">
        <v>4.673</v>
      </c>
      <c r="BT858" s="1">
        <v>45002</v>
      </c>
      <c r="BU858" s="1">
        <v>4.28</v>
      </c>
      <c r="BV858" s="1">
        <v>45002</v>
      </c>
      <c r="BW858" s="1">
        <v>3.96</v>
      </c>
      <c r="BY858" s="1">
        <v>44950</v>
      </c>
      <c r="BZ858" s="1">
        <v>13</v>
      </c>
      <c r="CA858" s="1">
        <v>44945</v>
      </c>
      <c r="CB858" s="1">
        <v>16.010000000000002</v>
      </c>
      <c r="CC858" s="1">
        <v>45002</v>
      </c>
      <c r="CD858" s="1">
        <v>15.8</v>
      </c>
      <c r="CE858" s="3">
        <v>45002</v>
      </c>
      <c r="CF858" s="1">
        <v>15.3</v>
      </c>
      <c r="CG858" s="1">
        <v>45002</v>
      </c>
      <c r="CH858" s="1">
        <v>14.8</v>
      </c>
      <c r="CI858" s="1">
        <v>45002</v>
      </c>
      <c r="CJ858" s="1">
        <v>13.05</v>
      </c>
      <c r="CK858" s="1">
        <v>45002</v>
      </c>
      <c r="CL858" s="1">
        <v>11.8</v>
      </c>
      <c r="CM858" s="1">
        <v>45002</v>
      </c>
      <c r="CN858" s="1">
        <v>10.55</v>
      </c>
      <c r="CO858" s="1">
        <v>44994</v>
      </c>
      <c r="CP858" s="1">
        <v>9.5</v>
      </c>
      <c r="CQ858" s="1">
        <v>44994</v>
      </c>
      <c r="CR858" s="1">
        <v>8.41</v>
      </c>
      <c r="CS858" s="1">
        <v>44994</v>
      </c>
      <c r="CT858" s="1">
        <v>7.74</v>
      </c>
    </row>
    <row r="859" spans="31:98" x14ac:dyDescent="0.2">
      <c r="AE859" s="1">
        <v>44993</v>
      </c>
      <c r="AF859" s="1">
        <v>6.75</v>
      </c>
      <c r="AG859" s="1">
        <v>44953</v>
      </c>
      <c r="AH859" s="1">
        <v>6.94</v>
      </c>
      <c r="AI859" s="1">
        <v>45001</v>
      </c>
      <c r="AJ859" s="2">
        <v>6.859</v>
      </c>
      <c r="AK859" s="3">
        <v>45001</v>
      </c>
      <c r="AL859" s="2">
        <v>6.8550000000000004</v>
      </c>
      <c r="AM859" s="1">
        <v>45001</v>
      </c>
      <c r="AN859" s="2">
        <v>6.7549999999999999</v>
      </c>
      <c r="AO859" s="1">
        <v>45001</v>
      </c>
      <c r="AP859" s="2">
        <v>6.4749999999999996</v>
      </c>
      <c r="AQ859" s="1">
        <v>45001</v>
      </c>
      <c r="AR859" s="2">
        <v>6.0449999999999999</v>
      </c>
      <c r="AS859" s="1">
        <v>45001</v>
      </c>
      <c r="AT859" s="2">
        <v>5.59</v>
      </c>
      <c r="AU859" s="1">
        <v>45001</v>
      </c>
      <c r="AV859" s="2">
        <v>5.1550000000000002</v>
      </c>
      <c r="AW859" s="1">
        <v>45001</v>
      </c>
      <c r="AX859" s="2">
        <v>4.76</v>
      </c>
      <c r="AY859" s="1">
        <v>45001</v>
      </c>
      <c r="AZ859" s="2">
        <v>4.5</v>
      </c>
      <c r="BB859" s="1">
        <v>44936</v>
      </c>
      <c r="BC859" s="1">
        <v>7</v>
      </c>
      <c r="BD859" s="1">
        <v>44952</v>
      </c>
      <c r="BE859" s="1">
        <v>7.21</v>
      </c>
      <c r="BF859" s="1">
        <v>45001</v>
      </c>
      <c r="BG859" s="1">
        <v>7.15</v>
      </c>
      <c r="BH859" s="3">
        <v>45001</v>
      </c>
      <c r="BI859" s="1">
        <v>7.03</v>
      </c>
      <c r="BJ859" s="1">
        <v>45001</v>
      </c>
      <c r="BK859" s="1">
        <v>6.9850000000000003</v>
      </c>
      <c r="BL859" s="1">
        <v>45001</v>
      </c>
      <c r="BM859" s="1">
        <v>6.65</v>
      </c>
      <c r="BN859" s="1">
        <v>45001</v>
      </c>
      <c r="BO859" s="1">
        <v>6.0449999999999999</v>
      </c>
      <c r="BP859" s="1">
        <v>45001</v>
      </c>
      <c r="BQ859" s="1">
        <v>5.3650000000000002</v>
      </c>
      <c r="BR859" s="1">
        <v>45001</v>
      </c>
      <c r="BS859" s="1">
        <v>4.7300000000000004</v>
      </c>
      <c r="BT859" s="1">
        <v>45001</v>
      </c>
      <c r="BU859" s="1">
        <v>4.335</v>
      </c>
      <c r="BV859" s="1">
        <v>45001</v>
      </c>
      <c r="BW859" s="1">
        <v>4.0250000000000004</v>
      </c>
      <c r="BY859" s="1">
        <v>44949</v>
      </c>
      <c r="BZ859" s="1">
        <v>13</v>
      </c>
      <c r="CA859" s="1">
        <v>44944</v>
      </c>
      <c r="CB859" s="1">
        <v>16.03</v>
      </c>
      <c r="CC859" s="1">
        <v>45001</v>
      </c>
      <c r="CD859" s="1">
        <v>15.75</v>
      </c>
      <c r="CE859" s="3">
        <v>45001</v>
      </c>
      <c r="CF859" s="1">
        <v>15.25</v>
      </c>
      <c r="CG859" s="1">
        <v>45001</v>
      </c>
      <c r="CH859" s="1">
        <v>14.75</v>
      </c>
      <c r="CI859" s="1">
        <v>45001</v>
      </c>
      <c r="CJ859" s="1">
        <v>13</v>
      </c>
      <c r="CK859" s="1">
        <v>45001</v>
      </c>
      <c r="CL859" s="1">
        <v>11.75</v>
      </c>
      <c r="CM859" s="1">
        <v>45001</v>
      </c>
      <c r="CN859" s="1">
        <v>10.5</v>
      </c>
      <c r="CO859" s="1">
        <v>44993</v>
      </c>
      <c r="CP859" s="1">
        <v>9.18</v>
      </c>
      <c r="CQ859" s="1">
        <v>44993</v>
      </c>
      <c r="CR859" s="1">
        <v>8.09</v>
      </c>
      <c r="CS859" s="1">
        <v>44993</v>
      </c>
      <c r="CT859" s="1">
        <v>7.56</v>
      </c>
    </row>
    <row r="860" spans="31:98" x14ac:dyDescent="0.2">
      <c r="AE860" s="1">
        <v>44992</v>
      </c>
      <c r="AF860" s="1">
        <v>6.75</v>
      </c>
      <c r="AG860" s="1">
        <v>44952</v>
      </c>
      <c r="AH860" s="1">
        <v>6.95</v>
      </c>
      <c r="AI860" s="1">
        <v>45000</v>
      </c>
      <c r="AJ860" s="2">
        <v>6.8639999999999999</v>
      </c>
      <c r="AK860" s="3">
        <v>45000</v>
      </c>
      <c r="AL860" s="2">
        <v>6.84</v>
      </c>
      <c r="AM860" s="1">
        <v>45000</v>
      </c>
      <c r="AN860" s="2">
        <v>6.74</v>
      </c>
      <c r="AO860" s="1">
        <v>45000</v>
      </c>
      <c r="AP860" s="2">
        <v>6.46</v>
      </c>
      <c r="AQ860" s="1">
        <v>45000</v>
      </c>
      <c r="AR860" s="2">
        <v>6.0324999999999998</v>
      </c>
      <c r="AS860" s="1">
        <v>45000</v>
      </c>
      <c r="AT860" s="2">
        <v>5.5625</v>
      </c>
      <c r="AU860" s="1">
        <v>45000</v>
      </c>
      <c r="AV860" s="2">
        <v>5.1524999999999999</v>
      </c>
      <c r="AW860" s="1">
        <v>45000</v>
      </c>
      <c r="AX860" s="2">
        <v>4.7675000000000001</v>
      </c>
      <c r="AY860" s="1">
        <v>45000</v>
      </c>
      <c r="AZ860" s="2">
        <v>4.5075000000000003</v>
      </c>
      <c r="BB860" s="1">
        <v>44935</v>
      </c>
      <c r="BC860" s="1">
        <v>7</v>
      </c>
      <c r="BD860" s="1">
        <v>44951</v>
      </c>
      <c r="BE860" s="1">
        <v>7.21</v>
      </c>
      <c r="BF860" s="1">
        <v>45000</v>
      </c>
      <c r="BG860" s="1">
        <v>7.14</v>
      </c>
      <c r="BH860" s="3">
        <v>45000</v>
      </c>
      <c r="BI860" s="1">
        <v>7.0250000000000004</v>
      </c>
      <c r="BJ860" s="1">
        <v>45000</v>
      </c>
      <c r="BK860" s="1">
        <v>6.9749999999999996</v>
      </c>
      <c r="BL860" s="1">
        <v>45000</v>
      </c>
      <c r="BM860" s="1">
        <v>6.61</v>
      </c>
      <c r="BN860" s="1">
        <v>45000</v>
      </c>
      <c r="BO860" s="1">
        <v>6</v>
      </c>
      <c r="BP860" s="1">
        <v>45000</v>
      </c>
      <c r="BQ860" s="1">
        <v>5.33</v>
      </c>
      <c r="BR860" s="1">
        <v>45000</v>
      </c>
      <c r="BS860" s="1">
        <v>4.72</v>
      </c>
      <c r="BT860" s="1">
        <v>45000</v>
      </c>
      <c r="BU860" s="1">
        <v>4.33</v>
      </c>
      <c r="BV860" s="1">
        <v>45000</v>
      </c>
      <c r="BW860" s="1">
        <v>4.0449999999999999</v>
      </c>
      <c r="BY860" s="1">
        <v>44946</v>
      </c>
      <c r="BZ860" s="1">
        <v>13</v>
      </c>
      <c r="CA860" s="1">
        <v>44943</v>
      </c>
      <c r="CB860" s="1">
        <v>16.04</v>
      </c>
      <c r="CC860" s="1">
        <v>45000</v>
      </c>
      <c r="CD860" s="1">
        <v>15.68</v>
      </c>
      <c r="CE860" s="3">
        <v>45000</v>
      </c>
      <c r="CF860" s="1">
        <v>15.23</v>
      </c>
      <c r="CG860" s="1">
        <v>45000</v>
      </c>
      <c r="CH860" s="1">
        <v>14.7</v>
      </c>
      <c r="CI860" s="1">
        <v>45000</v>
      </c>
      <c r="CJ860" s="1">
        <v>12.95</v>
      </c>
      <c r="CK860" s="1">
        <v>45000</v>
      </c>
      <c r="CL860" s="1">
        <v>11.7</v>
      </c>
      <c r="CM860" s="1">
        <v>45000</v>
      </c>
      <c r="CN860" s="1">
        <v>10.5</v>
      </c>
      <c r="CO860" s="1">
        <v>44992</v>
      </c>
      <c r="CP860" s="1">
        <v>8.7200000000000006</v>
      </c>
      <c r="CQ860" s="1">
        <v>44992</v>
      </c>
      <c r="CR860" s="1">
        <v>7.63</v>
      </c>
      <c r="CS860" s="1">
        <v>44992</v>
      </c>
      <c r="CT860" s="1">
        <v>7.1</v>
      </c>
    </row>
    <row r="861" spans="31:98" x14ac:dyDescent="0.2">
      <c r="AE861" s="1">
        <v>44991</v>
      </c>
      <c r="AF861" s="1">
        <v>6.75</v>
      </c>
      <c r="AG861" s="1">
        <v>44951</v>
      </c>
      <c r="AH861" s="1">
        <v>6.93</v>
      </c>
      <c r="AI861" s="1">
        <v>44999</v>
      </c>
      <c r="AJ861" s="2">
        <v>6.8985000000000003</v>
      </c>
      <c r="AK861" s="3">
        <v>44999</v>
      </c>
      <c r="AL861" s="2">
        <v>6.86</v>
      </c>
      <c r="AM861" s="1">
        <v>44999</v>
      </c>
      <c r="AN861" s="2">
        <v>6.84</v>
      </c>
      <c r="AO861" s="1">
        <v>44999</v>
      </c>
      <c r="AP861" s="2">
        <v>6.5949999999999998</v>
      </c>
      <c r="AQ861" s="1">
        <v>44999</v>
      </c>
      <c r="AR861" s="2">
        <v>6.1749999999999998</v>
      </c>
      <c r="AS861" s="1">
        <v>44999</v>
      </c>
      <c r="AT861" s="2">
        <v>5.7549999999999999</v>
      </c>
      <c r="AU861" s="1">
        <v>44999</v>
      </c>
      <c r="AV861" s="2">
        <v>5.3550000000000004</v>
      </c>
      <c r="AW861" s="1">
        <v>44999</v>
      </c>
      <c r="AX861" s="2">
        <v>4.9800000000000004</v>
      </c>
      <c r="AY861" s="1">
        <v>44999</v>
      </c>
      <c r="AZ861" s="2">
        <v>4.7249999999999996</v>
      </c>
      <c r="BB861" s="1">
        <v>44932</v>
      </c>
      <c r="BC861" s="1">
        <v>7</v>
      </c>
      <c r="BD861" s="1">
        <v>44950</v>
      </c>
      <c r="BE861" s="1">
        <v>7.21</v>
      </c>
      <c r="BF861" s="1">
        <v>44999</v>
      </c>
      <c r="BG861" s="1">
        <v>7.165</v>
      </c>
      <c r="BH861" s="3">
        <v>44999</v>
      </c>
      <c r="BI861" s="1">
        <v>7.12</v>
      </c>
      <c r="BJ861" s="1">
        <v>44999</v>
      </c>
      <c r="BK861" s="1">
        <v>7.085</v>
      </c>
      <c r="BL861" s="1">
        <v>44999</v>
      </c>
      <c r="BM861" s="1">
        <v>6.76</v>
      </c>
      <c r="BN861" s="1">
        <v>44999</v>
      </c>
      <c r="BO861" s="1">
        <v>6.18</v>
      </c>
      <c r="BP861" s="1">
        <v>44999</v>
      </c>
      <c r="BQ861" s="1">
        <v>5.5250000000000004</v>
      </c>
      <c r="BR861" s="1">
        <v>44999</v>
      </c>
      <c r="BS861" s="1">
        <v>4.91</v>
      </c>
      <c r="BT861" s="1">
        <v>44999</v>
      </c>
      <c r="BU861" s="1">
        <v>4.5049999999999999</v>
      </c>
      <c r="BV861" s="1">
        <v>44999</v>
      </c>
      <c r="BW861" s="1">
        <v>4.2279999999999998</v>
      </c>
      <c r="BY861" s="1">
        <v>44944</v>
      </c>
      <c r="BZ861" s="1">
        <v>13</v>
      </c>
      <c r="CA861" s="1">
        <v>44942</v>
      </c>
      <c r="CB861" s="1">
        <v>16.04</v>
      </c>
      <c r="CC861" s="1">
        <v>44999</v>
      </c>
      <c r="CD861" s="1">
        <v>15.68</v>
      </c>
      <c r="CE861" s="3">
        <v>44999</v>
      </c>
      <c r="CF861" s="1">
        <v>15.22</v>
      </c>
      <c r="CG861" s="1">
        <v>44999</v>
      </c>
      <c r="CH861" s="1">
        <v>14.7</v>
      </c>
      <c r="CI861" s="1">
        <v>44999</v>
      </c>
      <c r="CJ861" s="1">
        <v>12.95</v>
      </c>
      <c r="CK861" s="1">
        <v>44999</v>
      </c>
      <c r="CL861" s="1">
        <v>11.7</v>
      </c>
      <c r="CM861" s="1">
        <v>44999</v>
      </c>
      <c r="CN861" s="1">
        <v>10.5</v>
      </c>
      <c r="CO861" s="1">
        <v>44991</v>
      </c>
      <c r="CP861" s="1">
        <v>8.7200000000000006</v>
      </c>
      <c r="CQ861" s="1">
        <v>44991</v>
      </c>
      <c r="CR861" s="1">
        <v>7.63</v>
      </c>
      <c r="CS861" s="1">
        <v>44991</v>
      </c>
      <c r="CT861" s="1">
        <v>7.1</v>
      </c>
    </row>
    <row r="862" spans="31:98" x14ac:dyDescent="0.2">
      <c r="AE862" s="1">
        <v>44988</v>
      </c>
      <c r="AF862" s="1">
        <v>6.75</v>
      </c>
      <c r="AG862" s="1">
        <v>44950</v>
      </c>
      <c r="AH862" s="1">
        <v>6.93</v>
      </c>
      <c r="AI862" s="1">
        <v>44998</v>
      </c>
      <c r="AJ862" s="2">
        <v>6.8650000000000002</v>
      </c>
      <c r="AK862" s="3">
        <v>44998</v>
      </c>
      <c r="AL862" s="2">
        <v>6.835</v>
      </c>
      <c r="AM862" s="1">
        <v>44998</v>
      </c>
      <c r="AN862" s="2">
        <v>6.7549999999999999</v>
      </c>
      <c r="AO862" s="1">
        <v>44998</v>
      </c>
      <c r="AP862" s="2">
        <v>6.5125000000000002</v>
      </c>
      <c r="AQ862" s="1">
        <v>44998</v>
      </c>
      <c r="AR862" s="2">
        <v>6.0449999999999999</v>
      </c>
      <c r="AS862" s="1">
        <v>44998</v>
      </c>
      <c r="AT862" s="2">
        <v>5.61</v>
      </c>
      <c r="AU862" s="1">
        <v>44998</v>
      </c>
      <c r="AV862" s="2">
        <v>5.165</v>
      </c>
      <c r="AW862" s="1">
        <v>44998</v>
      </c>
      <c r="AX862" s="2">
        <v>4.7949999999999999</v>
      </c>
      <c r="AY862" s="1">
        <v>44998</v>
      </c>
      <c r="AZ862" s="2">
        <v>4.5149999999999997</v>
      </c>
      <c r="BB862" s="1">
        <v>44931</v>
      </c>
      <c r="BC862" s="1">
        <v>7</v>
      </c>
      <c r="BD862" s="1">
        <v>44949</v>
      </c>
      <c r="BE862" s="1">
        <v>7.21</v>
      </c>
      <c r="BF862" s="1">
        <v>44998</v>
      </c>
      <c r="BG862" s="1">
        <v>7.16</v>
      </c>
      <c r="BH862" s="3">
        <v>44998</v>
      </c>
      <c r="BI862" s="1">
        <v>7.12</v>
      </c>
      <c r="BJ862" s="1">
        <v>44998</v>
      </c>
      <c r="BK862" s="1">
        <v>7.11</v>
      </c>
      <c r="BL862" s="1">
        <v>44998</v>
      </c>
      <c r="BM862" s="1">
        <v>6.8049999999999997</v>
      </c>
      <c r="BN862" s="1">
        <v>44998</v>
      </c>
      <c r="BO862" s="1">
        <v>6.2050000000000001</v>
      </c>
      <c r="BP862" s="1">
        <v>44998</v>
      </c>
      <c r="BQ862" s="1">
        <v>5.4880000000000004</v>
      </c>
      <c r="BR862" s="1">
        <v>44998</v>
      </c>
      <c r="BS862" s="1">
        <v>4.8280000000000003</v>
      </c>
      <c r="BT862" s="1">
        <v>44998</v>
      </c>
      <c r="BU862" s="1">
        <v>4.3550000000000004</v>
      </c>
      <c r="BV862" s="1">
        <v>44998</v>
      </c>
      <c r="BW862" s="1">
        <v>4.0430000000000001</v>
      </c>
      <c r="BY862" s="1">
        <v>44943</v>
      </c>
      <c r="BZ862" s="1">
        <v>13</v>
      </c>
      <c r="CA862" s="1">
        <v>44939</v>
      </c>
      <c r="CB862" s="1">
        <v>16.04</v>
      </c>
      <c r="CC862" s="1">
        <v>44998</v>
      </c>
      <c r="CD862" s="1">
        <v>15.785</v>
      </c>
      <c r="CE862" s="3">
        <v>44998</v>
      </c>
      <c r="CF862" s="1">
        <v>15.244999999999999</v>
      </c>
      <c r="CG862" s="1">
        <v>44998</v>
      </c>
      <c r="CH862" s="1">
        <v>14.645</v>
      </c>
      <c r="CI862" s="1">
        <v>44998</v>
      </c>
      <c r="CJ862" s="1">
        <v>12.925000000000001</v>
      </c>
      <c r="CK862" s="1">
        <v>44998</v>
      </c>
      <c r="CL862" s="1">
        <v>11.664999999999999</v>
      </c>
      <c r="CM862" s="1">
        <v>44998</v>
      </c>
      <c r="CN862" s="1">
        <v>10.4</v>
      </c>
      <c r="CO862" s="1">
        <v>44988</v>
      </c>
      <c r="CP862" s="1">
        <v>8.68</v>
      </c>
      <c r="CQ862" s="1">
        <v>44988</v>
      </c>
      <c r="CR862" s="1">
        <v>7.59</v>
      </c>
      <c r="CS862" s="1">
        <v>44988</v>
      </c>
      <c r="CT862" s="1">
        <v>7.04</v>
      </c>
    </row>
    <row r="863" spans="31:98" x14ac:dyDescent="0.2">
      <c r="AE863" s="1">
        <v>44987</v>
      </c>
      <c r="AF863" s="1">
        <v>6.75</v>
      </c>
      <c r="AG863" s="1">
        <v>44949</v>
      </c>
      <c r="AH863" s="1">
        <v>6.91</v>
      </c>
      <c r="AI863" s="1">
        <v>44995</v>
      </c>
      <c r="AJ863" s="2">
        <v>6.92</v>
      </c>
      <c r="AK863" s="3">
        <v>44995</v>
      </c>
      <c r="AL863" s="2">
        <v>6.915</v>
      </c>
      <c r="AM863" s="1">
        <v>44995</v>
      </c>
      <c r="AN863" s="2">
        <v>6.915</v>
      </c>
      <c r="AO863" s="1">
        <v>44995</v>
      </c>
      <c r="AP863" s="2">
        <v>6.7450000000000001</v>
      </c>
      <c r="AQ863" s="1">
        <v>44995</v>
      </c>
      <c r="AR863" s="2">
        <v>6.3849999999999998</v>
      </c>
      <c r="AS863" s="1">
        <v>44995</v>
      </c>
      <c r="AT863" s="2">
        <v>5.95</v>
      </c>
      <c r="AU863" s="1">
        <v>44995</v>
      </c>
      <c r="AV863" s="2">
        <v>5.54</v>
      </c>
      <c r="AW863" s="1">
        <v>44995</v>
      </c>
      <c r="AX863" s="2">
        <v>5.15</v>
      </c>
      <c r="AY863" s="1">
        <v>44995</v>
      </c>
      <c r="AZ863" s="2">
        <v>4.83</v>
      </c>
      <c r="BB863" s="1">
        <v>44930</v>
      </c>
      <c r="BC863" s="1">
        <v>7</v>
      </c>
      <c r="BD863" s="1">
        <v>44946</v>
      </c>
      <c r="BE863" s="1">
        <v>7.21</v>
      </c>
      <c r="BF863" s="1">
        <v>44995</v>
      </c>
      <c r="BG863" s="1">
        <v>7.1849999999999996</v>
      </c>
      <c r="BH863" s="3">
        <v>44995</v>
      </c>
      <c r="BI863" s="1">
        <v>7.1849999999999996</v>
      </c>
      <c r="BJ863" s="1">
        <v>44995</v>
      </c>
      <c r="BK863" s="1">
        <v>7.1749999999999998</v>
      </c>
      <c r="BL863" s="1">
        <v>44995</v>
      </c>
      <c r="BM863" s="1">
        <v>6.9550000000000001</v>
      </c>
      <c r="BN863" s="1">
        <v>44995</v>
      </c>
      <c r="BO863" s="1">
        <v>6.415</v>
      </c>
      <c r="BP863" s="1">
        <v>44995</v>
      </c>
      <c r="BQ863" s="1">
        <v>5.758</v>
      </c>
      <c r="BR863" s="1">
        <v>44995</v>
      </c>
      <c r="BS863" s="1">
        <v>5.1779999999999999</v>
      </c>
      <c r="BT863" s="1">
        <v>44995</v>
      </c>
      <c r="BU863" s="1">
        <v>4.7279999999999998</v>
      </c>
      <c r="BV863" s="1">
        <v>44995</v>
      </c>
      <c r="BW863" s="1">
        <v>4.4279999999999999</v>
      </c>
      <c r="BY863" s="1">
        <v>44942</v>
      </c>
      <c r="BZ863" s="1">
        <v>13</v>
      </c>
      <c r="CA863" s="1">
        <v>44938</v>
      </c>
      <c r="CB863" s="1">
        <v>16.09</v>
      </c>
      <c r="CC863" s="1">
        <v>44995</v>
      </c>
      <c r="CD863" s="1">
        <v>15.8</v>
      </c>
      <c r="CE863" s="3">
        <v>44995</v>
      </c>
      <c r="CF863" s="1">
        <v>15.37</v>
      </c>
      <c r="CG863" s="1">
        <v>44995</v>
      </c>
      <c r="CH863" s="1">
        <v>14.85</v>
      </c>
      <c r="CI863" s="1">
        <v>44995</v>
      </c>
      <c r="CJ863" s="1">
        <v>13.1</v>
      </c>
      <c r="CK863" s="1">
        <v>44995</v>
      </c>
      <c r="CL863" s="1">
        <v>11.85</v>
      </c>
      <c r="CM863" s="1">
        <v>44995</v>
      </c>
      <c r="CN863" s="1">
        <v>10.7</v>
      </c>
      <c r="CO863" s="1">
        <v>44987</v>
      </c>
      <c r="CP863" s="1">
        <v>8.8699999999999992</v>
      </c>
      <c r="CQ863" s="1">
        <v>44987</v>
      </c>
      <c r="CR863" s="1">
        <v>7.78</v>
      </c>
      <c r="CS863" s="1">
        <v>44987</v>
      </c>
      <c r="CT863" s="1">
        <v>7.23</v>
      </c>
    </row>
    <row r="864" spans="31:98" x14ac:dyDescent="0.2">
      <c r="AE864" s="1">
        <v>44986</v>
      </c>
      <c r="AF864" s="1">
        <v>6.75</v>
      </c>
      <c r="AG864" s="1">
        <v>44946</v>
      </c>
      <c r="AH864" s="1">
        <v>6.92</v>
      </c>
      <c r="AI864" s="1">
        <v>44994</v>
      </c>
      <c r="AJ864" s="2">
        <v>6.923</v>
      </c>
      <c r="AK864" s="3">
        <v>44994</v>
      </c>
      <c r="AL864" s="2">
        <v>6.92</v>
      </c>
      <c r="AM864" s="1">
        <v>44994</v>
      </c>
      <c r="AN864" s="2">
        <v>6.91</v>
      </c>
      <c r="AO864" s="1">
        <v>44994</v>
      </c>
      <c r="AP864" s="2">
        <v>6.81</v>
      </c>
      <c r="AQ864" s="1">
        <v>44994</v>
      </c>
      <c r="AR864" s="2">
        <v>6.51</v>
      </c>
      <c r="AS864" s="1">
        <v>44994</v>
      </c>
      <c r="AT864" s="2">
        <v>6.1050000000000004</v>
      </c>
      <c r="AU864" s="1">
        <v>44994</v>
      </c>
      <c r="AV864" s="2">
        <v>5.7149999999999999</v>
      </c>
      <c r="AW864" s="1">
        <v>44994</v>
      </c>
      <c r="AX864" s="2">
        <v>5.3449999999999998</v>
      </c>
      <c r="AY864" s="1">
        <v>44994</v>
      </c>
      <c r="AZ864" s="2">
        <v>5.0350000000000001</v>
      </c>
      <c r="BB864" s="1">
        <v>44929</v>
      </c>
      <c r="BC864" s="1">
        <v>7</v>
      </c>
      <c r="BD864" s="1">
        <v>44945</v>
      </c>
      <c r="BE864" s="1">
        <v>7.21</v>
      </c>
      <c r="BF864" s="1">
        <v>44994</v>
      </c>
      <c r="BG864" s="1">
        <v>7.21</v>
      </c>
      <c r="BH864" s="3">
        <v>44994</v>
      </c>
      <c r="BI864" s="1">
        <v>7.2050000000000001</v>
      </c>
      <c r="BJ864" s="1">
        <v>44994</v>
      </c>
      <c r="BK864" s="1">
        <v>7.19</v>
      </c>
      <c r="BL864" s="1">
        <v>44994</v>
      </c>
      <c r="BM864" s="1">
        <v>7.03</v>
      </c>
      <c r="BN864" s="1">
        <v>44994</v>
      </c>
      <c r="BO864" s="1">
        <v>6.5279999999999996</v>
      </c>
      <c r="BP864" s="1">
        <v>44994</v>
      </c>
      <c r="BQ864" s="1">
        <v>5.93</v>
      </c>
      <c r="BR864" s="1">
        <v>44994</v>
      </c>
      <c r="BS864" s="1">
        <v>5.4249999999999998</v>
      </c>
      <c r="BT864" s="1">
        <v>44994</v>
      </c>
      <c r="BU864" s="1">
        <v>5.0250000000000004</v>
      </c>
      <c r="BV864" s="1">
        <v>44994</v>
      </c>
      <c r="BW864" s="1">
        <v>4.7249999999999996</v>
      </c>
      <c r="BY864" s="1">
        <v>44939</v>
      </c>
      <c r="BZ864" s="1">
        <v>13</v>
      </c>
      <c r="CA864" s="1">
        <v>44937</v>
      </c>
      <c r="CB864" s="1">
        <v>16.09</v>
      </c>
      <c r="CC864" s="1">
        <v>44994</v>
      </c>
      <c r="CD864" s="1">
        <v>15.79</v>
      </c>
      <c r="CE864" s="3">
        <v>44994</v>
      </c>
      <c r="CF864" s="1">
        <v>15.37</v>
      </c>
      <c r="CG864" s="1">
        <v>44994</v>
      </c>
      <c r="CH864" s="1">
        <v>14.85</v>
      </c>
      <c r="CI864" s="1">
        <v>44994</v>
      </c>
      <c r="CJ864" s="1">
        <v>13.1</v>
      </c>
      <c r="CK864" s="1">
        <v>44994</v>
      </c>
      <c r="CL864" s="1">
        <v>11.85</v>
      </c>
      <c r="CM864" s="1">
        <v>44994</v>
      </c>
      <c r="CN864" s="1">
        <v>10.67</v>
      </c>
      <c r="CO864" s="1">
        <v>44986</v>
      </c>
      <c r="CP864" s="1">
        <v>8.81</v>
      </c>
      <c r="CQ864" s="1">
        <v>44986</v>
      </c>
      <c r="CR864" s="1">
        <v>7.67</v>
      </c>
      <c r="CS864" s="1">
        <v>44986</v>
      </c>
      <c r="CT864" s="1">
        <v>7.11</v>
      </c>
    </row>
    <row r="865" spans="31:98" x14ac:dyDescent="0.2">
      <c r="AE865" s="1">
        <v>44985</v>
      </c>
      <c r="AF865" s="1">
        <v>6.75</v>
      </c>
      <c r="AG865" s="1">
        <v>44945</v>
      </c>
      <c r="AH865" s="1">
        <v>6.93</v>
      </c>
      <c r="AI865" s="1">
        <v>44993</v>
      </c>
      <c r="AJ865" s="2">
        <v>6.9314999999999998</v>
      </c>
      <c r="AK865" s="3">
        <v>44993</v>
      </c>
      <c r="AL865" s="2">
        <v>6.9349999999999996</v>
      </c>
      <c r="AM865" s="1">
        <v>44993</v>
      </c>
      <c r="AN865" s="2">
        <v>6.9349999999999996</v>
      </c>
      <c r="AO865" s="1">
        <v>44993</v>
      </c>
      <c r="AP865" s="2">
        <v>6.86</v>
      </c>
      <c r="AQ865" s="1">
        <v>44993</v>
      </c>
      <c r="AR865" s="2">
        <v>6.54</v>
      </c>
      <c r="AS865" s="1">
        <v>44993</v>
      </c>
      <c r="AT865" s="2">
        <v>6.125</v>
      </c>
      <c r="AU865" s="1">
        <v>44993</v>
      </c>
      <c r="AV865" s="2">
        <v>5.7149999999999999</v>
      </c>
      <c r="AW865" s="1">
        <v>44993</v>
      </c>
      <c r="AX865" s="2">
        <v>5.3550000000000004</v>
      </c>
      <c r="AY865" s="1">
        <v>44993</v>
      </c>
      <c r="AZ865" s="2">
        <v>5.0449999999999999</v>
      </c>
      <c r="BB865" s="1">
        <v>44928</v>
      </c>
      <c r="BC865" s="1">
        <v>7</v>
      </c>
      <c r="BD865" s="1">
        <v>44944</v>
      </c>
      <c r="BE865" s="1">
        <v>7.21</v>
      </c>
      <c r="BF865" s="1">
        <v>44993</v>
      </c>
      <c r="BG865" s="1">
        <v>7.21</v>
      </c>
      <c r="BH865" s="3">
        <v>44993</v>
      </c>
      <c r="BI865" s="1">
        <v>7.21</v>
      </c>
      <c r="BJ865" s="1">
        <v>44993</v>
      </c>
      <c r="BK865" s="1">
        <v>7.1849999999999996</v>
      </c>
      <c r="BL865" s="1">
        <v>44993</v>
      </c>
      <c r="BM865" s="1">
        <v>7.0250000000000004</v>
      </c>
      <c r="BN865" s="1">
        <v>44993</v>
      </c>
      <c r="BO865" s="1">
        <v>6.5949999999999998</v>
      </c>
      <c r="BP865" s="1">
        <v>44993</v>
      </c>
      <c r="BQ865" s="1">
        <v>5.923</v>
      </c>
      <c r="BR865" s="1">
        <v>44993</v>
      </c>
      <c r="BS865" s="1">
        <v>5.39</v>
      </c>
      <c r="BT865" s="1">
        <v>44993</v>
      </c>
      <c r="BU865" s="1">
        <v>4.9850000000000003</v>
      </c>
      <c r="BV865" s="1">
        <v>44993</v>
      </c>
      <c r="BW865" s="1">
        <v>4.665</v>
      </c>
      <c r="BY865" s="1">
        <v>44938</v>
      </c>
      <c r="BZ865" s="1">
        <v>13</v>
      </c>
      <c r="CA865" s="1">
        <v>44936</v>
      </c>
      <c r="CB865" s="1">
        <v>16.09</v>
      </c>
      <c r="CC865" s="1">
        <v>44993</v>
      </c>
      <c r="CD865" s="1">
        <v>15.72</v>
      </c>
      <c r="CE865" s="3">
        <v>44993</v>
      </c>
      <c r="CF865" s="1">
        <v>15.24</v>
      </c>
      <c r="CG865" s="1">
        <v>44993</v>
      </c>
      <c r="CH865" s="1">
        <v>14.65</v>
      </c>
      <c r="CI865" s="1">
        <v>44993</v>
      </c>
      <c r="CJ865" s="1">
        <v>12.9</v>
      </c>
      <c r="CK865" s="1">
        <v>44993</v>
      </c>
      <c r="CL865" s="1">
        <v>11.65</v>
      </c>
      <c r="CM865" s="1">
        <v>44993</v>
      </c>
      <c r="CN865" s="1">
        <v>10.35</v>
      </c>
      <c r="CO865" s="1">
        <v>44985</v>
      </c>
      <c r="CP865" s="1">
        <v>9</v>
      </c>
      <c r="CQ865" s="1">
        <v>44985</v>
      </c>
      <c r="CR865" s="1">
        <v>7.86</v>
      </c>
      <c r="CS865" s="1">
        <v>44985</v>
      </c>
      <c r="CT865" s="1">
        <v>7.27</v>
      </c>
    </row>
    <row r="866" spans="31:98" x14ac:dyDescent="0.2">
      <c r="AE866" s="1">
        <v>44984</v>
      </c>
      <c r="AF866" s="1">
        <v>6.75</v>
      </c>
      <c r="AG866" s="1">
        <v>44944</v>
      </c>
      <c r="AH866" s="1">
        <v>6.91</v>
      </c>
      <c r="AI866" s="1">
        <v>44992</v>
      </c>
      <c r="AJ866" s="2">
        <v>6.96</v>
      </c>
      <c r="AK866" s="3">
        <v>44992</v>
      </c>
      <c r="AL866" s="2">
        <v>6.9749999999999996</v>
      </c>
      <c r="AM866" s="1">
        <v>44992</v>
      </c>
      <c r="AN866" s="2">
        <v>6.9749999999999996</v>
      </c>
      <c r="AO866" s="1">
        <v>44992</v>
      </c>
      <c r="AP866" s="2">
        <v>6.9349999999999996</v>
      </c>
      <c r="AQ866" s="1">
        <v>44992</v>
      </c>
      <c r="AR866" s="2">
        <v>6.6050000000000004</v>
      </c>
      <c r="AS866" s="1">
        <v>44992</v>
      </c>
      <c r="AT866" s="2">
        <v>6.1849999999999996</v>
      </c>
      <c r="AU866" s="1">
        <v>44992</v>
      </c>
      <c r="AV866" s="2">
        <v>5.7850000000000001</v>
      </c>
      <c r="AW866" s="1">
        <v>44992</v>
      </c>
      <c r="AX866" s="2">
        <v>5.46</v>
      </c>
      <c r="AY866" s="1">
        <v>44992</v>
      </c>
      <c r="AZ866" s="2">
        <v>5.14</v>
      </c>
      <c r="BB866" s="1">
        <v>44925</v>
      </c>
      <c r="BC866" s="1">
        <v>7</v>
      </c>
      <c r="BD866" s="1">
        <v>44943</v>
      </c>
      <c r="BE866" s="1">
        <v>7.21</v>
      </c>
      <c r="BF866" s="1">
        <v>44992</v>
      </c>
      <c r="BG866" s="1">
        <v>7.21</v>
      </c>
      <c r="BH866" s="3">
        <v>44992</v>
      </c>
      <c r="BI866" s="1">
        <v>7.2050000000000001</v>
      </c>
      <c r="BJ866" s="1">
        <v>44992</v>
      </c>
      <c r="BK866" s="1">
        <v>7.2050000000000001</v>
      </c>
      <c r="BL866" s="1">
        <v>44992</v>
      </c>
      <c r="BM866" s="1">
        <v>7.07</v>
      </c>
      <c r="BN866" s="1">
        <v>44992</v>
      </c>
      <c r="BO866" s="1">
        <v>6.625</v>
      </c>
      <c r="BP866" s="1">
        <v>44992</v>
      </c>
      <c r="BQ866" s="1">
        <v>6.05</v>
      </c>
      <c r="BR866" s="1">
        <v>44992</v>
      </c>
      <c r="BS866" s="1">
        <v>5.53</v>
      </c>
      <c r="BT866" s="1">
        <v>44992</v>
      </c>
      <c r="BU866" s="1">
        <v>5.1349999999999998</v>
      </c>
      <c r="BV866" s="1">
        <v>44992</v>
      </c>
      <c r="BW866" s="1">
        <v>4.84</v>
      </c>
      <c r="BY866" s="1">
        <v>44937</v>
      </c>
      <c r="BZ866" s="1">
        <v>13</v>
      </c>
      <c r="CA866" s="1">
        <v>44935</v>
      </c>
      <c r="CB866" s="1">
        <v>16.09</v>
      </c>
      <c r="CC866" s="1">
        <v>44992</v>
      </c>
      <c r="CD866" s="1">
        <v>15.65</v>
      </c>
      <c r="CE866" s="3">
        <v>44992</v>
      </c>
      <c r="CF866" s="1">
        <v>15.1</v>
      </c>
      <c r="CG866" s="1">
        <v>44992</v>
      </c>
      <c r="CH866" s="1">
        <v>14.5</v>
      </c>
      <c r="CI866" s="1">
        <v>44992</v>
      </c>
      <c r="CJ866" s="1">
        <v>12.8</v>
      </c>
      <c r="CK866" s="1">
        <v>44992</v>
      </c>
      <c r="CL866" s="1">
        <v>11.58</v>
      </c>
      <c r="CM866" s="1">
        <v>44992</v>
      </c>
      <c r="CN866" s="1">
        <v>10.07</v>
      </c>
      <c r="CO866" s="1">
        <v>44984</v>
      </c>
      <c r="CP866" s="1">
        <v>8.82</v>
      </c>
      <c r="CQ866" s="1">
        <v>44984</v>
      </c>
      <c r="CR866" s="1">
        <v>7.65</v>
      </c>
      <c r="CS866" s="1">
        <v>44984</v>
      </c>
      <c r="CT866" s="1">
        <v>7.06</v>
      </c>
    </row>
    <row r="867" spans="31:98" x14ac:dyDescent="0.2">
      <c r="AE867" s="1">
        <v>44981</v>
      </c>
      <c r="AF867" s="1">
        <v>6.75</v>
      </c>
      <c r="AG867" s="1">
        <v>44943</v>
      </c>
      <c r="AH867" s="1">
        <v>6.93</v>
      </c>
      <c r="AI867" s="1">
        <v>44991</v>
      </c>
      <c r="AJ867" s="2">
        <v>6.9794999999999998</v>
      </c>
      <c r="AK867" s="3">
        <v>44991</v>
      </c>
      <c r="AL867" s="2">
        <v>7.0049999999999999</v>
      </c>
      <c r="AM867" s="1">
        <v>44991</v>
      </c>
      <c r="AN867" s="2">
        <v>7.0049999999999999</v>
      </c>
      <c r="AO867" s="1">
        <v>44991</v>
      </c>
      <c r="AP867" s="2">
        <v>6.99</v>
      </c>
      <c r="AQ867" s="1">
        <v>44991</v>
      </c>
      <c r="AR867" s="2">
        <v>6.68</v>
      </c>
      <c r="AS867" s="1">
        <v>44991</v>
      </c>
      <c r="AT867" s="2">
        <v>6.29</v>
      </c>
      <c r="AU867" s="1">
        <v>44991</v>
      </c>
      <c r="AV867" s="2">
        <v>5.94</v>
      </c>
      <c r="AW867" s="1">
        <v>44991</v>
      </c>
      <c r="AX867" s="2">
        <v>5.6150000000000002</v>
      </c>
      <c r="AY867" s="1">
        <v>44991</v>
      </c>
      <c r="AZ867" s="2">
        <v>5.3</v>
      </c>
      <c r="BB867" s="1">
        <v>44924</v>
      </c>
      <c r="BC867" s="1">
        <v>7</v>
      </c>
      <c r="BD867" s="1">
        <v>44942</v>
      </c>
      <c r="BE867" s="1">
        <v>7.21</v>
      </c>
      <c r="BF867" s="1">
        <v>44991</v>
      </c>
      <c r="BG867" s="1">
        <v>7.21</v>
      </c>
      <c r="BH867" s="3">
        <v>44991</v>
      </c>
      <c r="BI867" s="1">
        <v>7.2</v>
      </c>
      <c r="BJ867" s="1">
        <v>44991</v>
      </c>
      <c r="BK867" s="1">
        <v>7.1950000000000003</v>
      </c>
      <c r="BL867" s="1">
        <v>44991</v>
      </c>
      <c r="BM867" s="1">
        <v>7.093</v>
      </c>
      <c r="BN867" s="1">
        <v>44991</v>
      </c>
      <c r="BO867" s="1">
        <v>6.6829999999999998</v>
      </c>
      <c r="BP867" s="1">
        <v>44991</v>
      </c>
      <c r="BQ867" s="1">
        <v>6.1</v>
      </c>
      <c r="BR867" s="1">
        <v>44991</v>
      </c>
      <c r="BS867" s="1">
        <v>5.5979999999999999</v>
      </c>
      <c r="BT867" s="1">
        <v>44991</v>
      </c>
      <c r="BU867" s="1">
        <v>5.2050000000000001</v>
      </c>
      <c r="BV867" s="1">
        <v>44991</v>
      </c>
      <c r="BW867" s="1">
        <v>4.8449999999999998</v>
      </c>
      <c r="BY867" s="1">
        <v>44936</v>
      </c>
      <c r="BZ867" s="1">
        <v>13</v>
      </c>
      <c r="CA867" s="1">
        <v>44932</v>
      </c>
      <c r="CB867" s="1">
        <v>16.13</v>
      </c>
      <c r="CC867" s="1">
        <v>44991</v>
      </c>
      <c r="CD867" s="1">
        <v>15.63</v>
      </c>
      <c r="CE867" s="3">
        <v>44991</v>
      </c>
      <c r="CF867" s="1">
        <v>15.06</v>
      </c>
      <c r="CG867" s="1">
        <v>44991</v>
      </c>
      <c r="CH867" s="1">
        <v>14.45</v>
      </c>
      <c r="CI867" s="1">
        <v>44991</v>
      </c>
      <c r="CJ867" s="1">
        <v>12.8</v>
      </c>
      <c r="CK867" s="1">
        <v>44991</v>
      </c>
      <c r="CL867" s="1">
        <v>11.52</v>
      </c>
      <c r="CM867" s="1">
        <v>44991</v>
      </c>
      <c r="CN867" s="1">
        <v>10.07</v>
      </c>
      <c r="CO867" s="1">
        <v>44981</v>
      </c>
      <c r="CP867" s="1">
        <v>8.93</v>
      </c>
      <c r="CQ867" s="1">
        <v>44981</v>
      </c>
      <c r="CR867" s="1">
        <v>7.87</v>
      </c>
      <c r="CS867" s="1">
        <v>44981</v>
      </c>
      <c r="CT867" s="1">
        <v>7.2</v>
      </c>
    </row>
    <row r="868" spans="31:98" x14ac:dyDescent="0.2">
      <c r="AE868" s="1">
        <v>44980</v>
      </c>
      <c r="AF868" s="1">
        <v>6.75</v>
      </c>
      <c r="AG868" s="1">
        <v>44942</v>
      </c>
      <c r="AH868" s="1">
        <v>6.92</v>
      </c>
      <c r="AI868" s="1">
        <v>44988</v>
      </c>
      <c r="AJ868" s="2">
        <v>6.9669999999999996</v>
      </c>
      <c r="AK868" s="3">
        <v>44988</v>
      </c>
      <c r="AL868" s="2">
        <v>7.0049999999999999</v>
      </c>
      <c r="AM868" s="1">
        <v>44988</v>
      </c>
      <c r="AN868" s="2">
        <v>7.0049999999999999</v>
      </c>
      <c r="AO868" s="1">
        <v>44988</v>
      </c>
      <c r="AP868" s="2">
        <v>7.0149999999999997</v>
      </c>
      <c r="AQ868" s="1">
        <v>44988</v>
      </c>
      <c r="AR868" s="2">
        <v>6.7649999999999997</v>
      </c>
      <c r="AS868" s="1">
        <v>44988</v>
      </c>
      <c r="AT868" s="2">
        <v>6.415</v>
      </c>
      <c r="AU868" s="1">
        <v>44988</v>
      </c>
      <c r="AV868" s="2">
        <v>6.1</v>
      </c>
      <c r="AW868" s="1">
        <v>44988</v>
      </c>
      <c r="AX868" s="2">
        <v>5.79</v>
      </c>
      <c r="AY868" s="1">
        <v>44988</v>
      </c>
      <c r="AZ868" s="2">
        <v>5.49</v>
      </c>
      <c r="BB868" s="1">
        <v>44923</v>
      </c>
      <c r="BC868" s="1">
        <v>7</v>
      </c>
      <c r="BD868" s="1">
        <v>44939</v>
      </c>
      <c r="BE868" s="1">
        <v>7.21</v>
      </c>
      <c r="BF868" s="1">
        <v>44988</v>
      </c>
      <c r="BG868" s="1">
        <v>7.2229999999999999</v>
      </c>
      <c r="BH868" s="3">
        <v>44988</v>
      </c>
      <c r="BI868" s="1">
        <v>7.218</v>
      </c>
      <c r="BJ868" s="1">
        <v>44988</v>
      </c>
      <c r="BK868" s="1">
        <v>7.21</v>
      </c>
      <c r="BL868" s="1">
        <v>44988</v>
      </c>
      <c r="BM868" s="1">
        <v>7.1550000000000002</v>
      </c>
      <c r="BN868" s="1">
        <v>44988</v>
      </c>
      <c r="BO868" s="1">
        <v>6.7249999999999996</v>
      </c>
      <c r="BP868" s="1">
        <v>44988</v>
      </c>
      <c r="BQ868" s="1">
        <v>6.1349999999999998</v>
      </c>
      <c r="BR868" s="1">
        <v>44988</v>
      </c>
      <c r="BS868" s="1">
        <v>5.665</v>
      </c>
      <c r="BT868" s="1">
        <v>44988</v>
      </c>
      <c r="BU868" s="1">
        <v>5.2949999999999999</v>
      </c>
      <c r="BV868" s="1">
        <v>44988</v>
      </c>
      <c r="BW868" s="1">
        <v>4.9349999999999996</v>
      </c>
      <c r="BY868" s="1">
        <v>44932</v>
      </c>
      <c r="BZ868" s="1">
        <v>13</v>
      </c>
      <c r="CA868" s="1">
        <v>44931</v>
      </c>
      <c r="CB868" s="1">
        <v>16.149999999999999</v>
      </c>
      <c r="CC868" s="1">
        <v>44988</v>
      </c>
      <c r="CD868" s="1">
        <v>15.65</v>
      </c>
      <c r="CE868" s="3">
        <v>44988</v>
      </c>
      <c r="CF868" s="1">
        <v>15.08</v>
      </c>
      <c r="CG868" s="1">
        <v>44988</v>
      </c>
      <c r="CH868" s="1">
        <v>14.45</v>
      </c>
      <c r="CI868" s="1">
        <v>44988</v>
      </c>
      <c r="CJ868" s="1">
        <v>12.8</v>
      </c>
      <c r="CK868" s="1">
        <v>44988</v>
      </c>
      <c r="CL868" s="1">
        <v>11.35</v>
      </c>
      <c r="CM868" s="1">
        <v>44988</v>
      </c>
      <c r="CN868" s="1">
        <v>10.029999999999999</v>
      </c>
      <c r="CO868" s="1">
        <v>44980</v>
      </c>
      <c r="CP868" s="1">
        <v>9.25</v>
      </c>
      <c r="CQ868" s="1">
        <v>44980</v>
      </c>
      <c r="CR868" s="1">
        <v>8.1999999999999993</v>
      </c>
      <c r="CS868" s="1">
        <v>44980</v>
      </c>
      <c r="CT868" s="1">
        <v>7.55</v>
      </c>
    </row>
    <row r="869" spans="31:98" x14ac:dyDescent="0.2">
      <c r="AE869" s="1">
        <v>44979</v>
      </c>
      <c r="AF869" s="1">
        <v>6.75</v>
      </c>
      <c r="AG869" s="1">
        <v>44939</v>
      </c>
      <c r="AH869" s="1">
        <v>6.92</v>
      </c>
      <c r="AI869" s="1">
        <v>44987</v>
      </c>
      <c r="AJ869" s="2">
        <v>6.9740000000000002</v>
      </c>
      <c r="AK869" s="3">
        <v>44987</v>
      </c>
      <c r="AL869" s="2">
        <v>7.0350000000000001</v>
      </c>
      <c r="AM869" s="1">
        <v>44987</v>
      </c>
      <c r="AN869" s="2">
        <v>7.0449999999999999</v>
      </c>
      <c r="AO869" s="1">
        <v>44987</v>
      </c>
      <c r="AP869" s="2">
        <v>7.085</v>
      </c>
      <c r="AQ869" s="1">
        <v>44987</v>
      </c>
      <c r="AR869" s="2">
        <v>6.86</v>
      </c>
      <c r="AS869" s="1">
        <v>44987</v>
      </c>
      <c r="AT869" s="2">
        <v>6.53</v>
      </c>
      <c r="AU869" s="1">
        <v>44987</v>
      </c>
      <c r="AV869" s="2">
        <v>6.21</v>
      </c>
      <c r="AW869" s="1">
        <v>44987</v>
      </c>
      <c r="AX869" s="2">
        <v>5.8949999999999996</v>
      </c>
      <c r="AY869" s="1">
        <v>44987</v>
      </c>
      <c r="AZ869" s="2">
        <v>5.5949999999999998</v>
      </c>
      <c r="BB869" s="1">
        <v>44922</v>
      </c>
      <c r="BC869" s="1">
        <v>7</v>
      </c>
      <c r="BD869" s="1">
        <v>44938</v>
      </c>
      <c r="BE869" s="1">
        <v>7.21</v>
      </c>
      <c r="BF869" s="1">
        <v>44987</v>
      </c>
      <c r="BG869" s="1">
        <v>7.2149999999999999</v>
      </c>
      <c r="BH869" s="3">
        <v>44987</v>
      </c>
      <c r="BI869" s="1">
        <v>7.2050000000000001</v>
      </c>
      <c r="BJ869" s="1">
        <v>44987</v>
      </c>
      <c r="BK869" s="1">
        <v>7.22</v>
      </c>
      <c r="BL869" s="1">
        <v>44987</v>
      </c>
      <c r="BM869" s="1">
        <v>7.1950000000000003</v>
      </c>
      <c r="BN869" s="1">
        <v>44987</v>
      </c>
      <c r="BO869" s="1">
        <v>6.8449999999999998</v>
      </c>
      <c r="BP869" s="1">
        <v>44987</v>
      </c>
      <c r="BQ869" s="1">
        <v>6.27</v>
      </c>
      <c r="BR869" s="1">
        <v>44987</v>
      </c>
      <c r="BS869" s="1">
        <v>5.81</v>
      </c>
      <c r="BT869" s="1">
        <v>44987</v>
      </c>
      <c r="BU869" s="1">
        <v>5.4550000000000001</v>
      </c>
      <c r="BV869" s="1">
        <v>44987</v>
      </c>
      <c r="BW869" s="1">
        <v>5.0999999999999996</v>
      </c>
      <c r="BY869" s="1">
        <v>44931</v>
      </c>
      <c r="BZ869" s="1">
        <v>13</v>
      </c>
      <c r="CA869" s="1">
        <v>44930</v>
      </c>
      <c r="CB869" s="1">
        <v>16.190000000000001</v>
      </c>
      <c r="CC869" s="1">
        <v>44987</v>
      </c>
      <c r="CD869" s="1">
        <v>15.61</v>
      </c>
      <c r="CE869" s="3">
        <v>44987</v>
      </c>
      <c r="CF869" s="1">
        <v>15.09</v>
      </c>
      <c r="CG869" s="1">
        <v>44987</v>
      </c>
      <c r="CH869" s="1">
        <v>14.55</v>
      </c>
      <c r="CI869" s="1">
        <v>44987</v>
      </c>
      <c r="CJ869" s="1">
        <v>13</v>
      </c>
      <c r="CK869" s="1">
        <v>44987</v>
      </c>
      <c r="CL869" s="1">
        <v>11.65</v>
      </c>
      <c r="CM869" s="1">
        <v>44987</v>
      </c>
      <c r="CN869" s="1">
        <v>10.220000000000001</v>
      </c>
      <c r="CO869" s="1">
        <v>44979</v>
      </c>
      <c r="CP869" s="1">
        <v>9.2799999999999994</v>
      </c>
      <c r="CQ869" s="1">
        <v>44979</v>
      </c>
      <c r="CR869" s="1">
        <v>8.1999999999999993</v>
      </c>
      <c r="CS869" s="1">
        <v>44979</v>
      </c>
      <c r="CT869" s="1">
        <v>7.59</v>
      </c>
    </row>
    <row r="870" spans="31:98" x14ac:dyDescent="0.2">
      <c r="AE870" s="1">
        <v>44978</v>
      </c>
      <c r="AF870" s="1">
        <v>6.75</v>
      </c>
      <c r="AG870" s="1">
        <v>44938</v>
      </c>
      <c r="AH870" s="1">
        <v>6.95</v>
      </c>
      <c r="AI870" s="1">
        <v>44986</v>
      </c>
      <c r="AJ870" s="2">
        <v>6.97</v>
      </c>
      <c r="AK870" s="3">
        <v>44986</v>
      </c>
      <c r="AL870" s="2">
        <v>7.0049999999999999</v>
      </c>
      <c r="AM870" s="1">
        <v>44986</v>
      </c>
      <c r="AN870" s="2">
        <v>7.0250000000000004</v>
      </c>
      <c r="AO870" s="1">
        <v>44986</v>
      </c>
      <c r="AP870" s="2">
        <v>7.0350000000000001</v>
      </c>
      <c r="AQ870" s="1">
        <v>44986</v>
      </c>
      <c r="AR870" s="2">
        <v>6.79</v>
      </c>
      <c r="AS870" s="1">
        <v>44986</v>
      </c>
      <c r="AT870" s="2">
        <v>6.3949999999999996</v>
      </c>
      <c r="AU870" s="1">
        <v>44986</v>
      </c>
      <c r="AV870" s="2">
        <v>6.04</v>
      </c>
      <c r="AW870" s="1">
        <v>44986</v>
      </c>
      <c r="AX870" s="2">
        <v>5.6950000000000003</v>
      </c>
      <c r="AY870" s="1">
        <v>44986</v>
      </c>
      <c r="AZ870" s="2">
        <v>5.37</v>
      </c>
      <c r="BB870" s="1">
        <v>44918</v>
      </c>
      <c r="BC870" s="1">
        <v>7</v>
      </c>
      <c r="BD870" s="1">
        <v>44937</v>
      </c>
      <c r="BE870" s="1">
        <v>7.21</v>
      </c>
      <c r="BF870" s="1">
        <v>44986</v>
      </c>
      <c r="BG870" s="1">
        <v>7.2050000000000001</v>
      </c>
      <c r="BH870" s="3">
        <v>44986</v>
      </c>
      <c r="BI870" s="1">
        <v>7.2</v>
      </c>
      <c r="BJ870" s="1">
        <v>44986</v>
      </c>
      <c r="BK870" s="1">
        <v>7.1849999999999996</v>
      </c>
      <c r="BL870" s="1">
        <v>44986</v>
      </c>
      <c r="BM870" s="1">
        <v>7.0979999999999999</v>
      </c>
      <c r="BN870" s="1">
        <v>44986</v>
      </c>
      <c r="BO870" s="1">
        <v>6.6680000000000001</v>
      </c>
      <c r="BP870" s="1">
        <v>44986</v>
      </c>
      <c r="BQ870" s="1">
        <v>5.9749999999999996</v>
      </c>
      <c r="BR870" s="1">
        <v>44986</v>
      </c>
      <c r="BS870" s="1">
        <v>5.4429999999999996</v>
      </c>
      <c r="BT870" s="1">
        <v>44986</v>
      </c>
      <c r="BU870" s="1">
        <v>5.0830000000000002</v>
      </c>
      <c r="BV870" s="1">
        <v>44986</v>
      </c>
      <c r="BW870" s="1">
        <v>4.7530000000000001</v>
      </c>
      <c r="BY870" s="1">
        <v>44930</v>
      </c>
      <c r="BZ870" s="1">
        <v>13</v>
      </c>
      <c r="CA870" s="1">
        <v>44929</v>
      </c>
      <c r="CB870" s="1">
        <v>16.21</v>
      </c>
      <c r="CC870" s="1">
        <v>44986</v>
      </c>
      <c r="CD870" s="1">
        <v>15.66</v>
      </c>
      <c r="CE870" s="3">
        <v>44986</v>
      </c>
      <c r="CF870" s="1">
        <v>15.15</v>
      </c>
      <c r="CG870" s="1">
        <v>44986</v>
      </c>
      <c r="CH870" s="1">
        <v>14.6</v>
      </c>
      <c r="CI870" s="1">
        <v>44986</v>
      </c>
      <c r="CJ870" s="1">
        <v>13.05</v>
      </c>
      <c r="CK870" s="1">
        <v>44986</v>
      </c>
      <c r="CL870" s="1">
        <v>11.7</v>
      </c>
      <c r="CM870" s="1">
        <v>44986</v>
      </c>
      <c r="CN870" s="1">
        <v>10.210000000000001</v>
      </c>
      <c r="CO870" s="1">
        <v>44978</v>
      </c>
      <c r="CP870" s="1">
        <v>10.09</v>
      </c>
      <c r="CQ870" s="1">
        <v>44978</v>
      </c>
      <c r="CR870" s="1">
        <v>9.09</v>
      </c>
      <c r="CS870" s="1">
        <v>44978</v>
      </c>
      <c r="CT870" s="1">
        <v>8.32</v>
      </c>
    </row>
    <row r="871" spans="31:98" x14ac:dyDescent="0.2">
      <c r="AE871" s="1">
        <v>44977</v>
      </c>
      <c r="AF871" s="1">
        <v>6.75</v>
      </c>
      <c r="AG871" s="1">
        <v>44937</v>
      </c>
      <c r="AH871" s="1">
        <v>6.95</v>
      </c>
      <c r="AI871" s="1">
        <v>44985</v>
      </c>
      <c r="AJ871" s="2">
        <v>6.9470000000000001</v>
      </c>
      <c r="AK871" s="3">
        <v>44985</v>
      </c>
      <c r="AL871" s="2">
        <v>6.99</v>
      </c>
      <c r="AM871" s="1">
        <v>44985</v>
      </c>
      <c r="AN871" s="2">
        <v>7.01</v>
      </c>
      <c r="AO871" s="1">
        <v>44985</v>
      </c>
      <c r="AP871" s="2">
        <v>7.0259999999999998</v>
      </c>
      <c r="AQ871" s="1">
        <v>44985</v>
      </c>
      <c r="AR871" s="2">
        <v>6.7525000000000004</v>
      </c>
      <c r="AS871" s="1">
        <v>44985</v>
      </c>
      <c r="AT871" s="2">
        <v>6.3250000000000002</v>
      </c>
      <c r="AU871" s="1">
        <v>44985</v>
      </c>
      <c r="AV871" s="2">
        <v>5.92</v>
      </c>
      <c r="AW871" s="1">
        <v>44985</v>
      </c>
      <c r="AX871" s="2">
        <v>5.55</v>
      </c>
      <c r="AY871" s="1">
        <v>44985</v>
      </c>
      <c r="AZ871" s="2">
        <v>5.28</v>
      </c>
      <c r="BB871" s="1">
        <v>44917</v>
      </c>
      <c r="BC871" s="1">
        <v>7</v>
      </c>
      <c r="BD871" s="1">
        <v>44936</v>
      </c>
      <c r="BE871" s="1">
        <v>7.22</v>
      </c>
      <c r="BF871" s="1">
        <v>44985</v>
      </c>
      <c r="BG871" s="1">
        <v>7.2050000000000001</v>
      </c>
      <c r="BH871" s="3">
        <v>44985</v>
      </c>
      <c r="BI871" s="1">
        <v>7.1929999999999996</v>
      </c>
      <c r="BJ871" s="1">
        <v>44985</v>
      </c>
      <c r="BK871" s="1">
        <v>7.1879999999999997</v>
      </c>
      <c r="BL871" s="1">
        <v>44985</v>
      </c>
      <c r="BM871" s="1">
        <v>7.0679999999999996</v>
      </c>
      <c r="BN871" s="1">
        <v>44985</v>
      </c>
      <c r="BO871" s="1">
        <v>6.5650000000000004</v>
      </c>
      <c r="BP871" s="1">
        <v>44985</v>
      </c>
      <c r="BQ871" s="1">
        <v>5.8449999999999998</v>
      </c>
      <c r="BR871" s="1">
        <v>44985</v>
      </c>
      <c r="BS871" s="1">
        <v>5.2750000000000004</v>
      </c>
      <c r="BT871" s="1">
        <v>44985</v>
      </c>
      <c r="BU871" s="1">
        <v>4.9649999999999999</v>
      </c>
      <c r="BV871" s="1">
        <v>44985</v>
      </c>
      <c r="BW871" s="1">
        <v>4.665</v>
      </c>
      <c r="BY871" s="1">
        <v>44929</v>
      </c>
      <c r="BZ871" s="1">
        <v>13</v>
      </c>
      <c r="CA871" s="1">
        <v>44928</v>
      </c>
      <c r="CB871" s="1">
        <v>16.21</v>
      </c>
      <c r="CC871" s="1">
        <v>44985</v>
      </c>
      <c r="CD871" s="1">
        <v>15.69</v>
      </c>
      <c r="CE871" s="3">
        <v>44985</v>
      </c>
      <c r="CF871" s="1">
        <v>15.22</v>
      </c>
      <c r="CG871" s="1">
        <v>44985</v>
      </c>
      <c r="CH871" s="1">
        <v>14.7</v>
      </c>
      <c r="CI871" s="1">
        <v>44985</v>
      </c>
      <c r="CJ871" s="1">
        <v>13.2</v>
      </c>
      <c r="CK871" s="1">
        <v>44985</v>
      </c>
      <c r="CL871" s="1">
        <v>11.9</v>
      </c>
      <c r="CM871" s="1">
        <v>44985</v>
      </c>
      <c r="CN871" s="1">
        <v>10.210000000000001</v>
      </c>
      <c r="CO871" s="1">
        <v>44977</v>
      </c>
      <c r="CP871" s="1">
        <v>10.07</v>
      </c>
      <c r="CQ871" s="1">
        <v>44977</v>
      </c>
      <c r="CR871" s="1">
        <v>9.14</v>
      </c>
      <c r="CS871" s="1">
        <v>44977</v>
      </c>
      <c r="CT871" s="1">
        <v>8.5500000000000007</v>
      </c>
    </row>
    <row r="872" spans="31:98" x14ac:dyDescent="0.2">
      <c r="AE872" s="1">
        <v>44974</v>
      </c>
      <c r="AF872" s="1">
        <v>6.75</v>
      </c>
      <c r="AG872" s="1">
        <v>44936</v>
      </c>
      <c r="AH872" s="1">
        <v>6.99</v>
      </c>
      <c r="AI872" s="1">
        <v>44984</v>
      </c>
      <c r="AJ872" s="2">
        <v>6.9524999999999997</v>
      </c>
      <c r="AK872" s="3">
        <v>44984</v>
      </c>
      <c r="AL872" s="2">
        <v>6.9550000000000001</v>
      </c>
      <c r="AM872" s="1">
        <v>44984</v>
      </c>
      <c r="AN872" s="2">
        <v>6.96</v>
      </c>
      <c r="AO872" s="1">
        <v>44984</v>
      </c>
      <c r="AP872" s="2">
        <v>6.98</v>
      </c>
      <c r="AQ872" s="1">
        <v>44984</v>
      </c>
      <c r="AR872" s="2">
        <v>6.6749999999999998</v>
      </c>
      <c r="AS872" s="1">
        <v>44984</v>
      </c>
      <c r="AT872" s="2">
        <v>6.25</v>
      </c>
      <c r="AU872" s="1">
        <v>44984</v>
      </c>
      <c r="AV872" s="2">
        <v>5.89</v>
      </c>
      <c r="AW872" s="1">
        <v>44984</v>
      </c>
      <c r="AX872" s="2">
        <v>5.52</v>
      </c>
      <c r="AY872" s="1">
        <v>44984</v>
      </c>
      <c r="AZ872" s="2">
        <v>5.2249999999999996</v>
      </c>
      <c r="BB872" s="1">
        <v>44916</v>
      </c>
      <c r="BC872" s="1">
        <v>7</v>
      </c>
      <c r="BD872" s="1">
        <v>44935</v>
      </c>
      <c r="BE872" s="1">
        <v>7.22</v>
      </c>
      <c r="BF872" s="1">
        <v>44984</v>
      </c>
      <c r="BG872" s="1">
        <v>7.2</v>
      </c>
      <c r="BH872" s="3">
        <v>44984</v>
      </c>
      <c r="BI872" s="1">
        <v>7.19</v>
      </c>
      <c r="BJ872" s="1">
        <v>44984</v>
      </c>
      <c r="BK872" s="1">
        <v>7.1849999999999996</v>
      </c>
      <c r="BL872" s="1">
        <v>44984</v>
      </c>
      <c r="BM872" s="1">
        <v>7.0179999999999998</v>
      </c>
      <c r="BN872" s="1">
        <v>44984</v>
      </c>
      <c r="BO872" s="1">
        <v>6.4880000000000004</v>
      </c>
      <c r="BP872" s="1">
        <v>44984</v>
      </c>
      <c r="BQ872" s="1">
        <v>5.73</v>
      </c>
      <c r="BR872" s="1">
        <v>44984</v>
      </c>
      <c r="BS872" s="1">
        <v>5.0999999999999996</v>
      </c>
      <c r="BT872" s="1">
        <v>44984</v>
      </c>
      <c r="BU872" s="1">
        <v>4.7699999999999996</v>
      </c>
      <c r="BV872" s="1">
        <v>44984</v>
      </c>
      <c r="BW872" s="1">
        <v>4.45</v>
      </c>
      <c r="BY872" s="1">
        <v>44928</v>
      </c>
      <c r="BZ872" s="1">
        <v>13</v>
      </c>
      <c r="CA872" s="1">
        <v>44925</v>
      </c>
      <c r="CB872" s="1">
        <v>16.18</v>
      </c>
      <c r="CC872" s="1">
        <v>44984</v>
      </c>
      <c r="CD872" s="1">
        <v>15.64</v>
      </c>
      <c r="CE872" s="3">
        <v>44984</v>
      </c>
      <c r="CF872" s="1">
        <v>15.12</v>
      </c>
      <c r="CG872" s="1">
        <v>44984</v>
      </c>
      <c r="CH872" s="1">
        <v>14.55</v>
      </c>
      <c r="CI872" s="1">
        <v>44984</v>
      </c>
      <c r="CJ872" s="1">
        <v>13.05</v>
      </c>
      <c r="CK872" s="1">
        <v>44984</v>
      </c>
      <c r="CL872" s="1">
        <v>11.75</v>
      </c>
      <c r="CM872" s="1">
        <v>44984</v>
      </c>
      <c r="CN872" s="1">
        <v>10.029999999999999</v>
      </c>
      <c r="CO872" s="1">
        <v>44974</v>
      </c>
      <c r="CP872" s="1">
        <v>10.1</v>
      </c>
      <c r="CQ872" s="1">
        <v>44974</v>
      </c>
      <c r="CR872" s="1">
        <v>9.16</v>
      </c>
      <c r="CS872" s="1">
        <v>44974</v>
      </c>
      <c r="CT872" s="1">
        <v>8.4700000000000006</v>
      </c>
    </row>
    <row r="873" spans="31:98" x14ac:dyDescent="0.2">
      <c r="AE873" s="1">
        <v>44973</v>
      </c>
      <c r="AF873" s="1">
        <v>6.75</v>
      </c>
      <c r="AG873" s="1">
        <v>44935</v>
      </c>
      <c r="AH873" s="1">
        <v>6.96</v>
      </c>
      <c r="AI873" s="1">
        <v>44981</v>
      </c>
      <c r="AJ873" s="2">
        <v>6.9569999999999999</v>
      </c>
      <c r="AK873" s="3">
        <v>44981</v>
      </c>
      <c r="AL873" s="2">
        <v>6.96</v>
      </c>
      <c r="AM873" s="1">
        <v>44981</v>
      </c>
      <c r="AN873" s="2">
        <v>6.96</v>
      </c>
      <c r="AO873" s="1">
        <v>44981</v>
      </c>
      <c r="AP873" s="2">
        <v>6.99</v>
      </c>
      <c r="AQ873" s="1">
        <v>44981</v>
      </c>
      <c r="AR873" s="2">
        <v>6.6950000000000003</v>
      </c>
      <c r="AS873" s="1">
        <v>44981</v>
      </c>
      <c r="AT873" s="2">
        <v>6.3</v>
      </c>
      <c r="AU873" s="1">
        <v>44981</v>
      </c>
      <c r="AV873" s="2">
        <v>5.94</v>
      </c>
      <c r="AW873" s="1">
        <v>44981</v>
      </c>
      <c r="AX873" s="2">
        <v>5.57</v>
      </c>
      <c r="AY873" s="1">
        <v>44981</v>
      </c>
      <c r="AZ873" s="2">
        <v>5.28</v>
      </c>
      <c r="BB873" s="1">
        <v>44915</v>
      </c>
      <c r="BC873" s="1">
        <v>7</v>
      </c>
      <c r="BD873" s="1">
        <v>44932</v>
      </c>
      <c r="BE873" s="1">
        <v>7.22</v>
      </c>
      <c r="BF873" s="1">
        <v>44981</v>
      </c>
      <c r="BG873" s="1">
        <v>7.2</v>
      </c>
      <c r="BH873" s="3">
        <v>44981</v>
      </c>
      <c r="BI873" s="1">
        <v>7.1950000000000003</v>
      </c>
      <c r="BJ873" s="1">
        <v>44981</v>
      </c>
      <c r="BK873" s="1">
        <v>7.1929999999999996</v>
      </c>
      <c r="BL873" s="1">
        <v>44981</v>
      </c>
      <c r="BM873" s="1">
        <v>7.0229999999999997</v>
      </c>
      <c r="BN873" s="1">
        <v>44981</v>
      </c>
      <c r="BO873" s="1">
        <v>6.5</v>
      </c>
      <c r="BP873" s="1">
        <v>44981</v>
      </c>
      <c r="BQ873" s="1">
        <v>5.75</v>
      </c>
      <c r="BR873" s="1">
        <v>44981</v>
      </c>
      <c r="BS873" s="1">
        <v>5.13</v>
      </c>
      <c r="BT873" s="1">
        <v>44981</v>
      </c>
      <c r="BU873" s="1">
        <v>4.8</v>
      </c>
      <c r="BV873" s="1">
        <v>44981</v>
      </c>
      <c r="BW873" s="1">
        <v>4.4800000000000004</v>
      </c>
      <c r="BY873" s="1">
        <v>44925</v>
      </c>
      <c r="BZ873" s="1">
        <v>13</v>
      </c>
      <c r="CA873" s="1">
        <v>44924</v>
      </c>
      <c r="CB873" s="1">
        <v>16.190000000000001</v>
      </c>
      <c r="CC873" s="1">
        <v>44981</v>
      </c>
      <c r="CD873" s="1">
        <v>15.91</v>
      </c>
      <c r="CE873" s="3">
        <v>44981</v>
      </c>
      <c r="CF873" s="1">
        <v>15.4</v>
      </c>
      <c r="CG873" s="1">
        <v>44981</v>
      </c>
      <c r="CH873" s="1">
        <v>14.8</v>
      </c>
      <c r="CI873" s="1">
        <v>44981</v>
      </c>
      <c r="CJ873" s="1">
        <v>13.35</v>
      </c>
      <c r="CK873" s="1">
        <v>44981</v>
      </c>
      <c r="CL873" s="1">
        <v>12</v>
      </c>
      <c r="CM873" s="1">
        <v>44981</v>
      </c>
      <c r="CN873" s="1">
        <v>10.29</v>
      </c>
      <c r="CO873" s="1">
        <v>44973</v>
      </c>
      <c r="CP873" s="1">
        <v>9.61</v>
      </c>
      <c r="CQ873" s="1">
        <v>44973</v>
      </c>
      <c r="CR873" s="1">
        <v>8.67</v>
      </c>
      <c r="CS873" s="1">
        <v>44973</v>
      </c>
      <c r="CT873" s="1">
        <v>8.07</v>
      </c>
    </row>
    <row r="874" spans="31:98" x14ac:dyDescent="0.2">
      <c r="AE874" s="1">
        <v>44972</v>
      </c>
      <c r="AF874" s="1">
        <v>6.75</v>
      </c>
      <c r="AG874" s="1">
        <v>44931</v>
      </c>
      <c r="AH874" s="1">
        <v>6.99</v>
      </c>
      <c r="AI874" s="1">
        <v>44980</v>
      </c>
      <c r="AJ874" s="2">
        <v>6.9550000000000001</v>
      </c>
      <c r="AK874" s="3">
        <v>44980</v>
      </c>
      <c r="AL874" s="2">
        <v>6.96</v>
      </c>
      <c r="AM874" s="1">
        <v>44980</v>
      </c>
      <c r="AN874" s="2">
        <v>6.96</v>
      </c>
      <c r="AO874" s="1">
        <v>44980</v>
      </c>
      <c r="AP874" s="2">
        <v>6.9749999999999996</v>
      </c>
      <c r="AQ874" s="1">
        <v>44980</v>
      </c>
      <c r="AR874" s="2">
        <v>6.6988000000000003</v>
      </c>
      <c r="AS874" s="1">
        <v>44980</v>
      </c>
      <c r="AT874" s="2">
        <v>6.31</v>
      </c>
      <c r="AU874" s="1">
        <v>44980</v>
      </c>
      <c r="AV874" s="2">
        <v>5.95</v>
      </c>
      <c r="AW874" s="1">
        <v>44980</v>
      </c>
      <c r="AX874" s="2">
        <v>5.5949999999999998</v>
      </c>
      <c r="AY874" s="1">
        <v>44980</v>
      </c>
      <c r="AZ874" s="2">
        <v>5.3049999999999997</v>
      </c>
      <c r="BB874" s="1">
        <v>44914</v>
      </c>
      <c r="BC874" s="1">
        <v>7</v>
      </c>
      <c r="BD874" s="1">
        <v>44931</v>
      </c>
      <c r="BE874" s="1">
        <v>7.23</v>
      </c>
      <c r="BF874" s="1">
        <v>44980</v>
      </c>
      <c r="BG874" s="1">
        <v>7.19</v>
      </c>
      <c r="BH874" s="3">
        <v>44980</v>
      </c>
      <c r="BI874" s="1">
        <v>7.1950000000000003</v>
      </c>
      <c r="BJ874" s="1">
        <v>44980</v>
      </c>
      <c r="BK874" s="1">
        <v>7.19</v>
      </c>
      <c r="BL874" s="1">
        <v>44980</v>
      </c>
      <c r="BM874" s="1">
        <v>7.02</v>
      </c>
      <c r="BN874" s="1">
        <v>44980</v>
      </c>
      <c r="BO874" s="1">
        <v>6.46</v>
      </c>
      <c r="BP874" s="1">
        <v>44980</v>
      </c>
      <c r="BQ874" s="1">
        <v>5.7450000000000001</v>
      </c>
      <c r="BR874" s="1">
        <v>44980</v>
      </c>
      <c r="BS874" s="1">
        <v>5.14</v>
      </c>
      <c r="BT874" s="1">
        <v>44980</v>
      </c>
      <c r="BU874" s="1">
        <v>4.82</v>
      </c>
      <c r="BV874" s="1">
        <v>44980</v>
      </c>
      <c r="BW874" s="1">
        <v>4.5199999999999996</v>
      </c>
      <c r="BY874" s="1">
        <v>44924</v>
      </c>
      <c r="BZ874" s="1">
        <v>13</v>
      </c>
      <c r="CA874" s="1">
        <v>44923</v>
      </c>
      <c r="CB874" s="1">
        <v>16.190000000000001</v>
      </c>
      <c r="CC874" s="1">
        <v>44980</v>
      </c>
      <c r="CD874" s="1">
        <v>16.05</v>
      </c>
      <c r="CE874" s="3">
        <v>44980</v>
      </c>
      <c r="CF874" s="1">
        <v>15.48</v>
      </c>
      <c r="CG874" s="1">
        <v>44980</v>
      </c>
      <c r="CH874" s="1">
        <v>15.1</v>
      </c>
      <c r="CI874" s="1">
        <v>44980</v>
      </c>
      <c r="CJ874" s="1">
        <v>13.6</v>
      </c>
      <c r="CK874" s="1">
        <v>44980</v>
      </c>
      <c r="CL874" s="1">
        <v>12.2</v>
      </c>
      <c r="CM874" s="1">
        <v>44980</v>
      </c>
      <c r="CN874" s="1">
        <v>10.6</v>
      </c>
      <c r="CO874" s="1">
        <v>44972</v>
      </c>
      <c r="CP874" s="1">
        <v>8.98</v>
      </c>
      <c r="CQ874" s="1">
        <v>44972</v>
      </c>
      <c r="CR874" s="1">
        <v>8.0299999999999994</v>
      </c>
      <c r="CS874" s="1">
        <v>44972</v>
      </c>
      <c r="CT874" s="1">
        <v>7.42</v>
      </c>
    </row>
    <row r="875" spans="31:98" x14ac:dyDescent="0.2">
      <c r="AE875" s="1">
        <v>44971</v>
      </c>
      <c r="AF875" s="1">
        <v>6.75</v>
      </c>
      <c r="AG875" s="1">
        <v>44930</v>
      </c>
      <c r="AH875" s="1">
        <v>7</v>
      </c>
      <c r="AI875" s="1">
        <v>44979</v>
      </c>
      <c r="AJ875" s="2">
        <v>6.9489999999999998</v>
      </c>
      <c r="AK875" s="3">
        <v>44979</v>
      </c>
      <c r="AL875" s="2">
        <v>6.96</v>
      </c>
      <c r="AM875" s="1">
        <v>44979</v>
      </c>
      <c r="AN875" s="2">
        <v>6.9649999999999999</v>
      </c>
      <c r="AO875" s="1">
        <v>44979</v>
      </c>
      <c r="AP875" s="1">
        <v>6.9850000000000003</v>
      </c>
      <c r="AQ875" s="1">
        <v>44979</v>
      </c>
      <c r="AR875" s="1">
        <v>6.72</v>
      </c>
      <c r="AS875" s="1">
        <v>44979</v>
      </c>
      <c r="AT875" s="1">
        <v>6.3650000000000002</v>
      </c>
      <c r="AU875" s="1">
        <v>44979</v>
      </c>
      <c r="AV875" s="1">
        <v>6.0250000000000004</v>
      </c>
      <c r="AW875" s="1">
        <v>44979</v>
      </c>
      <c r="AX875" s="2">
        <v>5.69</v>
      </c>
      <c r="AY875" s="1">
        <v>44979</v>
      </c>
      <c r="AZ875" s="2">
        <v>5.4050000000000002</v>
      </c>
      <c r="BB875" s="1">
        <v>44911</v>
      </c>
      <c r="BC875" s="1">
        <v>7</v>
      </c>
      <c r="BD875" s="1">
        <v>44930</v>
      </c>
      <c r="BE875" s="1">
        <v>7.24</v>
      </c>
      <c r="BF875" s="1">
        <v>44979</v>
      </c>
      <c r="BG875" s="1">
        <v>7.19</v>
      </c>
      <c r="BH875" s="3">
        <v>44979</v>
      </c>
      <c r="BI875" s="1">
        <v>7.1749999999999998</v>
      </c>
      <c r="BJ875" s="1">
        <v>44979</v>
      </c>
      <c r="BK875" s="1">
        <v>7.17</v>
      </c>
      <c r="BL875" s="1">
        <v>44979</v>
      </c>
      <c r="BM875" s="1">
        <v>6.98</v>
      </c>
      <c r="BN875" s="1">
        <v>44979</v>
      </c>
      <c r="BO875" s="1">
        <v>6.5049999999999999</v>
      </c>
      <c r="BP875" s="1">
        <v>44979</v>
      </c>
      <c r="BQ875" s="1">
        <v>5.8179999999999996</v>
      </c>
      <c r="BR875" s="1">
        <v>44979</v>
      </c>
      <c r="BS875" s="1">
        <v>5.2</v>
      </c>
      <c r="BT875" s="1">
        <v>44979</v>
      </c>
      <c r="BU875" s="1">
        <v>4.8550000000000004</v>
      </c>
      <c r="BV875" s="1">
        <v>44979</v>
      </c>
      <c r="BW875" s="1">
        <v>4.4880000000000004</v>
      </c>
      <c r="BY875" s="1">
        <v>44922</v>
      </c>
      <c r="BZ875" s="1">
        <v>13</v>
      </c>
      <c r="CA875" s="1">
        <v>44922</v>
      </c>
      <c r="CB875" s="1">
        <v>16.2</v>
      </c>
      <c r="CC875" s="1">
        <v>44979</v>
      </c>
      <c r="CD875" s="1">
        <v>16.100000000000001</v>
      </c>
      <c r="CE875" s="3">
        <v>44979</v>
      </c>
      <c r="CF875" s="1">
        <v>15.57</v>
      </c>
      <c r="CG875" s="1">
        <v>44979</v>
      </c>
      <c r="CH875" s="1">
        <v>15.26</v>
      </c>
      <c r="CI875" s="1">
        <v>44979</v>
      </c>
      <c r="CJ875" s="1">
        <v>13.66</v>
      </c>
      <c r="CK875" s="1">
        <v>44979</v>
      </c>
      <c r="CL875" s="1">
        <v>12.26</v>
      </c>
      <c r="CM875" s="1">
        <v>44979</v>
      </c>
      <c r="CN875" s="1">
        <v>10.68</v>
      </c>
      <c r="CO875" s="1">
        <v>44971</v>
      </c>
      <c r="CP875" s="1">
        <v>8.99</v>
      </c>
      <c r="CQ875" s="1">
        <v>44971</v>
      </c>
      <c r="CR875" s="1">
        <v>8.08</v>
      </c>
      <c r="CS875" s="1">
        <v>44971</v>
      </c>
      <c r="CT875" s="1">
        <v>7.44</v>
      </c>
    </row>
    <row r="876" spans="31:98" x14ac:dyDescent="0.2">
      <c r="AE876" s="1">
        <v>44970</v>
      </c>
      <c r="AF876" s="1">
        <v>6.75</v>
      </c>
      <c r="AG876" s="1">
        <v>44929</v>
      </c>
      <c r="AH876" s="1">
        <v>7.01</v>
      </c>
      <c r="AI876" s="1">
        <v>44978</v>
      </c>
      <c r="AJ876" s="2">
        <v>6.9649999999999999</v>
      </c>
      <c r="AK876" s="3">
        <v>44978</v>
      </c>
      <c r="AL876" s="2">
        <v>6.9850000000000003</v>
      </c>
      <c r="AM876" s="1">
        <v>44978</v>
      </c>
      <c r="AN876" s="2">
        <v>7.0049999999999999</v>
      </c>
      <c r="AO876" s="1">
        <v>44978</v>
      </c>
      <c r="AP876" s="1">
        <v>7.0350000000000001</v>
      </c>
      <c r="AQ876" s="1">
        <v>44978</v>
      </c>
      <c r="AR876" s="1">
        <v>6.8449999999999998</v>
      </c>
      <c r="AS876" s="1">
        <v>44978</v>
      </c>
      <c r="AT876" s="1">
        <v>6.49</v>
      </c>
      <c r="AU876" s="1">
        <v>44978</v>
      </c>
      <c r="AV876" s="1">
        <v>6.14</v>
      </c>
      <c r="AW876" s="1">
        <v>44978</v>
      </c>
      <c r="AX876" s="2">
        <v>5.7949999999999999</v>
      </c>
      <c r="AY876" s="1">
        <v>44978</v>
      </c>
      <c r="AZ876" s="2">
        <v>5.5350000000000001</v>
      </c>
      <c r="BB876" s="1">
        <v>44910</v>
      </c>
      <c r="BC876" s="1">
        <v>7</v>
      </c>
      <c r="BD876" s="1">
        <v>44929</v>
      </c>
      <c r="BE876" s="1">
        <v>7.23</v>
      </c>
      <c r="BF876" s="1">
        <v>44978</v>
      </c>
      <c r="BG876" s="1">
        <v>7.19</v>
      </c>
      <c r="BH876" s="3">
        <v>44978</v>
      </c>
      <c r="BI876" s="1">
        <v>7.1829999999999998</v>
      </c>
      <c r="BJ876" s="1">
        <v>44978</v>
      </c>
      <c r="BK876" s="1">
        <v>7.1749999999999998</v>
      </c>
      <c r="BL876" s="1">
        <v>44978</v>
      </c>
      <c r="BM876" s="1">
        <v>6.99</v>
      </c>
      <c r="BN876" s="1">
        <v>44978</v>
      </c>
      <c r="BO876" s="1">
        <v>6.5179999999999998</v>
      </c>
      <c r="BP876" s="1">
        <v>44978</v>
      </c>
      <c r="BQ876" s="1">
        <v>5.8529999999999998</v>
      </c>
      <c r="BR876" s="1">
        <v>44978</v>
      </c>
      <c r="BS876" s="1">
        <v>5.2380000000000004</v>
      </c>
      <c r="BT876" s="1">
        <v>44978</v>
      </c>
      <c r="BU876" s="1">
        <v>4.9130000000000003</v>
      </c>
      <c r="BV876" s="1">
        <v>44978</v>
      </c>
      <c r="BW876" s="1">
        <v>4.5629999999999997</v>
      </c>
      <c r="BY876" s="1">
        <v>44921</v>
      </c>
      <c r="BZ876" s="1">
        <v>13</v>
      </c>
      <c r="CA876" s="1">
        <v>44918</v>
      </c>
      <c r="CB876" s="1">
        <v>16.21</v>
      </c>
      <c r="CC876" s="1">
        <v>44978</v>
      </c>
      <c r="CD876" s="1">
        <v>16.27</v>
      </c>
      <c r="CE876" s="3">
        <v>44978</v>
      </c>
      <c r="CF876" s="1">
        <v>15.83</v>
      </c>
      <c r="CG876" s="1">
        <v>44978</v>
      </c>
      <c r="CH876" s="1">
        <v>15.4</v>
      </c>
      <c r="CI876" s="1">
        <v>44978</v>
      </c>
      <c r="CJ876" s="1">
        <v>13.9</v>
      </c>
      <c r="CK876" s="1">
        <v>44978</v>
      </c>
      <c r="CL876" s="1">
        <v>12.6</v>
      </c>
      <c r="CM876" s="1">
        <v>44978</v>
      </c>
      <c r="CN876" s="1">
        <v>11.24</v>
      </c>
      <c r="CO876" s="1">
        <v>44970</v>
      </c>
      <c r="CP876" s="1">
        <v>9.1199999999999992</v>
      </c>
      <c r="CQ876" s="1">
        <v>44970</v>
      </c>
      <c r="CR876" s="1">
        <v>8.2100000000000009</v>
      </c>
      <c r="CS876" s="1">
        <v>44970</v>
      </c>
      <c r="CT876" s="1">
        <v>7.57</v>
      </c>
    </row>
    <row r="877" spans="31:98" x14ac:dyDescent="0.2">
      <c r="AE877" s="1">
        <v>44967</v>
      </c>
      <c r="AF877" s="1">
        <v>6.75</v>
      </c>
      <c r="AG877" s="1">
        <v>44928</v>
      </c>
      <c r="AH877" s="1">
        <v>7.01</v>
      </c>
      <c r="AI877" s="1">
        <v>44977</v>
      </c>
      <c r="AJ877" s="2">
        <v>6.9654999999999996</v>
      </c>
      <c r="AK877" s="3">
        <v>44977</v>
      </c>
      <c r="AL877" s="2">
        <v>6.98</v>
      </c>
      <c r="AM877" s="1">
        <v>44977</v>
      </c>
      <c r="AN877" s="2">
        <v>6.9824999999999999</v>
      </c>
      <c r="AO877" s="1">
        <v>44977</v>
      </c>
      <c r="AP877" s="1">
        <v>7.0025000000000004</v>
      </c>
      <c r="AQ877" s="1">
        <v>44977</v>
      </c>
      <c r="AR877" s="1">
        <v>6.7149999999999999</v>
      </c>
      <c r="AS877" s="1">
        <v>44977</v>
      </c>
      <c r="AT877" s="1">
        <v>6.3475000000000001</v>
      </c>
      <c r="AU877" s="1">
        <v>44977</v>
      </c>
      <c r="AV877" s="1">
        <v>5.9675000000000002</v>
      </c>
      <c r="AW877" s="1">
        <v>44977</v>
      </c>
      <c r="AX877" s="2">
        <v>5.6675000000000004</v>
      </c>
      <c r="AY877" s="1">
        <v>44977</v>
      </c>
      <c r="AZ877" s="2">
        <v>5.38</v>
      </c>
      <c r="BB877" s="1">
        <v>44909</v>
      </c>
      <c r="BC877" s="1">
        <v>7</v>
      </c>
      <c r="BD877" s="1">
        <v>44928</v>
      </c>
      <c r="BE877" s="1">
        <v>7.24</v>
      </c>
      <c r="BF877" s="1">
        <v>44977</v>
      </c>
      <c r="BG877" s="1">
        <v>7.19</v>
      </c>
      <c r="BH877" s="3">
        <v>44977</v>
      </c>
      <c r="BI877" s="1">
        <v>7.1779999999999999</v>
      </c>
      <c r="BJ877" s="1">
        <v>44977</v>
      </c>
      <c r="BK877" s="1">
        <v>7.16</v>
      </c>
      <c r="BL877" s="1">
        <v>44977</v>
      </c>
      <c r="BM877" s="1">
        <v>6.95</v>
      </c>
      <c r="BN877" s="1">
        <v>44977</v>
      </c>
      <c r="BO877" s="1">
        <v>6.4</v>
      </c>
      <c r="BP877" s="1">
        <v>44977</v>
      </c>
      <c r="BQ877" s="1">
        <v>5.71</v>
      </c>
      <c r="BR877" s="1">
        <v>44977</v>
      </c>
      <c r="BS877" s="1">
        <v>5.0650000000000004</v>
      </c>
      <c r="BT877" s="1">
        <v>44977</v>
      </c>
      <c r="BU877" s="1">
        <v>4.7380000000000004</v>
      </c>
      <c r="BV877" s="1">
        <v>44977</v>
      </c>
      <c r="BW877" s="1">
        <v>4.3899999999999997</v>
      </c>
      <c r="BY877" s="1">
        <v>44918</v>
      </c>
      <c r="BZ877" s="1">
        <v>13</v>
      </c>
      <c r="CA877" s="1">
        <v>44917</v>
      </c>
      <c r="CB877" s="1">
        <v>16.21</v>
      </c>
      <c r="CC877" s="1">
        <v>44977</v>
      </c>
      <c r="CD877" s="1">
        <v>16.239999999999998</v>
      </c>
      <c r="CE877" s="3">
        <v>44977</v>
      </c>
      <c r="CF877" s="1">
        <v>15.89</v>
      </c>
      <c r="CG877" s="1">
        <v>44977</v>
      </c>
      <c r="CH877" s="1">
        <v>15.45</v>
      </c>
      <c r="CI877" s="1">
        <v>44977</v>
      </c>
      <c r="CJ877" s="1">
        <v>13.95</v>
      </c>
      <c r="CK877" s="1">
        <v>44977</v>
      </c>
      <c r="CL877" s="1">
        <v>12.65</v>
      </c>
      <c r="CM877" s="1">
        <v>44977</v>
      </c>
      <c r="CN877" s="1">
        <v>11.2</v>
      </c>
      <c r="CO877" s="1">
        <v>44967</v>
      </c>
      <c r="CP877" s="1">
        <v>8.9499999999999993</v>
      </c>
      <c r="CQ877" s="1">
        <v>44967</v>
      </c>
      <c r="CR877" s="1">
        <v>8</v>
      </c>
      <c r="CS877" s="1">
        <v>44967</v>
      </c>
      <c r="CT877" s="1">
        <v>7.3949999999999996</v>
      </c>
    </row>
    <row r="878" spans="31:98" x14ac:dyDescent="0.2">
      <c r="AE878" s="1">
        <v>44966</v>
      </c>
      <c r="AF878" s="1">
        <v>6.75</v>
      </c>
      <c r="AG878" s="1">
        <v>44925</v>
      </c>
      <c r="AH878" s="1">
        <v>7.02</v>
      </c>
      <c r="AI878" s="1">
        <v>44974</v>
      </c>
      <c r="AJ878" s="2">
        <v>6.944</v>
      </c>
      <c r="AK878" s="3">
        <v>44974</v>
      </c>
      <c r="AL878" s="2">
        <v>6.97</v>
      </c>
      <c r="AM878" s="1">
        <v>44974</v>
      </c>
      <c r="AN878" s="2">
        <v>6.9749999999999996</v>
      </c>
      <c r="AO878" s="1">
        <v>44974</v>
      </c>
      <c r="AP878" s="1">
        <v>6.98</v>
      </c>
      <c r="AQ878" s="1">
        <v>44974</v>
      </c>
      <c r="AR878" s="1">
        <v>6.6849999999999996</v>
      </c>
      <c r="AS878" s="1">
        <v>44974</v>
      </c>
      <c r="AT878" s="1">
        <v>6.32</v>
      </c>
      <c r="AU878" s="1">
        <v>44974</v>
      </c>
      <c r="AV878" s="1">
        <v>5.94</v>
      </c>
      <c r="AW878" s="1">
        <v>44974</v>
      </c>
      <c r="AX878" s="2">
        <v>5.63</v>
      </c>
      <c r="AY878" s="1">
        <v>44974</v>
      </c>
      <c r="AZ878" s="2">
        <v>5.335</v>
      </c>
      <c r="BB878" s="1">
        <v>44908</v>
      </c>
      <c r="BC878" s="1">
        <v>7</v>
      </c>
      <c r="BD878" s="1">
        <v>44925</v>
      </c>
      <c r="BE878" s="1">
        <v>7.26</v>
      </c>
      <c r="BF878" s="1">
        <v>44974</v>
      </c>
      <c r="BG878" s="1">
        <v>7.19</v>
      </c>
      <c r="BH878" s="3">
        <v>44974</v>
      </c>
      <c r="BI878" s="1">
        <v>7.19</v>
      </c>
      <c r="BJ878" s="1">
        <v>44974</v>
      </c>
      <c r="BK878" s="1">
        <v>7.17</v>
      </c>
      <c r="BL878" s="1">
        <v>44974</v>
      </c>
      <c r="BM878" s="1">
        <v>7</v>
      </c>
      <c r="BN878" s="1">
        <v>44974</v>
      </c>
      <c r="BO878" s="1">
        <v>6.52</v>
      </c>
      <c r="BP878" s="1">
        <v>44974</v>
      </c>
      <c r="BQ878" s="1">
        <v>5.8250000000000002</v>
      </c>
      <c r="BR878" s="1">
        <v>44974</v>
      </c>
      <c r="BS878" s="1">
        <v>5.1829999999999998</v>
      </c>
      <c r="BT878" s="1">
        <v>44974</v>
      </c>
      <c r="BU878" s="1">
        <v>4.8579999999999997</v>
      </c>
      <c r="BV878" s="1">
        <v>44974</v>
      </c>
      <c r="BW878" s="1">
        <v>4.53</v>
      </c>
      <c r="BY878" s="1">
        <v>44917</v>
      </c>
      <c r="BZ878" s="1">
        <v>13</v>
      </c>
      <c r="CA878" s="1">
        <v>44916</v>
      </c>
      <c r="CB878" s="1">
        <v>16.22</v>
      </c>
      <c r="CC878" s="1">
        <v>44974</v>
      </c>
      <c r="CD878" s="1">
        <v>16.2</v>
      </c>
      <c r="CE878" s="3">
        <v>44974</v>
      </c>
      <c r="CF878" s="1">
        <v>15.88</v>
      </c>
      <c r="CG878" s="1">
        <v>44974</v>
      </c>
      <c r="CH878" s="1">
        <v>15.45</v>
      </c>
      <c r="CI878" s="1">
        <v>44974</v>
      </c>
      <c r="CJ878" s="1">
        <v>13.95</v>
      </c>
      <c r="CK878" s="1">
        <v>44974</v>
      </c>
      <c r="CL878" s="1">
        <v>12.65</v>
      </c>
      <c r="CM878" s="1">
        <v>44974</v>
      </c>
      <c r="CN878" s="1">
        <v>11.22</v>
      </c>
      <c r="CO878" s="1">
        <v>44966</v>
      </c>
      <c r="CP878" s="1">
        <v>8.08</v>
      </c>
      <c r="CQ878" s="1">
        <v>44966</v>
      </c>
      <c r="CR878" s="1">
        <v>7.13</v>
      </c>
      <c r="CS878" s="1">
        <v>44966</v>
      </c>
      <c r="CT878" s="1">
        <v>6.5449999999999999</v>
      </c>
    </row>
    <row r="879" spans="31:98" x14ac:dyDescent="0.2">
      <c r="AE879" s="1">
        <v>44965</v>
      </c>
      <c r="AF879" s="1">
        <v>6.75</v>
      </c>
      <c r="AG879" s="1">
        <v>44924</v>
      </c>
      <c r="AH879" s="1">
        <v>7.02</v>
      </c>
      <c r="AI879" s="1">
        <v>44973</v>
      </c>
      <c r="AJ879" s="2">
        <v>6.9405000000000001</v>
      </c>
      <c r="AK879" s="3">
        <v>44973</v>
      </c>
      <c r="AL879" s="2">
        <v>6.9450000000000003</v>
      </c>
      <c r="AM879" s="1">
        <v>44973</v>
      </c>
      <c r="AN879" s="2">
        <v>6.9550000000000001</v>
      </c>
      <c r="AO879" s="1">
        <v>44973</v>
      </c>
      <c r="AP879" s="1">
        <v>6.94</v>
      </c>
      <c r="AQ879" s="1">
        <v>44973</v>
      </c>
      <c r="AR879" s="1">
        <v>6.665</v>
      </c>
      <c r="AS879" s="1">
        <v>44973</v>
      </c>
      <c r="AT879" s="1">
        <v>6.34</v>
      </c>
      <c r="AU879" s="1">
        <v>44973</v>
      </c>
      <c r="AV879" s="1">
        <v>5.9450000000000003</v>
      </c>
      <c r="AW879" s="1">
        <v>44973</v>
      </c>
      <c r="AX879" s="2">
        <v>5.58</v>
      </c>
      <c r="AY879" s="1">
        <v>44973</v>
      </c>
      <c r="AZ879" s="2">
        <v>5.27</v>
      </c>
      <c r="BB879" s="1">
        <v>44907</v>
      </c>
      <c r="BC879" s="1">
        <v>7</v>
      </c>
      <c r="BD879" s="1">
        <v>44924</v>
      </c>
      <c r="BE879" s="1">
        <v>7.26</v>
      </c>
      <c r="BF879" s="1">
        <v>44973</v>
      </c>
      <c r="BG879" s="1">
        <v>7.19</v>
      </c>
      <c r="BH879" s="3">
        <v>44973</v>
      </c>
      <c r="BI879" s="1">
        <v>7.1749999999999998</v>
      </c>
      <c r="BJ879" s="1">
        <v>44973</v>
      </c>
      <c r="BK879" s="1">
        <v>7.1550000000000002</v>
      </c>
      <c r="BL879" s="1">
        <v>44973</v>
      </c>
      <c r="BM879" s="1">
        <v>6.9850000000000003</v>
      </c>
      <c r="BN879" s="1">
        <v>44973</v>
      </c>
      <c r="BO879" s="1">
        <v>6.4950000000000001</v>
      </c>
      <c r="BP879" s="1">
        <v>44973</v>
      </c>
      <c r="BQ879" s="1">
        <v>5.85</v>
      </c>
      <c r="BR879" s="1">
        <v>44973</v>
      </c>
      <c r="BS879" s="1">
        <v>5.2</v>
      </c>
      <c r="BT879" s="1">
        <v>44973</v>
      </c>
      <c r="BU879" s="1">
        <v>4.8730000000000002</v>
      </c>
      <c r="BV879" s="1">
        <v>44973</v>
      </c>
      <c r="BW879" s="1">
        <v>4.5629999999999997</v>
      </c>
      <c r="BY879" s="1">
        <v>44916</v>
      </c>
      <c r="BZ879" s="1">
        <v>13</v>
      </c>
      <c r="CA879" s="1">
        <v>44915</v>
      </c>
      <c r="CB879" s="1">
        <v>16.21</v>
      </c>
      <c r="CC879" s="1">
        <v>44973</v>
      </c>
      <c r="CD879" s="1">
        <v>16.103000000000002</v>
      </c>
      <c r="CE879" s="3">
        <v>44973</v>
      </c>
      <c r="CF879" s="1">
        <v>15.705</v>
      </c>
      <c r="CG879" s="1">
        <v>44973</v>
      </c>
      <c r="CH879" s="1">
        <v>15.1</v>
      </c>
      <c r="CI879" s="1">
        <v>44973</v>
      </c>
      <c r="CJ879" s="1">
        <v>13.65</v>
      </c>
      <c r="CK879" s="1">
        <v>44973</v>
      </c>
      <c r="CL879" s="1">
        <v>12.3</v>
      </c>
      <c r="CM879" s="1">
        <v>44973</v>
      </c>
      <c r="CN879" s="1">
        <v>10.74</v>
      </c>
      <c r="CO879" s="1">
        <v>44965</v>
      </c>
      <c r="CP879" s="1">
        <v>8.18</v>
      </c>
      <c r="CQ879" s="1">
        <v>44965</v>
      </c>
      <c r="CR879" s="1">
        <v>7.23</v>
      </c>
      <c r="CS879" s="1">
        <v>44965</v>
      </c>
      <c r="CT879" s="1">
        <v>6.6449999999999996</v>
      </c>
    </row>
    <row r="880" spans="31:98" x14ac:dyDescent="0.2">
      <c r="AE880" s="1">
        <v>44964</v>
      </c>
      <c r="AF880" s="1">
        <v>6.75</v>
      </c>
      <c r="AG880" s="1">
        <v>44923</v>
      </c>
      <c r="AH880" s="1">
        <v>7.03</v>
      </c>
      <c r="AI880" s="1">
        <v>44972</v>
      </c>
      <c r="AJ880" s="2">
        <v>6.9455</v>
      </c>
      <c r="AK880" s="3">
        <v>44972</v>
      </c>
      <c r="AL880" s="2">
        <v>6.9450000000000003</v>
      </c>
      <c r="AM880" s="1">
        <v>44972</v>
      </c>
      <c r="AN880" s="2">
        <v>6.9550000000000001</v>
      </c>
      <c r="AO880" s="1">
        <v>44972</v>
      </c>
      <c r="AP880" s="1">
        <v>6.875</v>
      </c>
      <c r="AQ880" s="1">
        <v>44972</v>
      </c>
      <c r="AR880" s="1">
        <v>6.56</v>
      </c>
      <c r="AS880" s="1">
        <v>44972</v>
      </c>
      <c r="AT880" s="1">
        <v>6.12</v>
      </c>
      <c r="AU880" s="1">
        <v>44972</v>
      </c>
      <c r="AV880" s="1">
        <v>5.74</v>
      </c>
      <c r="AW880" s="1">
        <v>44972</v>
      </c>
      <c r="AX880" s="2">
        <v>5.35</v>
      </c>
      <c r="AY880" s="1">
        <v>44972</v>
      </c>
      <c r="AZ880" s="2">
        <v>5.04</v>
      </c>
      <c r="BB880" s="1">
        <v>44904</v>
      </c>
      <c r="BC880" s="1">
        <v>7</v>
      </c>
      <c r="BD880" s="1">
        <v>44923</v>
      </c>
      <c r="BE880" s="1">
        <v>7.25</v>
      </c>
      <c r="BF880" s="1">
        <v>44972</v>
      </c>
      <c r="BG880" s="1">
        <v>7.19</v>
      </c>
      <c r="BH880" s="3">
        <v>44972</v>
      </c>
      <c r="BI880" s="1">
        <v>7.1849999999999996</v>
      </c>
      <c r="BJ880" s="1">
        <v>44972</v>
      </c>
      <c r="BK880" s="1">
        <v>7.165</v>
      </c>
      <c r="BL880" s="1">
        <v>44972</v>
      </c>
      <c r="BM880" s="1">
        <v>7</v>
      </c>
      <c r="BN880" s="1">
        <v>44972</v>
      </c>
      <c r="BO880" s="1">
        <v>6.53</v>
      </c>
      <c r="BP880" s="1">
        <v>44972</v>
      </c>
      <c r="BQ880" s="1">
        <v>5.89</v>
      </c>
      <c r="BR880" s="1">
        <v>44972</v>
      </c>
      <c r="BS880" s="1">
        <v>5.23</v>
      </c>
      <c r="BT880" s="1">
        <v>44972</v>
      </c>
      <c r="BU880" s="1">
        <v>4.92</v>
      </c>
      <c r="BV880" s="1">
        <v>44972</v>
      </c>
      <c r="BW880" s="1">
        <v>4.68</v>
      </c>
      <c r="BY880" s="1">
        <v>44915</v>
      </c>
      <c r="BZ880" s="1">
        <v>13</v>
      </c>
      <c r="CA880" s="1">
        <v>44914</v>
      </c>
      <c r="CB880" s="1">
        <v>16.2</v>
      </c>
      <c r="CC880" s="1">
        <v>44972</v>
      </c>
      <c r="CD880" s="1">
        <v>16.04</v>
      </c>
      <c r="CE880" s="3">
        <v>44972</v>
      </c>
      <c r="CF880" s="1">
        <v>15.58</v>
      </c>
      <c r="CG880" s="1">
        <v>44972</v>
      </c>
      <c r="CH880" s="1">
        <v>14.95</v>
      </c>
      <c r="CI880" s="1">
        <v>44972</v>
      </c>
      <c r="CJ880" s="1">
        <v>13.45</v>
      </c>
      <c r="CK880" s="1">
        <v>44972</v>
      </c>
      <c r="CL880" s="1">
        <v>11.95</v>
      </c>
      <c r="CM880" s="1">
        <v>44972</v>
      </c>
      <c r="CN880" s="1">
        <v>10.33</v>
      </c>
      <c r="CO880" s="1">
        <v>44964</v>
      </c>
      <c r="CP880" s="1">
        <v>8.34</v>
      </c>
      <c r="CQ880" s="1">
        <v>44964</v>
      </c>
      <c r="CR880" s="1">
        <v>7.39</v>
      </c>
      <c r="CS880" s="1">
        <v>44964</v>
      </c>
      <c r="CT880" s="1">
        <v>6.8049999999999997</v>
      </c>
    </row>
    <row r="881" spans="31:98" x14ac:dyDescent="0.2">
      <c r="AE881" s="1">
        <v>44963</v>
      </c>
      <c r="AF881" s="1">
        <v>6.75</v>
      </c>
      <c r="AG881" s="1">
        <v>44922</v>
      </c>
      <c r="AH881" s="1">
        <v>7.03</v>
      </c>
      <c r="AI881" s="1">
        <v>44971</v>
      </c>
      <c r="AJ881" s="2">
        <v>6.9455</v>
      </c>
      <c r="AK881" s="3">
        <v>44971</v>
      </c>
      <c r="AL881" s="2">
        <v>6.9550000000000001</v>
      </c>
      <c r="AM881" s="1">
        <v>44971</v>
      </c>
      <c r="AN881" s="2">
        <v>6.9550000000000001</v>
      </c>
      <c r="AO881" s="1">
        <v>44971</v>
      </c>
      <c r="AP881" s="1">
        <v>6.91</v>
      </c>
      <c r="AQ881" s="1">
        <v>44971</v>
      </c>
      <c r="AR881" s="1">
        <v>6.5949999999999998</v>
      </c>
      <c r="AS881" s="1">
        <v>44971</v>
      </c>
      <c r="AT881" s="1">
        <v>6.14</v>
      </c>
      <c r="AU881" s="1">
        <v>44971</v>
      </c>
      <c r="AV881" s="1">
        <v>5.79</v>
      </c>
      <c r="AW881" s="1">
        <v>44971</v>
      </c>
      <c r="AX881" s="2">
        <v>5.4349999999999996</v>
      </c>
      <c r="AY881" s="1">
        <v>44971</v>
      </c>
      <c r="AZ881" s="2">
        <v>5.1050000000000004</v>
      </c>
      <c r="BB881" s="1">
        <v>44903</v>
      </c>
      <c r="BC881" s="1">
        <v>7</v>
      </c>
      <c r="BD881" s="1">
        <v>44922</v>
      </c>
      <c r="BE881" s="1">
        <v>7.25</v>
      </c>
      <c r="BF881" s="1">
        <v>44971</v>
      </c>
      <c r="BG881" s="1">
        <v>7.19</v>
      </c>
      <c r="BH881" s="3">
        <v>44971</v>
      </c>
      <c r="BI881" s="1">
        <v>7.1829999999999998</v>
      </c>
      <c r="BJ881" s="1">
        <v>44971</v>
      </c>
      <c r="BK881" s="1">
        <v>7.17</v>
      </c>
      <c r="BL881" s="1">
        <v>44971</v>
      </c>
      <c r="BM881" s="1">
        <v>6.99</v>
      </c>
      <c r="BN881" s="1">
        <v>44971</v>
      </c>
      <c r="BO881" s="1">
        <v>6.48</v>
      </c>
      <c r="BP881" s="1">
        <v>44971</v>
      </c>
      <c r="BQ881" s="1">
        <v>5.8230000000000004</v>
      </c>
      <c r="BR881" s="1">
        <v>44971</v>
      </c>
      <c r="BS881" s="1">
        <v>5.14</v>
      </c>
      <c r="BT881" s="1">
        <v>44971</v>
      </c>
      <c r="BU881" s="1">
        <v>4.8150000000000004</v>
      </c>
      <c r="BV881" s="1">
        <v>44971</v>
      </c>
      <c r="BW881" s="1">
        <v>4.53</v>
      </c>
      <c r="BY881" s="1">
        <v>44914</v>
      </c>
      <c r="BZ881" s="1">
        <v>13</v>
      </c>
      <c r="CA881" s="1">
        <v>44911</v>
      </c>
      <c r="CB881" s="1">
        <v>16.18</v>
      </c>
      <c r="CC881" s="1">
        <v>44971</v>
      </c>
      <c r="CD881" s="1">
        <v>16.100000000000001</v>
      </c>
      <c r="CE881" s="3">
        <v>44971</v>
      </c>
      <c r="CF881" s="1">
        <v>15.55</v>
      </c>
      <c r="CG881" s="1">
        <v>44971</v>
      </c>
      <c r="CH881" s="1">
        <v>14.9</v>
      </c>
      <c r="CI881" s="1">
        <v>44971</v>
      </c>
      <c r="CJ881" s="1">
        <v>13.25</v>
      </c>
      <c r="CK881" s="1">
        <v>44971</v>
      </c>
      <c r="CL881" s="1">
        <v>11.93</v>
      </c>
      <c r="CM881" s="1">
        <v>44971</v>
      </c>
      <c r="CN881" s="1">
        <v>10.3</v>
      </c>
      <c r="CO881" s="1">
        <v>44963</v>
      </c>
      <c r="CP881" s="1">
        <v>8.35</v>
      </c>
      <c r="CQ881" s="1">
        <v>44963</v>
      </c>
      <c r="CR881" s="1">
        <v>7.4</v>
      </c>
      <c r="CS881" s="1">
        <v>44963</v>
      </c>
      <c r="CT881" s="1">
        <v>6.8150000000000004</v>
      </c>
    </row>
    <row r="882" spans="31:98" x14ac:dyDescent="0.2">
      <c r="AE882" s="1">
        <v>44960</v>
      </c>
      <c r="AF882" s="1">
        <v>6.75</v>
      </c>
      <c r="AG882" s="1">
        <v>44918</v>
      </c>
      <c r="AH882" s="1">
        <v>7.04</v>
      </c>
      <c r="AI882" s="1">
        <v>44970</v>
      </c>
      <c r="AJ882" s="2">
        <v>6.94</v>
      </c>
      <c r="AK882" s="3">
        <v>44970</v>
      </c>
      <c r="AL882" s="2">
        <v>6.96</v>
      </c>
      <c r="AM882" s="1">
        <v>44970</v>
      </c>
      <c r="AN882" s="2">
        <v>6.9649999999999999</v>
      </c>
      <c r="AO882" s="1">
        <v>44970</v>
      </c>
      <c r="AP882" s="1">
        <v>6.875</v>
      </c>
      <c r="AQ882" s="1">
        <v>44970</v>
      </c>
      <c r="AR882" s="1">
        <v>6.5449999999999999</v>
      </c>
      <c r="AS882" s="1">
        <v>44970</v>
      </c>
      <c r="AT882" s="1">
        <v>6.1</v>
      </c>
      <c r="AU882" s="1">
        <v>44970</v>
      </c>
      <c r="AV882" s="1">
        <v>5.7350000000000003</v>
      </c>
      <c r="AW882" s="1">
        <v>44970</v>
      </c>
      <c r="AX882" s="2">
        <v>5.37</v>
      </c>
      <c r="AY882" s="1">
        <v>44970</v>
      </c>
      <c r="AZ882" s="2">
        <v>5.0549999999999997</v>
      </c>
      <c r="BB882" s="1">
        <v>44902</v>
      </c>
      <c r="BC882" s="1">
        <v>7</v>
      </c>
      <c r="BD882" s="1">
        <v>44918</v>
      </c>
      <c r="BE882" s="1">
        <v>7.25</v>
      </c>
      <c r="BF882" s="1">
        <v>44970</v>
      </c>
      <c r="BG882" s="1">
        <v>7.19</v>
      </c>
      <c r="BH882" s="3">
        <v>44970</v>
      </c>
      <c r="BI882" s="1">
        <v>7.1879999999999997</v>
      </c>
      <c r="BJ882" s="1">
        <v>44970</v>
      </c>
      <c r="BK882" s="1">
        <v>7.1749999999999998</v>
      </c>
      <c r="BL882" s="1">
        <v>44970</v>
      </c>
      <c r="BM882" s="1">
        <v>6.9850000000000003</v>
      </c>
      <c r="BN882" s="1">
        <v>44970</v>
      </c>
      <c r="BO882" s="1">
        <v>6.42</v>
      </c>
      <c r="BP882" s="1">
        <v>44970</v>
      </c>
      <c r="BQ882" s="1">
        <v>5.7450000000000001</v>
      </c>
      <c r="BR882" s="1">
        <v>44970</v>
      </c>
      <c r="BS882" s="1">
        <v>5.0750000000000002</v>
      </c>
      <c r="BT882" s="1">
        <v>44970</v>
      </c>
      <c r="BU882" s="1">
        <v>4.7050000000000001</v>
      </c>
      <c r="BV882" s="1">
        <v>44970</v>
      </c>
      <c r="BW882" s="1">
        <v>4.3899999999999997</v>
      </c>
      <c r="BY882" s="1">
        <v>44911</v>
      </c>
      <c r="BZ882" s="1">
        <v>13</v>
      </c>
      <c r="CA882" s="1">
        <v>44910</v>
      </c>
      <c r="CB882" s="1">
        <v>16.170000000000002</v>
      </c>
      <c r="CC882" s="1">
        <v>44970</v>
      </c>
      <c r="CD882" s="1">
        <v>15.95</v>
      </c>
      <c r="CE882" s="3">
        <v>44970</v>
      </c>
      <c r="CF882" s="1">
        <v>15.38</v>
      </c>
      <c r="CG882" s="1">
        <v>44970</v>
      </c>
      <c r="CH882" s="1">
        <v>14.75</v>
      </c>
      <c r="CI882" s="1">
        <v>44970</v>
      </c>
      <c r="CJ882" s="1">
        <v>13.35</v>
      </c>
      <c r="CK882" s="1">
        <v>44970</v>
      </c>
      <c r="CL882" s="1">
        <v>11.9</v>
      </c>
      <c r="CM882" s="1">
        <v>44970</v>
      </c>
      <c r="CN882" s="1">
        <v>10.43</v>
      </c>
      <c r="CO882" s="1">
        <v>44960</v>
      </c>
      <c r="CP882" s="1">
        <v>8.14</v>
      </c>
      <c r="CQ882" s="1">
        <v>44960</v>
      </c>
      <c r="CR882" s="1">
        <v>7.18</v>
      </c>
      <c r="CS882" s="1">
        <v>44960</v>
      </c>
      <c r="CT882" s="1">
        <v>6.6</v>
      </c>
    </row>
    <row r="883" spans="31:98" x14ac:dyDescent="0.2">
      <c r="AE883" s="1">
        <v>44959</v>
      </c>
      <c r="AF883" s="1">
        <v>6.75</v>
      </c>
      <c r="AG883" s="1">
        <v>44917</v>
      </c>
      <c r="AH883" s="1">
        <v>7.05</v>
      </c>
      <c r="AI883" s="1">
        <v>44967</v>
      </c>
      <c r="AJ883" s="2">
        <v>6.952</v>
      </c>
      <c r="AK883" s="3">
        <v>44967</v>
      </c>
      <c r="AL883" s="2">
        <v>6.95</v>
      </c>
      <c r="AM883" s="1">
        <v>44967</v>
      </c>
      <c r="AN883" s="2">
        <v>6.95</v>
      </c>
      <c r="AO883" s="1">
        <v>44967</v>
      </c>
      <c r="AP883" s="1">
        <v>6.84</v>
      </c>
      <c r="AQ883" s="1">
        <v>44967</v>
      </c>
      <c r="AR883" s="1">
        <v>6.4787999999999997</v>
      </c>
      <c r="AS883" s="1">
        <v>44967</v>
      </c>
      <c r="AT883" s="1">
        <v>6.0125000000000002</v>
      </c>
      <c r="AU883" s="1">
        <v>44967</v>
      </c>
      <c r="AV883" s="1">
        <v>5.5674999999999999</v>
      </c>
      <c r="AW883" s="1">
        <v>44967</v>
      </c>
      <c r="AX883" s="2">
        <v>5.1624999999999996</v>
      </c>
      <c r="AY883" s="1">
        <v>44967</v>
      </c>
      <c r="AZ883" s="2">
        <v>4.8250000000000002</v>
      </c>
      <c r="BB883" s="1">
        <v>44901</v>
      </c>
      <c r="BC883" s="1">
        <v>7</v>
      </c>
      <c r="BD883" s="1">
        <v>44917</v>
      </c>
      <c r="BE883" s="1">
        <v>7.26</v>
      </c>
      <c r="BF883" s="1">
        <v>44967</v>
      </c>
      <c r="BG883" s="1">
        <v>7.1849999999999996</v>
      </c>
      <c r="BH883" s="3">
        <v>44967</v>
      </c>
      <c r="BI883" s="1">
        <v>7.1749999999999998</v>
      </c>
      <c r="BJ883" s="1">
        <v>44967</v>
      </c>
      <c r="BK883" s="1">
        <v>7.17</v>
      </c>
      <c r="BL883" s="1">
        <v>44967</v>
      </c>
      <c r="BM883" s="1">
        <v>6.96</v>
      </c>
      <c r="BN883" s="1">
        <v>44967</v>
      </c>
      <c r="BO883" s="1">
        <v>6.32</v>
      </c>
      <c r="BP883" s="1">
        <v>44967</v>
      </c>
      <c r="BQ883" s="1">
        <v>5.63</v>
      </c>
      <c r="BR883" s="1">
        <v>44967</v>
      </c>
      <c r="BS883" s="1">
        <v>4.9050000000000002</v>
      </c>
      <c r="BT883" s="1">
        <v>44967</v>
      </c>
      <c r="BU883" s="1">
        <v>4.51</v>
      </c>
      <c r="BV883" s="1">
        <v>44967</v>
      </c>
      <c r="BW883" s="1">
        <v>4.1779999999999999</v>
      </c>
      <c r="BY883" s="1">
        <v>44910</v>
      </c>
      <c r="BZ883" s="1">
        <v>13</v>
      </c>
      <c r="CA883" s="1">
        <v>44909</v>
      </c>
      <c r="CB883" s="1">
        <v>16.23</v>
      </c>
      <c r="CC883" s="1">
        <v>44967</v>
      </c>
      <c r="CD883" s="1">
        <v>15.9</v>
      </c>
      <c r="CE883" s="3">
        <v>44967</v>
      </c>
      <c r="CF883" s="1">
        <v>15.4</v>
      </c>
      <c r="CG883" s="1">
        <v>44967</v>
      </c>
      <c r="CH883" s="1">
        <v>14.75</v>
      </c>
      <c r="CI883" s="1">
        <v>44967</v>
      </c>
      <c r="CJ883" s="1">
        <v>13.05</v>
      </c>
      <c r="CK883" s="1">
        <v>44967</v>
      </c>
      <c r="CL883" s="1">
        <v>11.65</v>
      </c>
      <c r="CM883" s="1">
        <v>44967</v>
      </c>
      <c r="CN883" s="1">
        <v>10.15</v>
      </c>
      <c r="CO883" s="1">
        <v>44959</v>
      </c>
      <c r="CP883" s="1">
        <v>8.09</v>
      </c>
      <c r="CQ883" s="1">
        <v>44959</v>
      </c>
      <c r="CR883" s="1">
        <v>7.13</v>
      </c>
      <c r="CS883" s="1">
        <v>44959</v>
      </c>
      <c r="CT883" s="1">
        <v>6.55</v>
      </c>
    </row>
    <row r="884" spans="31:98" x14ac:dyDescent="0.2">
      <c r="AE884" s="1">
        <v>44958</v>
      </c>
      <c r="AF884" s="1">
        <v>6.75</v>
      </c>
      <c r="AG884" s="1">
        <v>44916</v>
      </c>
      <c r="AH884" s="1">
        <v>7.05</v>
      </c>
      <c r="AI884" s="1">
        <v>44966</v>
      </c>
      <c r="AJ884" s="1">
        <v>6.8650000000000002</v>
      </c>
      <c r="AK884" s="3">
        <v>44966</v>
      </c>
      <c r="AL884" s="1">
        <v>6.9424999999999999</v>
      </c>
      <c r="AM884" s="1">
        <v>44966</v>
      </c>
      <c r="AN884" s="2">
        <v>6.9424999999999999</v>
      </c>
      <c r="AO884" s="1">
        <v>44966</v>
      </c>
      <c r="AP884" s="1">
        <v>6.7474999999999996</v>
      </c>
      <c r="AQ884" s="1">
        <v>44966</v>
      </c>
      <c r="AR884" s="1">
        <v>6.3250000000000002</v>
      </c>
      <c r="AS884" s="1">
        <v>44966</v>
      </c>
      <c r="AT884" s="1">
        <v>5.835</v>
      </c>
      <c r="AU884" s="1">
        <v>44966</v>
      </c>
      <c r="AV884" s="1">
        <v>5.3849999999999998</v>
      </c>
      <c r="AW884" s="1">
        <v>44966</v>
      </c>
      <c r="AX884" s="2">
        <v>4.97</v>
      </c>
      <c r="AY884" s="1">
        <v>44966</v>
      </c>
      <c r="AZ884" s="2">
        <v>4.6349999999999998</v>
      </c>
      <c r="BB884" s="1">
        <v>44900</v>
      </c>
      <c r="BC884" s="1">
        <v>7</v>
      </c>
      <c r="BD884" s="1">
        <v>44916</v>
      </c>
      <c r="BE884" s="1">
        <v>7.26</v>
      </c>
      <c r="BF884" s="1">
        <v>44966</v>
      </c>
      <c r="BG884" s="1">
        <v>7.1849999999999996</v>
      </c>
      <c r="BH884" s="3">
        <v>44966</v>
      </c>
      <c r="BI884" s="1">
        <v>7.17</v>
      </c>
      <c r="BJ884" s="1">
        <v>44966</v>
      </c>
      <c r="BK884" s="1">
        <v>7.1349999999999998</v>
      </c>
      <c r="BL884" s="1">
        <v>44966</v>
      </c>
      <c r="BM884" s="1">
        <v>6.86</v>
      </c>
      <c r="BN884" s="1">
        <v>44966</v>
      </c>
      <c r="BO884" s="1">
        <v>6.19</v>
      </c>
      <c r="BP884" s="1">
        <v>44966</v>
      </c>
      <c r="BQ884" s="1">
        <v>5.4880000000000004</v>
      </c>
      <c r="BR884" s="1">
        <v>44966</v>
      </c>
      <c r="BS884" s="1">
        <v>4.76</v>
      </c>
      <c r="BT884" s="1">
        <v>44966</v>
      </c>
      <c r="BU884" s="1">
        <v>4.3280000000000003</v>
      </c>
      <c r="BV884" s="1">
        <v>44966</v>
      </c>
      <c r="BW884" s="1">
        <v>3.9849999999999999</v>
      </c>
      <c r="BY884" s="1">
        <v>44909</v>
      </c>
      <c r="BZ884" s="1">
        <v>13</v>
      </c>
      <c r="CA884" s="1">
        <v>44908</v>
      </c>
      <c r="CB884" s="1">
        <v>16.29</v>
      </c>
      <c r="CC884" s="1">
        <v>44966</v>
      </c>
      <c r="CD884" s="1">
        <v>15.62</v>
      </c>
      <c r="CE884" s="3">
        <v>44966</v>
      </c>
      <c r="CF884" s="1">
        <v>14.88</v>
      </c>
      <c r="CG884" s="1">
        <v>44966</v>
      </c>
      <c r="CH884" s="1">
        <v>14.25</v>
      </c>
      <c r="CI884" s="1">
        <v>44966</v>
      </c>
      <c r="CJ884" s="1">
        <v>12.45</v>
      </c>
      <c r="CK884" s="1">
        <v>44966</v>
      </c>
      <c r="CL884" s="1">
        <v>10.95</v>
      </c>
      <c r="CM884" s="1">
        <v>44966</v>
      </c>
      <c r="CN884" s="1">
        <v>9.33</v>
      </c>
      <c r="CO884" s="1">
        <v>44958</v>
      </c>
      <c r="CP884" s="1">
        <v>8.4</v>
      </c>
      <c r="CQ884" s="1">
        <v>44958</v>
      </c>
      <c r="CR884" s="1">
        <v>7.54</v>
      </c>
      <c r="CS884" s="1">
        <v>44958</v>
      </c>
      <c r="CT884" s="1">
        <v>6.89</v>
      </c>
    </row>
    <row r="885" spans="31:98" x14ac:dyDescent="0.2">
      <c r="AE885" s="1">
        <v>44957</v>
      </c>
      <c r="AF885" s="1">
        <v>6.75</v>
      </c>
      <c r="AG885" s="1">
        <v>44915</v>
      </c>
      <c r="AH885" s="1">
        <v>7.06</v>
      </c>
      <c r="AI885" s="1">
        <v>44965</v>
      </c>
      <c r="AJ885" s="1">
        <v>6.93</v>
      </c>
      <c r="AK885" s="3">
        <v>44965</v>
      </c>
      <c r="AL885" s="1">
        <v>6.9450000000000003</v>
      </c>
      <c r="AM885" s="1">
        <v>44965</v>
      </c>
      <c r="AN885" s="2">
        <v>6.9450000000000003</v>
      </c>
      <c r="AO885" s="1">
        <v>44965</v>
      </c>
      <c r="AP885" s="1">
        <v>6.8375000000000004</v>
      </c>
      <c r="AQ885" s="1">
        <v>44965</v>
      </c>
      <c r="AR885" s="1">
        <v>6.4325000000000001</v>
      </c>
      <c r="AS885" s="1">
        <v>44965</v>
      </c>
      <c r="AT885" s="1">
        <v>5.9675000000000002</v>
      </c>
      <c r="AU885" s="1">
        <v>44965</v>
      </c>
      <c r="AV885" s="1">
        <v>5.4924999999999997</v>
      </c>
      <c r="AW885" s="1">
        <v>44965</v>
      </c>
      <c r="AX885" s="2">
        <v>5.08</v>
      </c>
      <c r="AY885" s="1">
        <v>44965</v>
      </c>
      <c r="AZ885" s="2">
        <v>4.7450000000000001</v>
      </c>
      <c r="BB885" s="1">
        <v>44897</v>
      </c>
      <c r="BC885" s="1">
        <v>7</v>
      </c>
      <c r="BD885" s="1">
        <v>44915</v>
      </c>
      <c r="BE885" s="1">
        <v>7.26</v>
      </c>
      <c r="BF885" s="1">
        <v>44965</v>
      </c>
      <c r="BG885" s="1">
        <v>7.1849999999999996</v>
      </c>
      <c r="BH885" s="3">
        <v>44965</v>
      </c>
      <c r="BI885" s="1">
        <v>7.16</v>
      </c>
      <c r="BJ885" s="1">
        <v>44965</v>
      </c>
      <c r="BK885" s="1">
        <v>7.1349999999999998</v>
      </c>
      <c r="BL885" s="1">
        <v>44965</v>
      </c>
      <c r="BM885" s="1">
        <v>6.85</v>
      </c>
      <c r="BN885" s="1">
        <v>44965</v>
      </c>
      <c r="BO885" s="1">
        <v>6.2030000000000003</v>
      </c>
      <c r="BP885" s="1">
        <v>44965</v>
      </c>
      <c r="BQ885" s="1">
        <v>5.5049999999999999</v>
      </c>
      <c r="BR885" s="1">
        <v>44965</v>
      </c>
      <c r="BS885" s="1">
        <v>4.7750000000000004</v>
      </c>
      <c r="BT885" s="1">
        <v>44965</v>
      </c>
      <c r="BU885" s="1">
        <v>4.3499999999999996</v>
      </c>
      <c r="BV885" s="1">
        <v>44965</v>
      </c>
      <c r="BW885" s="1">
        <v>4.0199999999999996</v>
      </c>
      <c r="BY885" s="1">
        <v>44908</v>
      </c>
      <c r="BZ885" s="1">
        <v>13</v>
      </c>
      <c r="CA885" s="1">
        <v>44907</v>
      </c>
      <c r="CB885" s="1">
        <v>16.32</v>
      </c>
      <c r="CC885" s="1">
        <v>44965</v>
      </c>
      <c r="CD885" s="1">
        <v>15.63</v>
      </c>
      <c r="CE885" s="3">
        <v>44965</v>
      </c>
      <c r="CF885" s="1">
        <v>14.91</v>
      </c>
      <c r="CG885" s="1">
        <v>44965</v>
      </c>
      <c r="CH885" s="1">
        <v>14.3</v>
      </c>
      <c r="CI885" s="1">
        <v>44965</v>
      </c>
      <c r="CJ885" s="1">
        <v>12.5</v>
      </c>
      <c r="CK885" s="1">
        <v>44965</v>
      </c>
      <c r="CL885" s="1">
        <v>11</v>
      </c>
      <c r="CM885" s="1">
        <v>44965</v>
      </c>
      <c r="CN885" s="1">
        <v>9.3800000000000008</v>
      </c>
      <c r="CO885" s="1">
        <v>44957</v>
      </c>
      <c r="CP885" s="1">
        <v>8.4</v>
      </c>
      <c r="CQ885" s="1">
        <v>44957</v>
      </c>
      <c r="CR885" s="1">
        <v>7.54</v>
      </c>
      <c r="CS885" s="1">
        <v>44957</v>
      </c>
      <c r="CT885" s="1">
        <v>6.89</v>
      </c>
    </row>
    <row r="886" spans="31:98" x14ac:dyDescent="0.2">
      <c r="AE886" s="1">
        <v>44956</v>
      </c>
      <c r="AF886" s="1">
        <v>6.75</v>
      </c>
      <c r="AG886" s="1">
        <v>44914</v>
      </c>
      <c r="AH886" s="1">
        <v>7.06</v>
      </c>
      <c r="AI886" s="1">
        <v>44964</v>
      </c>
      <c r="AJ886" s="1">
        <v>6.92</v>
      </c>
      <c r="AK886" s="3">
        <v>44964</v>
      </c>
      <c r="AL886" s="1">
        <v>6.9550000000000001</v>
      </c>
      <c r="AM886" s="1">
        <v>44964</v>
      </c>
      <c r="AN886" s="2">
        <v>6.9625000000000004</v>
      </c>
      <c r="AO886" s="1">
        <v>44964</v>
      </c>
      <c r="AP886" s="1">
        <v>6.86</v>
      </c>
      <c r="AQ886" s="1">
        <v>44964</v>
      </c>
      <c r="AR886" s="1">
        <v>6.4850000000000003</v>
      </c>
      <c r="AS886" s="1">
        <v>44964</v>
      </c>
      <c r="AT886" s="1">
        <v>6.0250000000000004</v>
      </c>
      <c r="AU886" s="1">
        <v>44964</v>
      </c>
      <c r="AV886" s="1">
        <v>5.5650000000000004</v>
      </c>
      <c r="AW886" s="1">
        <v>44964</v>
      </c>
      <c r="AX886" s="2">
        <v>5.1624999999999996</v>
      </c>
      <c r="AY886" s="1">
        <v>44964</v>
      </c>
      <c r="AZ886" s="2">
        <v>4.8174999999999999</v>
      </c>
      <c r="BB886" s="1">
        <v>44896</v>
      </c>
      <c r="BC886" s="1">
        <v>7</v>
      </c>
      <c r="BD886" s="1">
        <v>44914</v>
      </c>
      <c r="BE886" s="1">
        <v>7.25</v>
      </c>
      <c r="BF886" s="1">
        <v>44964</v>
      </c>
      <c r="BG886" s="1">
        <v>7.18</v>
      </c>
      <c r="BH886" s="3">
        <v>44964</v>
      </c>
      <c r="BI886" s="1">
        <v>7.1529999999999996</v>
      </c>
      <c r="BJ886" s="1">
        <v>44964</v>
      </c>
      <c r="BK886" s="1">
        <v>7.133</v>
      </c>
      <c r="BL886" s="1">
        <v>44964</v>
      </c>
      <c r="BM886" s="1">
        <v>6.8650000000000002</v>
      </c>
      <c r="BN886" s="1">
        <v>44964</v>
      </c>
      <c r="BO886" s="1">
        <v>6.2549999999999999</v>
      </c>
      <c r="BP886" s="1">
        <v>44964</v>
      </c>
      <c r="BQ886" s="1">
        <v>5.585</v>
      </c>
      <c r="BR886" s="1">
        <v>44964</v>
      </c>
      <c r="BS886" s="1">
        <v>4.8449999999999998</v>
      </c>
      <c r="BT886" s="1">
        <v>44964</v>
      </c>
      <c r="BU886" s="1">
        <v>4.3550000000000004</v>
      </c>
      <c r="BV886" s="1">
        <v>44964</v>
      </c>
      <c r="BW886" s="1">
        <v>4.0179999999999998</v>
      </c>
      <c r="BY886" s="1">
        <v>44907</v>
      </c>
      <c r="BZ886" s="1">
        <v>13</v>
      </c>
      <c r="CA886" s="1">
        <v>44904</v>
      </c>
      <c r="CB886" s="1">
        <v>16.2</v>
      </c>
      <c r="CC886" s="1">
        <v>44964</v>
      </c>
      <c r="CD886" s="1">
        <v>15.65</v>
      </c>
      <c r="CE886" s="3">
        <v>44964</v>
      </c>
      <c r="CF886" s="1">
        <v>14.95</v>
      </c>
      <c r="CG886" s="1">
        <v>44964</v>
      </c>
      <c r="CH886" s="1">
        <v>14.35</v>
      </c>
      <c r="CI886" s="1">
        <v>44964</v>
      </c>
      <c r="CJ886" s="1">
        <v>12.55</v>
      </c>
      <c r="CK886" s="1">
        <v>44964</v>
      </c>
      <c r="CL886" s="1">
        <v>11.05</v>
      </c>
      <c r="CM886" s="1">
        <v>44964</v>
      </c>
      <c r="CN886" s="1">
        <v>9.51</v>
      </c>
      <c r="CO886" s="1">
        <v>44956</v>
      </c>
      <c r="CP886" s="1">
        <v>8.4</v>
      </c>
      <c r="CQ886" s="1">
        <v>44956</v>
      </c>
      <c r="CR886" s="1">
        <v>7.54</v>
      </c>
      <c r="CS886" s="1">
        <v>44956</v>
      </c>
      <c r="CT886" s="1">
        <v>6.89</v>
      </c>
    </row>
    <row r="887" spans="31:98" x14ac:dyDescent="0.2">
      <c r="AE887" s="1">
        <v>44953</v>
      </c>
      <c r="AF887" s="1">
        <v>6.75</v>
      </c>
      <c r="AG887" s="1">
        <v>44911</v>
      </c>
      <c r="AH887" s="1">
        <v>7.06</v>
      </c>
      <c r="AI887" s="1">
        <v>44963</v>
      </c>
      <c r="AJ887" s="1">
        <v>6.9234999999999998</v>
      </c>
      <c r="AK887" s="3">
        <v>44963</v>
      </c>
      <c r="AL887" s="1">
        <v>6.94</v>
      </c>
      <c r="AM887" s="1">
        <v>44963</v>
      </c>
      <c r="AN887" s="1">
        <v>6.94</v>
      </c>
      <c r="AO887" s="1">
        <v>44963</v>
      </c>
      <c r="AP887" s="1">
        <v>6.82</v>
      </c>
      <c r="AQ887" s="1">
        <v>44963</v>
      </c>
      <c r="AR887" s="1">
        <v>6.415</v>
      </c>
      <c r="AS887" s="1">
        <v>44963</v>
      </c>
      <c r="AT887" s="1">
        <v>5.875</v>
      </c>
      <c r="AU887" s="1">
        <v>44963</v>
      </c>
      <c r="AV887" s="1">
        <v>5.43</v>
      </c>
      <c r="AW887" s="1">
        <v>44963</v>
      </c>
      <c r="AX887" s="2">
        <v>5.01</v>
      </c>
      <c r="AY887" s="1">
        <v>44963</v>
      </c>
      <c r="AZ887" s="2">
        <v>4.6950000000000003</v>
      </c>
      <c r="BB887" s="1">
        <v>44895</v>
      </c>
      <c r="BC887" s="1">
        <v>7</v>
      </c>
      <c r="BD887" s="1">
        <v>44911</v>
      </c>
      <c r="BE887" s="1">
        <v>7.25</v>
      </c>
      <c r="BF887" s="1">
        <v>44963</v>
      </c>
      <c r="BG887" s="1">
        <v>7.19</v>
      </c>
      <c r="BH887" s="3">
        <v>44963</v>
      </c>
      <c r="BI887" s="1">
        <v>7.1529999999999996</v>
      </c>
      <c r="BJ887" s="1">
        <v>44963</v>
      </c>
      <c r="BK887" s="1">
        <v>7.1050000000000004</v>
      </c>
      <c r="BL887" s="1">
        <v>44963</v>
      </c>
      <c r="BM887" s="1">
        <v>6.79</v>
      </c>
      <c r="BN887" s="1">
        <v>44963</v>
      </c>
      <c r="BO887" s="1">
        <v>6.1749999999999998</v>
      </c>
      <c r="BP887" s="1">
        <v>44963</v>
      </c>
      <c r="BQ887" s="1">
        <v>5.5179999999999998</v>
      </c>
      <c r="BR887" s="1">
        <v>44963</v>
      </c>
      <c r="BS887" s="1">
        <v>4.7629999999999999</v>
      </c>
      <c r="BT887" s="1">
        <v>44963</v>
      </c>
      <c r="BU887" s="1">
        <v>4.2679999999999998</v>
      </c>
      <c r="BV887" s="1">
        <v>44963</v>
      </c>
      <c r="BW887" s="1">
        <v>3.9550000000000001</v>
      </c>
      <c r="BY887" s="1">
        <v>44904</v>
      </c>
      <c r="BZ887" s="1">
        <v>13</v>
      </c>
      <c r="CA887" s="1">
        <v>44903</v>
      </c>
      <c r="CB887" s="1">
        <v>16.05</v>
      </c>
      <c r="CC887" s="1">
        <v>44963</v>
      </c>
      <c r="CD887" s="1">
        <v>15.62</v>
      </c>
      <c r="CE887" s="3">
        <v>44963</v>
      </c>
      <c r="CF887" s="1">
        <v>14.95</v>
      </c>
      <c r="CG887" s="1">
        <v>44963</v>
      </c>
      <c r="CH887" s="1">
        <v>14.35</v>
      </c>
      <c r="CI887" s="1">
        <v>44963</v>
      </c>
      <c r="CJ887" s="1">
        <v>12.55</v>
      </c>
      <c r="CK887" s="1">
        <v>44963</v>
      </c>
      <c r="CL887" s="1">
        <v>11.05</v>
      </c>
      <c r="CM887" s="1">
        <v>44963</v>
      </c>
      <c r="CN887" s="1">
        <v>9.52</v>
      </c>
      <c r="CO887" s="1">
        <v>44953</v>
      </c>
      <c r="CP887" s="1">
        <v>8.17</v>
      </c>
      <c r="CQ887" s="1">
        <v>44953</v>
      </c>
      <c r="CR887" s="1">
        <v>7.27</v>
      </c>
      <c r="CS887" s="1">
        <v>44953</v>
      </c>
      <c r="CT887" s="1">
        <v>6.62</v>
      </c>
    </row>
    <row r="888" spans="31:98" x14ac:dyDescent="0.2">
      <c r="AE888" s="1">
        <v>44952</v>
      </c>
      <c r="AF888" s="1">
        <v>6.75</v>
      </c>
      <c r="AG888" s="1">
        <v>44910</v>
      </c>
      <c r="AH888" s="1">
        <v>7.08</v>
      </c>
      <c r="AI888" s="1">
        <v>44960</v>
      </c>
      <c r="AJ888" s="1">
        <v>6.91</v>
      </c>
      <c r="AK888" s="3">
        <v>44960</v>
      </c>
      <c r="AL888" s="1">
        <v>6.92</v>
      </c>
      <c r="AM888" s="1">
        <v>44960</v>
      </c>
      <c r="AN888" s="1">
        <v>6.92</v>
      </c>
      <c r="AO888" s="1">
        <v>44960</v>
      </c>
      <c r="AP888" s="1">
        <v>6.77</v>
      </c>
      <c r="AQ888" s="1">
        <v>44960</v>
      </c>
      <c r="AR888" s="1">
        <v>6.3550000000000004</v>
      </c>
      <c r="AS888" s="1">
        <v>44960</v>
      </c>
      <c r="AT888" s="1">
        <v>5.76</v>
      </c>
      <c r="AU888" s="1">
        <v>44960</v>
      </c>
      <c r="AV888" s="1">
        <v>5.32</v>
      </c>
      <c r="AW888" s="1">
        <v>44960</v>
      </c>
      <c r="AX888" s="2">
        <v>4.9000000000000004</v>
      </c>
      <c r="AY888" s="1">
        <v>44960</v>
      </c>
      <c r="AZ888" s="2">
        <v>4.58</v>
      </c>
      <c r="BB888" s="1">
        <v>44894</v>
      </c>
      <c r="BC888" s="1">
        <v>7</v>
      </c>
      <c r="BD888" s="1">
        <v>44910</v>
      </c>
      <c r="BE888" s="1">
        <v>7.25</v>
      </c>
      <c r="BF888" s="1">
        <v>44960</v>
      </c>
      <c r="BG888" s="1">
        <v>7.18</v>
      </c>
      <c r="BH888" s="3">
        <v>44960</v>
      </c>
      <c r="BI888" s="1">
        <v>7.1630000000000003</v>
      </c>
      <c r="BJ888" s="1">
        <v>44960</v>
      </c>
      <c r="BK888" s="1">
        <v>7.1050000000000004</v>
      </c>
      <c r="BL888" s="1">
        <v>44960</v>
      </c>
      <c r="BM888" s="1">
        <v>6.8550000000000004</v>
      </c>
      <c r="BN888" s="1">
        <v>44960</v>
      </c>
      <c r="BO888" s="1">
        <v>6.12</v>
      </c>
      <c r="BP888" s="1">
        <v>44960</v>
      </c>
      <c r="BQ888" s="1">
        <v>5.44</v>
      </c>
      <c r="BR888" s="1">
        <v>44960</v>
      </c>
      <c r="BS888" s="1">
        <v>4.67</v>
      </c>
      <c r="BT888" s="1">
        <v>44960</v>
      </c>
      <c r="BU888" s="1">
        <v>4.1349999999999998</v>
      </c>
      <c r="BV888" s="1">
        <v>44960</v>
      </c>
      <c r="BW888" s="1">
        <v>3.798</v>
      </c>
      <c r="BY888" s="1">
        <v>44903</v>
      </c>
      <c r="BZ888" s="1">
        <v>13</v>
      </c>
      <c r="CA888" s="1">
        <v>44902</v>
      </c>
      <c r="CB888" s="1">
        <v>15.94</v>
      </c>
      <c r="CC888" s="1">
        <v>44960</v>
      </c>
      <c r="CD888" s="1">
        <v>15.6</v>
      </c>
      <c r="CE888" s="3">
        <v>44960</v>
      </c>
      <c r="CF888" s="1">
        <v>14.96</v>
      </c>
      <c r="CG888" s="1">
        <v>44960</v>
      </c>
      <c r="CH888" s="1">
        <v>14.22</v>
      </c>
      <c r="CI888" s="1">
        <v>44960</v>
      </c>
      <c r="CJ888" s="1">
        <v>12.45</v>
      </c>
      <c r="CK888" s="1">
        <v>44960</v>
      </c>
      <c r="CL888" s="1">
        <v>10.95</v>
      </c>
      <c r="CM888" s="1">
        <v>44960</v>
      </c>
      <c r="CN888" s="1">
        <v>9.34</v>
      </c>
      <c r="CO888" s="1">
        <v>44952</v>
      </c>
      <c r="CP888" s="1">
        <v>8.1199999999999992</v>
      </c>
      <c r="CQ888" s="1">
        <v>44952</v>
      </c>
      <c r="CR888" s="1">
        <v>7.22</v>
      </c>
      <c r="CS888" s="1">
        <v>44952</v>
      </c>
      <c r="CT888" s="1">
        <v>6.57</v>
      </c>
    </row>
    <row r="889" spans="31:98" x14ac:dyDescent="0.2">
      <c r="AE889" s="1">
        <v>44951</v>
      </c>
      <c r="AF889" s="1">
        <v>6.75</v>
      </c>
      <c r="AG889" s="1">
        <v>44909</v>
      </c>
      <c r="AH889" s="1">
        <v>7.09</v>
      </c>
      <c r="AI889" s="1">
        <v>44959</v>
      </c>
      <c r="AJ889" s="1">
        <v>6.91</v>
      </c>
      <c r="AK889" s="3">
        <v>44959</v>
      </c>
      <c r="AL889" s="1">
        <v>6.92</v>
      </c>
      <c r="AM889" s="1">
        <v>44959</v>
      </c>
      <c r="AN889" s="1">
        <v>6.92</v>
      </c>
      <c r="AO889" s="1">
        <v>44959</v>
      </c>
      <c r="AP889" s="1">
        <v>6.76</v>
      </c>
      <c r="AQ889" s="1">
        <v>44959</v>
      </c>
      <c r="AR889" s="1">
        <v>6.3109999999999999</v>
      </c>
      <c r="AS889" s="1">
        <v>44959</v>
      </c>
      <c r="AT889" s="1">
        <v>5.73</v>
      </c>
      <c r="AU889" s="1">
        <v>44959</v>
      </c>
      <c r="AV889" s="1">
        <v>5.29</v>
      </c>
      <c r="AW889" s="1">
        <v>44959</v>
      </c>
      <c r="AX889" s="2">
        <v>4.87</v>
      </c>
      <c r="AY889" s="1">
        <v>44959</v>
      </c>
      <c r="AZ889" s="2">
        <v>4.5549999999999997</v>
      </c>
      <c r="BB889" s="1">
        <v>44893</v>
      </c>
      <c r="BC889" s="1">
        <v>7</v>
      </c>
      <c r="BD889" s="1">
        <v>44909</v>
      </c>
      <c r="BE889" s="1">
        <v>7.26</v>
      </c>
      <c r="BF889" s="1">
        <v>44959</v>
      </c>
      <c r="BG889" s="1">
        <v>7.18</v>
      </c>
      <c r="BH889" s="3">
        <v>44959</v>
      </c>
      <c r="BI889" s="1">
        <v>7.17</v>
      </c>
      <c r="BJ889" s="1">
        <v>44959</v>
      </c>
      <c r="BK889" s="1">
        <v>7.1050000000000004</v>
      </c>
      <c r="BL889" s="1">
        <v>44959</v>
      </c>
      <c r="BM889" s="1">
        <v>6.8849999999999998</v>
      </c>
      <c r="BN889" s="1">
        <v>44959</v>
      </c>
      <c r="BO889" s="1">
        <v>6.36</v>
      </c>
      <c r="BP889" s="1">
        <v>44959</v>
      </c>
      <c r="BQ889" s="1">
        <v>5.57</v>
      </c>
      <c r="BR889" s="1">
        <v>44959</v>
      </c>
      <c r="BS889" s="1">
        <v>4.7880000000000003</v>
      </c>
      <c r="BT889" s="1">
        <v>44959</v>
      </c>
      <c r="BU889" s="1">
        <v>4.2450000000000001</v>
      </c>
      <c r="BV889" s="1">
        <v>44959</v>
      </c>
      <c r="BW889" s="1">
        <v>3.89</v>
      </c>
      <c r="BY889" s="1">
        <v>44902</v>
      </c>
      <c r="BZ889" s="1">
        <v>13</v>
      </c>
      <c r="CA889" s="1">
        <v>44901</v>
      </c>
      <c r="CB889" s="1">
        <v>15.8</v>
      </c>
      <c r="CC889" s="1">
        <v>44959</v>
      </c>
      <c r="CD889" s="1">
        <v>15.51</v>
      </c>
      <c r="CE889" s="3">
        <v>44959</v>
      </c>
      <c r="CF889" s="1">
        <v>14.93</v>
      </c>
      <c r="CG889" s="1">
        <v>44959</v>
      </c>
      <c r="CH889" s="1">
        <v>14.17</v>
      </c>
      <c r="CI889" s="1">
        <v>44959</v>
      </c>
      <c r="CJ889" s="1">
        <v>12.37</v>
      </c>
      <c r="CK889" s="1">
        <v>44959</v>
      </c>
      <c r="CL889" s="1">
        <v>10.89</v>
      </c>
      <c r="CM889" s="1">
        <v>44959</v>
      </c>
      <c r="CN889" s="1">
        <v>9.2899999999999991</v>
      </c>
      <c r="CO889" s="1">
        <v>44951</v>
      </c>
      <c r="CP889" s="1">
        <v>7.96</v>
      </c>
      <c r="CQ889" s="1">
        <v>44951</v>
      </c>
      <c r="CR889" s="1">
        <v>7.04</v>
      </c>
      <c r="CS889" s="1">
        <v>44951</v>
      </c>
      <c r="CT889" s="1">
        <v>6.39</v>
      </c>
    </row>
    <row r="890" spans="31:98" x14ac:dyDescent="0.2">
      <c r="AE890" s="1">
        <v>44950</v>
      </c>
      <c r="AF890" s="1">
        <v>6.75</v>
      </c>
      <c r="AG890" s="1">
        <v>44908</v>
      </c>
      <c r="AH890" s="1">
        <v>7.1</v>
      </c>
      <c r="AI890" s="1">
        <v>44958</v>
      </c>
      <c r="AJ890" s="1">
        <v>6.92</v>
      </c>
      <c r="AK890" s="3">
        <v>44958</v>
      </c>
      <c r="AL890" s="1">
        <v>6.9249999999999998</v>
      </c>
      <c r="AM890" s="1">
        <v>44958</v>
      </c>
      <c r="AN890" s="1">
        <v>6.9249999999999998</v>
      </c>
      <c r="AO890" s="1">
        <v>44958</v>
      </c>
      <c r="AP890" s="1">
        <v>6.79</v>
      </c>
      <c r="AQ890" s="1">
        <v>44958</v>
      </c>
      <c r="AR890" s="1">
        <v>6.41</v>
      </c>
      <c r="AS890" s="1">
        <v>44958</v>
      </c>
      <c r="AT890" s="1">
        <v>5.9249999999999998</v>
      </c>
      <c r="AU890" s="1">
        <v>44958</v>
      </c>
      <c r="AV890" s="1">
        <v>5.52</v>
      </c>
      <c r="AW890" s="1">
        <v>44958</v>
      </c>
      <c r="AX890" s="2">
        <v>5.125</v>
      </c>
      <c r="AY890" s="1">
        <v>44958</v>
      </c>
      <c r="AZ890" s="2">
        <v>4.8150000000000004</v>
      </c>
      <c r="BB890" s="1">
        <v>44890</v>
      </c>
      <c r="BC890" s="1">
        <v>7</v>
      </c>
      <c r="BD890" s="1">
        <v>44908</v>
      </c>
      <c r="BE890" s="1">
        <v>7.26</v>
      </c>
      <c r="BF890" s="1">
        <v>44958</v>
      </c>
      <c r="BG890" s="1">
        <v>7.18</v>
      </c>
      <c r="BH890" s="3">
        <v>44958</v>
      </c>
      <c r="BI890" s="1">
        <v>7.1550000000000002</v>
      </c>
      <c r="BJ890" s="1">
        <v>44958</v>
      </c>
      <c r="BK890" s="1">
        <v>7.1230000000000002</v>
      </c>
      <c r="BL890" s="1">
        <v>44958</v>
      </c>
      <c r="BM890" s="1">
        <v>6.9</v>
      </c>
      <c r="BN890" s="1">
        <v>44958</v>
      </c>
      <c r="BO890" s="1">
        <v>6.4</v>
      </c>
      <c r="BP890" s="1">
        <v>44958</v>
      </c>
      <c r="BQ890" s="1">
        <v>5.67</v>
      </c>
      <c r="BR890" s="1">
        <v>44958</v>
      </c>
      <c r="BS890" s="1">
        <v>4.9630000000000001</v>
      </c>
      <c r="BT890" s="1">
        <v>44958</v>
      </c>
      <c r="BU890" s="1">
        <v>4.4279999999999999</v>
      </c>
      <c r="BV890" s="1">
        <v>44958</v>
      </c>
      <c r="BW890" s="1">
        <v>4.1029999999999998</v>
      </c>
      <c r="BY890" s="1">
        <v>44900</v>
      </c>
      <c r="BZ890" s="1">
        <v>13</v>
      </c>
      <c r="CA890" s="1">
        <v>44900</v>
      </c>
      <c r="CB890" s="1">
        <v>15.59</v>
      </c>
      <c r="CC890" s="1">
        <v>44958</v>
      </c>
      <c r="CD890" s="1">
        <v>15.576000000000001</v>
      </c>
      <c r="CE890" s="3">
        <v>44958</v>
      </c>
      <c r="CF890" s="1">
        <v>15.055</v>
      </c>
      <c r="CG890" s="1">
        <v>44958</v>
      </c>
      <c r="CH890" s="1">
        <v>14.4</v>
      </c>
      <c r="CI890" s="1">
        <v>44958</v>
      </c>
      <c r="CJ890" s="1">
        <v>12.6</v>
      </c>
      <c r="CK890" s="1">
        <v>44958</v>
      </c>
      <c r="CL890" s="1">
        <v>11.15</v>
      </c>
      <c r="CM890" s="1">
        <v>44958</v>
      </c>
      <c r="CN890" s="1">
        <v>9.5500000000000007</v>
      </c>
      <c r="CO890" s="1">
        <v>44950</v>
      </c>
      <c r="CP890" s="1">
        <v>8.07</v>
      </c>
      <c r="CQ890" s="1">
        <v>44950</v>
      </c>
      <c r="CR890" s="1">
        <v>7.15</v>
      </c>
      <c r="CS890" s="1">
        <v>44950</v>
      </c>
      <c r="CT890" s="1">
        <v>6.63</v>
      </c>
    </row>
    <row r="891" spans="31:98" x14ac:dyDescent="0.2">
      <c r="AE891" s="1">
        <v>44949</v>
      </c>
      <c r="AF891" s="1">
        <v>6.75</v>
      </c>
      <c r="AG891" s="1">
        <v>44907</v>
      </c>
      <c r="AH891" s="1">
        <v>7.14</v>
      </c>
      <c r="AI891" s="1">
        <v>44957</v>
      </c>
      <c r="AJ891" s="1">
        <v>6.92</v>
      </c>
      <c r="AK891" s="3">
        <v>44957</v>
      </c>
      <c r="AL891" s="1">
        <v>6.94</v>
      </c>
      <c r="AM891" s="1">
        <v>44957</v>
      </c>
      <c r="AN891" s="1">
        <v>6.94</v>
      </c>
      <c r="AO891" s="1">
        <v>44957</v>
      </c>
      <c r="AP891" s="1">
        <v>6.8674999999999997</v>
      </c>
      <c r="AQ891" s="1">
        <v>44957</v>
      </c>
      <c r="AR891" s="1">
        <v>6.4550000000000001</v>
      </c>
      <c r="AS891" s="1">
        <v>44957</v>
      </c>
      <c r="AT891" s="1">
        <v>5.98</v>
      </c>
      <c r="AU891" s="1">
        <v>44957</v>
      </c>
      <c r="AV891" s="1">
        <v>5.59</v>
      </c>
      <c r="AW891" s="1">
        <v>44957</v>
      </c>
      <c r="AX891" s="2">
        <v>5.22</v>
      </c>
      <c r="AY891" s="1">
        <v>44957</v>
      </c>
      <c r="AZ891" s="2">
        <v>4.8600000000000003</v>
      </c>
      <c r="BB891" s="1">
        <v>44889</v>
      </c>
      <c r="BC891" s="1">
        <v>7</v>
      </c>
      <c r="BD891" s="1">
        <v>44907</v>
      </c>
      <c r="BE891" s="1">
        <v>7.26</v>
      </c>
      <c r="BF891" s="1">
        <v>44957</v>
      </c>
      <c r="BG891" s="1">
        <v>7.1849999999999996</v>
      </c>
      <c r="BH891" s="3">
        <v>44957</v>
      </c>
      <c r="BI891" s="1">
        <v>7.1550000000000002</v>
      </c>
      <c r="BJ891" s="1">
        <v>44957</v>
      </c>
      <c r="BK891" s="1">
        <v>7.1230000000000002</v>
      </c>
      <c r="BL891" s="1">
        <v>44957</v>
      </c>
      <c r="BM891" s="1">
        <v>6.89</v>
      </c>
      <c r="BN891" s="1">
        <v>44957</v>
      </c>
      <c r="BO891" s="1">
        <v>6.43</v>
      </c>
      <c r="BP891" s="1">
        <v>44957</v>
      </c>
      <c r="BQ891" s="1">
        <v>5.7149999999999999</v>
      </c>
      <c r="BR891" s="1">
        <v>44957</v>
      </c>
      <c r="BS891" s="1">
        <v>5.0199999999999996</v>
      </c>
      <c r="BT891" s="1">
        <v>44957</v>
      </c>
      <c r="BU891" s="1">
        <v>4.4729999999999999</v>
      </c>
      <c r="BV891" s="1">
        <v>44957</v>
      </c>
      <c r="BW891" s="1">
        <v>4.1449999999999996</v>
      </c>
      <c r="BY891" s="1">
        <v>44897</v>
      </c>
      <c r="BZ891" s="1">
        <v>13</v>
      </c>
      <c r="CA891" s="1">
        <v>44897</v>
      </c>
      <c r="CB891" s="1">
        <v>15.46</v>
      </c>
      <c r="CC891" s="1">
        <v>44957</v>
      </c>
      <c r="CD891" s="1">
        <v>15.805999999999999</v>
      </c>
      <c r="CE891" s="3">
        <v>44957</v>
      </c>
      <c r="CF891" s="1">
        <v>15.102</v>
      </c>
      <c r="CG891" s="1">
        <v>44957</v>
      </c>
      <c r="CH891" s="1">
        <v>14.4</v>
      </c>
      <c r="CI891" s="1">
        <v>44957</v>
      </c>
      <c r="CJ891" s="1">
        <v>12.6</v>
      </c>
      <c r="CK891" s="1">
        <v>44957</v>
      </c>
      <c r="CL891" s="1">
        <v>11.15</v>
      </c>
      <c r="CM891" s="1">
        <v>44957</v>
      </c>
      <c r="CN891" s="1">
        <v>9.5500000000000007</v>
      </c>
      <c r="CO891" s="1">
        <v>44949</v>
      </c>
      <c r="CP891" s="1">
        <v>8.02</v>
      </c>
      <c r="CQ891" s="1">
        <v>44949</v>
      </c>
      <c r="CR891" s="1">
        <v>7.02</v>
      </c>
      <c r="CS891" s="1">
        <v>44949</v>
      </c>
      <c r="CT891" s="1">
        <v>6.57</v>
      </c>
    </row>
    <row r="892" spans="31:98" x14ac:dyDescent="0.2">
      <c r="AE892" s="1">
        <v>44946</v>
      </c>
      <c r="AF892" s="1">
        <v>6.75</v>
      </c>
      <c r="AG892" s="1">
        <v>44904</v>
      </c>
      <c r="AH892" s="1">
        <v>7.16</v>
      </c>
      <c r="AI892" s="1">
        <v>44956</v>
      </c>
      <c r="AJ892" s="1">
        <v>6.92</v>
      </c>
      <c r="AK892" s="3">
        <v>44956</v>
      </c>
      <c r="AL892" s="1">
        <v>6.94</v>
      </c>
      <c r="AM892" s="1">
        <v>44956</v>
      </c>
      <c r="AN892" s="1">
        <v>6.9424999999999999</v>
      </c>
      <c r="AO892" s="1">
        <v>44956</v>
      </c>
      <c r="AP892" s="1">
        <v>6.835</v>
      </c>
      <c r="AQ892" s="1">
        <v>44956</v>
      </c>
      <c r="AR892" s="1">
        <v>6.4225000000000003</v>
      </c>
      <c r="AS892" s="1">
        <v>44956</v>
      </c>
      <c r="AT892" s="1">
        <v>5.9649999999999999</v>
      </c>
      <c r="AU892" s="1">
        <v>44956</v>
      </c>
      <c r="AV892" s="1">
        <v>5.5650000000000004</v>
      </c>
      <c r="AW892" s="1">
        <v>44956</v>
      </c>
      <c r="AX892" s="2">
        <v>5.165</v>
      </c>
      <c r="AY892" s="1">
        <v>44956</v>
      </c>
      <c r="AZ892" s="2">
        <v>4.76</v>
      </c>
      <c r="BB892" s="1">
        <v>44888</v>
      </c>
      <c r="BC892" s="1">
        <v>7</v>
      </c>
      <c r="BD892" s="1">
        <v>44904</v>
      </c>
      <c r="BE892" s="1">
        <v>7.26</v>
      </c>
      <c r="BF892" s="1">
        <v>44956</v>
      </c>
      <c r="BG892" s="1">
        <v>7.1849999999999996</v>
      </c>
      <c r="BH892" s="3">
        <v>44956</v>
      </c>
      <c r="BI892" s="1">
        <v>7.16</v>
      </c>
      <c r="BJ892" s="1">
        <v>44956</v>
      </c>
      <c r="BK892" s="1">
        <v>7.1429999999999998</v>
      </c>
      <c r="BL892" s="1">
        <v>44956</v>
      </c>
      <c r="BM892" s="1">
        <v>6.9130000000000003</v>
      </c>
      <c r="BN892" s="1">
        <v>44956</v>
      </c>
      <c r="BO892" s="1">
        <v>6.4279999999999999</v>
      </c>
      <c r="BP892" s="1">
        <v>44956</v>
      </c>
      <c r="BQ892" s="1">
        <v>5.7430000000000003</v>
      </c>
      <c r="BR892" s="1">
        <v>44956</v>
      </c>
      <c r="BS892" s="1">
        <v>5.0430000000000001</v>
      </c>
      <c r="BT892" s="1">
        <v>44956</v>
      </c>
      <c r="BU892" s="1">
        <v>4.4829999999999997</v>
      </c>
      <c r="BV892" s="1">
        <v>44956</v>
      </c>
      <c r="BW892" s="1">
        <v>4.16</v>
      </c>
      <c r="BY892" s="1">
        <v>44896</v>
      </c>
      <c r="BZ892" s="1">
        <v>13</v>
      </c>
      <c r="CA892" s="1">
        <v>44896</v>
      </c>
      <c r="CB892" s="1">
        <v>15.34</v>
      </c>
      <c r="CC892" s="1">
        <v>44956</v>
      </c>
      <c r="CD892" s="1">
        <v>15.81</v>
      </c>
      <c r="CE892" s="3">
        <v>44956</v>
      </c>
      <c r="CF892" s="1">
        <v>15.12</v>
      </c>
      <c r="CG892" s="1">
        <v>44956</v>
      </c>
      <c r="CH892" s="1">
        <v>14.45</v>
      </c>
      <c r="CI892" s="1">
        <v>44956</v>
      </c>
      <c r="CJ892" s="1">
        <v>12.65</v>
      </c>
      <c r="CK892" s="1">
        <v>44956</v>
      </c>
      <c r="CL892" s="1">
        <v>11.2</v>
      </c>
      <c r="CM892" s="1">
        <v>44956</v>
      </c>
      <c r="CN892" s="1">
        <v>9.5500000000000007</v>
      </c>
      <c r="CO892" s="1">
        <v>44946</v>
      </c>
      <c r="CP892" s="1">
        <v>8.0500000000000007</v>
      </c>
      <c r="CQ892" s="1">
        <v>44946</v>
      </c>
      <c r="CR892" s="1">
        <v>7.05</v>
      </c>
      <c r="CS892" s="1">
        <v>44946</v>
      </c>
      <c r="CT892" s="1">
        <v>6.6</v>
      </c>
    </row>
    <row r="893" spans="31:98" x14ac:dyDescent="0.2">
      <c r="AE893" s="1">
        <v>44945</v>
      </c>
      <c r="AF893" s="1">
        <v>6.75</v>
      </c>
      <c r="AG893" s="1">
        <v>44903</v>
      </c>
      <c r="AH893" s="1">
        <v>7.18</v>
      </c>
      <c r="AI893" s="1">
        <v>44953</v>
      </c>
      <c r="AJ893" s="1">
        <v>6.92</v>
      </c>
      <c r="AK893" s="3">
        <v>44953</v>
      </c>
      <c r="AL893" s="1">
        <v>6.92</v>
      </c>
      <c r="AM893" s="1">
        <v>44953</v>
      </c>
      <c r="AN893" s="1">
        <v>6.92</v>
      </c>
      <c r="AO893" s="1">
        <v>44953</v>
      </c>
      <c r="AP893" s="1">
        <v>6.7949999999999999</v>
      </c>
      <c r="AQ893" s="1">
        <v>44953</v>
      </c>
      <c r="AR893" s="1">
        <v>6.4050000000000002</v>
      </c>
      <c r="AS893" s="1">
        <v>44953</v>
      </c>
      <c r="AT893" s="1">
        <v>5.8949999999999996</v>
      </c>
      <c r="AU893" s="1">
        <v>44953</v>
      </c>
      <c r="AV893" s="1">
        <v>5.47</v>
      </c>
      <c r="AW893" s="1">
        <v>44953</v>
      </c>
      <c r="AX893" s="2">
        <v>5.0549999999999997</v>
      </c>
      <c r="AY893" s="1">
        <v>44953</v>
      </c>
      <c r="AZ893" s="2">
        <v>4.6399999999999997</v>
      </c>
      <c r="BB893" s="1">
        <v>44887</v>
      </c>
      <c r="BC893" s="1">
        <v>7</v>
      </c>
      <c r="BD893" s="1">
        <v>44903</v>
      </c>
      <c r="BE893" s="1">
        <v>7.26</v>
      </c>
      <c r="BF893" s="1">
        <v>44953</v>
      </c>
      <c r="BG893" s="1">
        <v>7.1849999999999996</v>
      </c>
      <c r="BH893" s="3">
        <v>44953</v>
      </c>
      <c r="BI893" s="1">
        <v>7.1630000000000003</v>
      </c>
      <c r="BJ893" s="1">
        <v>44953</v>
      </c>
      <c r="BK893" s="1">
        <v>7.12</v>
      </c>
      <c r="BL893" s="1">
        <v>44953</v>
      </c>
      <c r="BM893" s="1">
        <v>6.86</v>
      </c>
      <c r="BN893" s="1">
        <v>44953</v>
      </c>
      <c r="BO893" s="1">
        <v>6.3449999999999998</v>
      </c>
      <c r="BP893" s="1">
        <v>44953</v>
      </c>
      <c r="BQ893" s="1">
        <v>5.6029999999999998</v>
      </c>
      <c r="BR893" s="1">
        <v>44953</v>
      </c>
      <c r="BS893" s="1">
        <v>4.9029999999999996</v>
      </c>
      <c r="BT893" s="1">
        <v>44953</v>
      </c>
      <c r="BU893" s="1">
        <v>4.343</v>
      </c>
      <c r="BV893" s="1">
        <v>44953</v>
      </c>
      <c r="BW893" s="1">
        <v>3.988</v>
      </c>
      <c r="BY893" s="1">
        <v>44895</v>
      </c>
      <c r="BZ893" s="1">
        <v>13</v>
      </c>
      <c r="CA893" s="1">
        <v>44895</v>
      </c>
      <c r="CB893" s="1">
        <v>15.3</v>
      </c>
      <c r="CC893" s="1">
        <v>44953</v>
      </c>
      <c r="CD893" s="1">
        <v>15.7</v>
      </c>
      <c r="CE893" s="3">
        <v>44953</v>
      </c>
      <c r="CF893" s="1">
        <v>14.95</v>
      </c>
      <c r="CG893" s="1">
        <v>44953</v>
      </c>
      <c r="CH893" s="1">
        <v>14.25</v>
      </c>
      <c r="CI893" s="1">
        <v>44953</v>
      </c>
      <c r="CJ893" s="1">
        <v>12.45</v>
      </c>
      <c r="CK893" s="1">
        <v>44953</v>
      </c>
      <c r="CL893" s="1">
        <v>11</v>
      </c>
      <c r="CM893" s="1">
        <v>44953</v>
      </c>
      <c r="CN893" s="1">
        <v>9.41</v>
      </c>
      <c r="CO893" s="1">
        <v>44945</v>
      </c>
      <c r="CP893" s="1">
        <v>7.49</v>
      </c>
      <c r="CQ893" s="1">
        <v>44945</v>
      </c>
      <c r="CR893" s="1">
        <v>6.55</v>
      </c>
      <c r="CS893" s="1">
        <v>44945</v>
      </c>
      <c r="CT893" s="1">
        <v>6.11</v>
      </c>
    </row>
    <row r="894" spans="31:98" x14ac:dyDescent="0.2">
      <c r="AE894" s="1">
        <v>44944</v>
      </c>
      <c r="AF894" s="1">
        <v>6.75</v>
      </c>
      <c r="AG894" s="1">
        <v>44902</v>
      </c>
      <c r="AH894" s="1">
        <v>7.19</v>
      </c>
      <c r="AI894" s="1">
        <v>44952</v>
      </c>
      <c r="AJ894" s="1">
        <v>6.91</v>
      </c>
      <c r="AK894" s="3">
        <v>44952</v>
      </c>
      <c r="AL894" s="1">
        <v>6.9349999999999996</v>
      </c>
      <c r="AM894" s="1">
        <v>44952</v>
      </c>
      <c r="AN894" s="1">
        <v>6.9349999999999996</v>
      </c>
      <c r="AO894" s="1">
        <v>44952</v>
      </c>
      <c r="AP894" s="1">
        <v>6.82</v>
      </c>
      <c r="AQ894" s="1">
        <v>44952</v>
      </c>
      <c r="AR894" s="1">
        <v>6.415</v>
      </c>
      <c r="AS894" s="1">
        <v>44952</v>
      </c>
      <c r="AT894" s="1">
        <v>5.9</v>
      </c>
      <c r="AU894" s="1">
        <v>44952</v>
      </c>
      <c r="AV894" s="1">
        <v>5.48</v>
      </c>
      <c r="AW894" s="1">
        <v>44952</v>
      </c>
      <c r="AX894" s="2">
        <v>5.0650000000000004</v>
      </c>
      <c r="AY894" s="1">
        <v>44952</v>
      </c>
      <c r="AZ894" s="2">
        <v>4.6500000000000004</v>
      </c>
      <c r="BB894" s="1">
        <v>44886</v>
      </c>
      <c r="BC894" s="1">
        <v>7</v>
      </c>
      <c r="BD894" s="1">
        <v>44902</v>
      </c>
      <c r="BE894" s="1">
        <v>7.26</v>
      </c>
      <c r="BF894" s="1">
        <v>44952</v>
      </c>
      <c r="BG894" s="1">
        <v>7.18</v>
      </c>
      <c r="BH894" s="3">
        <v>44952</v>
      </c>
      <c r="BI894" s="1">
        <v>7.14</v>
      </c>
      <c r="BJ894" s="1">
        <v>44952</v>
      </c>
      <c r="BK894" s="1">
        <v>7.1</v>
      </c>
      <c r="BL894" s="1">
        <v>44952</v>
      </c>
      <c r="BM894" s="1">
        <v>6.82</v>
      </c>
      <c r="BN894" s="1">
        <v>44952</v>
      </c>
      <c r="BO894" s="1">
        <v>6.32</v>
      </c>
      <c r="BP894" s="1">
        <v>44952</v>
      </c>
      <c r="BQ894" s="1">
        <v>5.55</v>
      </c>
      <c r="BR894" s="1">
        <v>44952</v>
      </c>
      <c r="BS894" s="1">
        <v>4.82</v>
      </c>
      <c r="BT894" s="1">
        <v>44952</v>
      </c>
      <c r="BU894" s="1">
        <v>4.2430000000000003</v>
      </c>
      <c r="BV894" s="1">
        <v>44952</v>
      </c>
      <c r="BW894" s="1">
        <v>3.87</v>
      </c>
      <c r="BY894" s="1">
        <v>44894</v>
      </c>
      <c r="BZ894" s="1">
        <v>13</v>
      </c>
      <c r="CA894" s="1">
        <v>44894</v>
      </c>
      <c r="CB894" s="1">
        <v>15.3</v>
      </c>
      <c r="CC894" s="1">
        <v>44952</v>
      </c>
      <c r="CD894" s="1">
        <v>15.68</v>
      </c>
      <c r="CE894" s="3">
        <v>44952</v>
      </c>
      <c r="CF894" s="1">
        <v>14.93</v>
      </c>
      <c r="CG894" s="1">
        <v>44952</v>
      </c>
      <c r="CH894" s="1">
        <v>14.19</v>
      </c>
      <c r="CI894" s="1">
        <v>44952</v>
      </c>
      <c r="CJ894" s="1">
        <v>12.39</v>
      </c>
      <c r="CK894" s="1">
        <v>44952</v>
      </c>
      <c r="CL894" s="1">
        <v>10.95</v>
      </c>
      <c r="CM894" s="1">
        <v>44952</v>
      </c>
      <c r="CN894" s="1">
        <v>9.36</v>
      </c>
      <c r="CO894" s="1">
        <v>44944</v>
      </c>
      <c r="CP894" s="1">
        <v>7.09</v>
      </c>
      <c r="CQ894" s="1">
        <v>44944</v>
      </c>
      <c r="CR894" s="1">
        <v>6.4</v>
      </c>
      <c r="CS894" s="1">
        <v>44944</v>
      </c>
      <c r="CT894" s="1">
        <v>5.96</v>
      </c>
    </row>
    <row r="895" spans="31:98" x14ac:dyDescent="0.2">
      <c r="AE895" s="1">
        <v>44943</v>
      </c>
      <c r="AF895" s="1">
        <v>6.75</v>
      </c>
      <c r="AG895" s="1">
        <v>44901</v>
      </c>
      <c r="AH895" s="1">
        <v>7.2</v>
      </c>
      <c r="AI895" s="1">
        <v>44951</v>
      </c>
      <c r="AJ895" s="1">
        <v>6.891</v>
      </c>
      <c r="AK895" s="3">
        <v>44951</v>
      </c>
      <c r="AL895" s="1">
        <v>6.9050000000000002</v>
      </c>
      <c r="AM895" s="1">
        <v>44951</v>
      </c>
      <c r="AN895" s="1">
        <v>6.915</v>
      </c>
      <c r="AO895" s="1">
        <v>44951</v>
      </c>
      <c r="AP895" s="1">
        <v>6.8150000000000004</v>
      </c>
      <c r="AQ895" s="1">
        <v>44951</v>
      </c>
      <c r="AR895" s="1">
        <v>6.41</v>
      </c>
      <c r="AS895" s="1">
        <v>44951</v>
      </c>
      <c r="AT895" s="1">
        <v>5.9050000000000002</v>
      </c>
      <c r="AU895" s="1">
        <v>44951</v>
      </c>
      <c r="AV895" s="1">
        <v>5.4850000000000003</v>
      </c>
      <c r="AW895" s="1">
        <v>44951</v>
      </c>
      <c r="AX895" s="2">
        <v>5.0650000000000004</v>
      </c>
      <c r="AY895" s="1">
        <v>44951</v>
      </c>
      <c r="AZ895" s="2">
        <v>4.6500000000000004</v>
      </c>
      <c r="BB895" s="1">
        <v>44883</v>
      </c>
      <c r="BC895" s="1">
        <v>7</v>
      </c>
      <c r="BD895" s="1">
        <v>44901</v>
      </c>
      <c r="BE895" s="1">
        <v>7.26</v>
      </c>
      <c r="BF895" s="1">
        <v>44951</v>
      </c>
      <c r="BG895" s="1">
        <v>7.18</v>
      </c>
      <c r="BH895" s="3">
        <v>44951</v>
      </c>
      <c r="BI895" s="1">
        <v>7.133</v>
      </c>
      <c r="BJ895" s="1">
        <v>44951</v>
      </c>
      <c r="BK895" s="1">
        <v>7.08</v>
      </c>
      <c r="BL895" s="1">
        <v>44951</v>
      </c>
      <c r="BM895" s="1">
        <v>6.7949999999999999</v>
      </c>
      <c r="BN895" s="1">
        <v>44951</v>
      </c>
      <c r="BO895" s="1">
        <v>6.28</v>
      </c>
      <c r="BP895" s="1">
        <v>44951</v>
      </c>
      <c r="BQ895" s="1">
        <v>5.5</v>
      </c>
      <c r="BR895" s="1">
        <v>44951</v>
      </c>
      <c r="BS895" s="1">
        <v>4.74</v>
      </c>
      <c r="BT895" s="1">
        <v>44951</v>
      </c>
      <c r="BU895" s="1">
        <v>4.1500000000000004</v>
      </c>
      <c r="BV895" s="1">
        <v>44951</v>
      </c>
      <c r="BW895" s="1">
        <v>3.77</v>
      </c>
      <c r="BY895" s="1">
        <v>44893</v>
      </c>
      <c r="BZ895" s="1">
        <v>13</v>
      </c>
      <c r="CA895" s="1">
        <v>44893</v>
      </c>
      <c r="CB895" s="1">
        <v>15.31</v>
      </c>
      <c r="CC895" s="1">
        <v>44951</v>
      </c>
      <c r="CD895" s="1">
        <v>15.66</v>
      </c>
      <c r="CE895" s="3">
        <v>44951</v>
      </c>
      <c r="CF895" s="1">
        <v>14.933999999999999</v>
      </c>
      <c r="CG895" s="1">
        <v>44951</v>
      </c>
      <c r="CH895" s="1">
        <v>14.26</v>
      </c>
      <c r="CI895" s="1">
        <v>44951</v>
      </c>
      <c r="CJ895" s="1">
        <v>12.45</v>
      </c>
      <c r="CK895" s="1">
        <v>44951</v>
      </c>
      <c r="CL895" s="1">
        <v>10.96</v>
      </c>
      <c r="CM895" s="1">
        <v>44951</v>
      </c>
      <c r="CN895" s="1">
        <v>9.2200000000000006</v>
      </c>
      <c r="CO895" s="1">
        <v>44943</v>
      </c>
      <c r="CP895" s="1">
        <v>7.93</v>
      </c>
      <c r="CQ895" s="1">
        <v>44943</v>
      </c>
      <c r="CR895" s="1">
        <v>7.2</v>
      </c>
      <c r="CS895" s="1">
        <v>44943</v>
      </c>
      <c r="CT895" s="1">
        <v>6.76</v>
      </c>
    </row>
    <row r="896" spans="31:98" x14ac:dyDescent="0.2">
      <c r="AE896" s="1">
        <v>44942</v>
      </c>
      <c r="AF896" s="1">
        <v>6.75</v>
      </c>
      <c r="AG896" s="1">
        <v>44900</v>
      </c>
      <c r="AH896" s="1">
        <v>7.22</v>
      </c>
      <c r="AI896" s="1">
        <v>44950</v>
      </c>
      <c r="AJ896" s="1">
        <v>6.9180000000000001</v>
      </c>
      <c r="AK896" s="1">
        <v>44950</v>
      </c>
      <c r="AL896" s="1">
        <v>6.91</v>
      </c>
      <c r="AM896" s="1">
        <v>44950</v>
      </c>
      <c r="AN896" s="1">
        <v>6.92</v>
      </c>
      <c r="AO896" s="1">
        <v>44950</v>
      </c>
      <c r="AP896" s="1">
        <v>6.83</v>
      </c>
      <c r="AQ896" s="1">
        <v>44950</v>
      </c>
      <c r="AR896" s="1">
        <v>6.43</v>
      </c>
      <c r="AS896" s="1">
        <v>44950</v>
      </c>
      <c r="AT896" s="1">
        <v>5.9450000000000003</v>
      </c>
      <c r="AU896" s="1">
        <v>44950</v>
      </c>
      <c r="AV896" s="1">
        <v>5.55</v>
      </c>
      <c r="AW896" s="1">
        <v>44950</v>
      </c>
      <c r="AX896" s="2">
        <v>5.1550000000000002</v>
      </c>
      <c r="AY896" s="1">
        <v>44950</v>
      </c>
      <c r="AZ896" s="2">
        <v>4.7549999999999999</v>
      </c>
      <c r="BB896" s="1">
        <v>44881</v>
      </c>
      <c r="BC896" s="1">
        <v>7</v>
      </c>
      <c r="BD896" s="1">
        <v>44900</v>
      </c>
      <c r="BE896" s="1">
        <v>7.26</v>
      </c>
      <c r="BF896" s="1">
        <v>44950</v>
      </c>
      <c r="BG896" s="1">
        <v>7.18</v>
      </c>
      <c r="BH896" s="1">
        <v>44950</v>
      </c>
      <c r="BI896" s="1">
        <v>7.1349999999999998</v>
      </c>
      <c r="BJ896" s="1">
        <v>44950</v>
      </c>
      <c r="BK896" s="1">
        <v>7.0949999999999998</v>
      </c>
      <c r="BL896" s="1">
        <v>44950</v>
      </c>
      <c r="BM896" s="1">
        <v>6.8330000000000002</v>
      </c>
      <c r="BN896" s="1">
        <v>44950</v>
      </c>
      <c r="BO896" s="1">
        <v>6.3250000000000002</v>
      </c>
      <c r="BP896" s="1">
        <v>44950</v>
      </c>
      <c r="BQ896" s="1">
        <v>5.5979999999999999</v>
      </c>
      <c r="BR896" s="1">
        <v>44950</v>
      </c>
      <c r="BS896" s="1">
        <v>4.8680000000000003</v>
      </c>
      <c r="BT896" s="1">
        <v>44950</v>
      </c>
      <c r="BU896" s="1">
        <v>4.2850000000000001</v>
      </c>
      <c r="BV896" s="1">
        <v>44950</v>
      </c>
      <c r="BW896" s="1">
        <v>3.8849999999999998</v>
      </c>
      <c r="BY896" s="1">
        <v>44890</v>
      </c>
      <c r="BZ896" s="1">
        <v>13</v>
      </c>
      <c r="CA896" s="1">
        <v>44890</v>
      </c>
      <c r="CB896" s="1">
        <v>15.32</v>
      </c>
      <c r="CC896" s="1">
        <v>44950</v>
      </c>
      <c r="CD896" s="1">
        <v>15.605</v>
      </c>
      <c r="CE896" s="1">
        <v>44950</v>
      </c>
      <c r="CF896" s="1">
        <v>14.788</v>
      </c>
      <c r="CG896" s="1">
        <v>44950</v>
      </c>
      <c r="CH896" s="1">
        <v>14.05</v>
      </c>
      <c r="CI896" s="1">
        <v>44950</v>
      </c>
      <c r="CJ896" s="1">
        <v>12.4</v>
      </c>
      <c r="CK896" s="1">
        <v>44950</v>
      </c>
      <c r="CL896" s="1">
        <v>10.91</v>
      </c>
      <c r="CM896" s="1">
        <v>44950</v>
      </c>
      <c r="CN896" s="1">
        <v>9.33</v>
      </c>
      <c r="CO896" s="1">
        <v>44942</v>
      </c>
      <c r="CP896" s="1">
        <v>8.08</v>
      </c>
      <c r="CQ896" s="1">
        <v>44942</v>
      </c>
      <c r="CR896" s="1">
        <v>7.31</v>
      </c>
      <c r="CS896" s="1">
        <v>44942</v>
      </c>
      <c r="CT896" s="1">
        <v>6.83</v>
      </c>
    </row>
    <row r="897" spans="31:98" x14ac:dyDescent="0.2">
      <c r="AE897" s="1">
        <v>44939</v>
      </c>
      <c r="AF897" s="1">
        <v>6.75</v>
      </c>
      <c r="AG897" s="1">
        <v>44897</v>
      </c>
      <c r="AH897" s="1">
        <v>7.24</v>
      </c>
      <c r="AI897" s="1">
        <v>44949</v>
      </c>
      <c r="AJ897" s="1">
        <v>6.8929999999999998</v>
      </c>
      <c r="AK897" s="1">
        <v>44949</v>
      </c>
      <c r="AL897" s="1">
        <v>6.91</v>
      </c>
      <c r="AM897" s="1">
        <v>44949</v>
      </c>
      <c r="AN897" s="1">
        <v>6.9249999999999998</v>
      </c>
      <c r="AO897" s="1">
        <v>44949</v>
      </c>
      <c r="AP897" s="1">
        <v>6.8925000000000001</v>
      </c>
      <c r="AQ897" s="1">
        <v>44949</v>
      </c>
      <c r="AR897" s="1">
        <v>6.4263000000000003</v>
      </c>
      <c r="AS897" s="1">
        <v>44949</v>
      </c>
      <c r="AT897" s="1">
        <v>6.01</v>
      </c>
      <c r="AU897" s="1">
        <v>44949</v>
      </c>
      <c r="AV897" s="1">
        <v>5.55</v>
      </c>
      <c r="AW897" s="1">
        <v>44949</v>
      </c>
      <c r="AX897" s="2">
        <v>5.1050000000000004</v>
      </c>
      <c r="AY897" s="1">
        <v>44949</v>
      </c>
      <c r="AZ897" s="2">
        <v>4.72</v>
      </c>
      <c r="BB897" s="1">
        <v>44880</v>
      </c>
      <c r="BC897" s="1">
        <v>7</v>
      </c>
      <c r="BD897" s="1">
        <v>44897</v>
      </c>
      <c r="BE897" s="1">
        <v>7.26</v>
      </c>
      <c r="BF897" s="1">
        <v>44949</v>
      </c>
      <c r="BG897" s="1">
        <v>7.1749999999999998</v>
      </c>
      <c r="BH897" s="1">
        <v>44949</v>
      </c>
      <c r="BI897" s="1">
        <v>7.16</v>
      </c>
      <c r="BJ897" s="1">
        <v>44949</v>
      </c>
      <c r="BK897" s="1">
        <v>7.11</v>
      </c>
      <c r="BL897" s="1">
        <v>44949</v>
      </c>
      <c r="BM897" s="1">
        <v>6.83</v>
      </c>
      <c r="BN897" s="1">
        <v>44949</v>
      </c>
      <c r="BO897" s="1">
        <v>6.3150000000000004</v>
      </c>
      <c r="BP897" s="1">
        <v>44949</v>
      </c>
      <c r="BQ897" s="1">
        <v>5.6180000000000003</v>
      </c>
      <c r="BR897" s="1">
        <v>44949</v>
      </c>
      <c r="BS897" s="1">
        <v>4.8680000000000003</v>
      </c>
      <c r="BT897" s="1">
        <v>44949</v>
      </c>
      <c r="BU897" s="1">
        <v>4.2450000000000001</v>
      </c>
      <c r="BV897" s="1">
        <v>44949</v>
      </c>
      <c r="BW897" s="1">
        <v>3.8929999999999998</v>
      </c>
      <c r="BY897" s="1">
        <v>44889</v>
      </c>
      <c r="BZ897" s="1">
        <v>13</v>
      </c>
      <c r="CA897" s="1">
        <v>44889</v>
      </c>
      <c r="CB897" s="1">
        <v>15.33</v>
      </c>
      <c r="CC897" s="1">
        <v>44949</v>
      </c>
      <c r="CD897" s="1">
        <v>15.26</v>
      </c>
      <c r="CE897" s="1">
        <v>44949</v>
      </c>
      <c r="CF897" s="1">
        <v>14.58</v>
      </c>
      <c r="CG897" s="1">
        <v>44949</v>
      </c>
      <c r="CH897" s="1">
        <v>13.95</v>
      </c>
      <c r="CI897" s="1">
        <v>44949</v>
      </c>
      <c r="CJ897" s="1">
        <v>12.3</v>
      </c>
      <c r="CK897" s="1">
        <v>44949</v>
      </c>
      <c r="CL897" s="1">
        <v>10.8</v>
      </c>
      <c r="CM897" s="1">
        <v>44949</v>
      </c>
      <c r="CN897" s="1">
        <v>9.26</v>
      </c>
      <c r="CO897" s="1">
        <v>44939</v>
      </c>
      <c r="CP897" s="1">
        <v>7.93</v>
      </c>
      <c r="CQ897" s="1">
        <v>44939</v>
      </c>
      <c r="CR897" s="1">
        <v>7.16</v>
      </c>
      <c r="CS897" s="1">
        <v>44939</v>
      </c>
      <c r="CT897" s="1">
        <v>6.65</v>
      </c>
    </row>
    <row r="898" spans="31:98" x14ac:dyDescent="0.2">
      <c r="AE898" s="1">
        <v>44938</v>
      </c>
      <c r="AF898" s="1">
        <v>6.75</v>
      </c>
      <c r="AG898" s="1">
        <v>44896</v>
      </c>
      <c r="AH898" s="1">
        <v>7.25</v>
      </c>
      <c r="AI898" s="1">
        <v>44946</v>
      </c>
      <c r="AJ898" s="1">
        <v>6.891</v>
      </c>
      <c r="AK898" s="1">
        <v>44946</v>
      </c>
      <c r="AL898" s="1">
        <v>6.9050000000000002</v>
      </c>
      <c r="AM898" s="1">
        <v>44946</v>
      </c>
      <c r="AN898" s="1">
        <v>6.9249999999999998</v>
      </c>
      <c r="AO898" s="1">
        <v>44946</v>
      </c>
      <c r="AP898" s="1">
        <v>6.8150000000000004</v>
      </c>
      <c r="AQ898" s="1">
        <v>44946</v>
      </c>
      <c r="AR898" s="1">
        <v>6.3650000000000002</v>
      </c>
      <c r="AS898" s="1">
        <v>44946</v>
      </c>
      <c r="AT898" s="1">
        <v>5.87</v>
      </c>
      <c r="AU898" s="1">
        <v>44946</v>
      </c>
      <c r="AV898" s="1">
        <v>5.37</v>
      </c>
      <c r="AW898" s="1">
        <v>44946</v>
      </c>
      <c r="AX898" s="2">
        <v>4.9000000000000004</v>
      </c>
      <c r="AY898" s="1">
        <v>44946</v>
      </c>
      <c r="AZ898" s="2">
        <v>4.4749999999999996</v>
      </c>
      <c r="BB898" s="1">
        <v>44879</v>
      </c>
      <c r="BC898" s="1">
        <v>7</v>
      </c>
      <c r="BD898" s="1">
        <v>44896</v>
      </c>
      <c r="BE898" s="1">
        <v>7.25</v>
      </c>
      <c r="BF898" s="1">
        <v>44946</v>
      </c>
      <c r="BG898" s="1">
        <v>7.17</v>
      </c>
      <c r="BH898" s="1">
        <v>44946</v>
      </c>
      <c r="BI898" s="1">
        <v>7.1449999999999996</v>
      </c>
      <c r="BJ898" s="1">
        <v>44946</v>
      </c>
      <c r="BK898" s="1">
        <v>7.08</v>
      </c>
      <c r="BL898" s="1">
        <v>44946</v>
      </c>
      <c r="BM898" s="1">
        <v>6.7830000000000004</v>
      </c>
      <c r="BN898" s="1">
        <v>44946</v>
      </c>
      <c r="BO898" s="1">
        <v>6.258</v>
      </c>
      <c r="BP898" s="1">
        <v>44946</v>
      </c>
      <c r="BQ898" s="1">
        <v>5.508</v>
      </c>
      <c r="BR898" s="1">
        <v>44946</v>
      </c>
      <c r="BS898" s="1">
        <v>4.7329999999999997</v>
      </c>
      <c r="BT898" s="1">
        <v>44946</v>
      </c>
      <c r="BU898" s="1">
        <v>4.0979999999999999</v>
      </c>
      <c r="BV898" s="1">
        <v>44946</v>
      </c>
      <c r="BW898" s="1">
        <v>3.7280000000000002</v>
      </c>
      <c r="BY898" s="1">
        <v>44888</v>
      </c>
      <c r="BZ898" s="1">
        <v>13</v>
      </c>
      <c r="CA898" s="1">
        <v>44888</v>
      </c>
      <c r="CB898" s="1">
        <v>15.34</v>
      </c>
      <c r="CC898" s="1">
        <v>44946</v>
      </c>
      <c r="CD898" s="1">
        <v>15.6</v>
      </c>
      <c r="CE898" s="1">
        <v>44946</v>
      </c>
      <c r="CF898" s="1">
        <v>14.85</v>
      </c>
      <c r="CG898" s="1">
        <v>44946</v>
      </c>
      <c r="CH898" s="1">
        <v>14.1</v>
      </c>
      <c r="CI898" s="1">
        <v>44946</v>
      </c>
      <c r="CJ898" s="1">
        <v>12.45</v>
      </c>
      <c r="CK898" s="1">
        <v>44946</v>
      </c>
      <c r="CL898" s="1">
        <v>10.95</v>
      </c>
      <c r="CM898" s="1">
        <v>44946</v>
      </c>
      <c r="CN898" s="1">
        <v>9.3800000000000008</v>
      </c>
      <c r="CO898" s="1">
        <v>44938</v>
      </c>
      <c r="CP898" s="1">
        <v>8.4</v>
      </c>
      <c r="CQ898" s="1">
        <v>44938</v>
      </c>
      <c r="CR898" s="1">
        <v>7.67</v>
      </c>
      <c r="CS898" s="1">
        <v>44938</v>
      </c>
      <c r="CT898" s="1">
        <v>7.1849999999999996</v>
      </c>
    </row>
    <row r="899" spans="31:98" x14ac:dyDescent="0.2">
      <c r="AE899" s="1">
        <v>44937</v>
      </c>
      <c r="AF899" s="1">
        <v>6.75</v>
      </c>
      <c r="AG899" s="1">
        <v>44895</v>
      </c>
      <c r="AH899" s="1">
        <v>7.28</v>
      </c>
      <c r="AI899" s="1">
        <v>44945</v>
      </c>
      <c r="AJ899" s="1">
        <v>6.8810000000000002</v>
      </c>
      <c r="AK899" s="1">
        <v>44945</v>
      </c>
      <c r="AL899" s="1">
        <v>6.91</v>
      </c>
      <c r="AM899" s="1">
        <v>44945</v>
      </c>
      <c r="AN899" s="1">
        <v>6.92</v>
      </c>
      <c r="AO899" s="1">
        <v>44945</v>
      </c>
      <c r="AP899" s="1">
        <v>6.76</v>
      </c>
      <c r="AQ899" s="1">
        <v>44945</v>
      </c>
      <c r="AR899" s="1">
        <v>6.335</v>
      </c>
      <c r="AS899" s="1">
        <v>44945</v>
      </c>
      <c r="AT899" s="1">
        <v>5.8550000000000004</v>
      </c>
      <c r="AU899" s="1">
        <v>44945</v>
      </c>
      <c r="AV899" s="1">
        <v>5.36</v>
      </c>
      <c r="AW899" s="1">
        <v>44945</v>
      </c>
      <c r="AX899" s="2">
        <v>4.9000000000000004</v>
      </c>
      <c r="AY899" s="1">
        <v>44945</v>
      </c>
      <c r="AZ899" s="2">
        <v>4.4800000000000004</v>
      </c>
      <c r="BB899" s="1">
        <v>44876</v>
      </c>
      <c r="BC899" s="1">
        <v>7</v>
      </c>
      <c r="BD899" s="1">
        <v>44895</v>
      </c>
      <c r="BE899" s="1">
        <v>7.25</v>
      </c>
      <c r="BF899" s="1">
        <v>44945</v>
      </c>
      <c r="BG899" s="1">
        <v>7.1749999999999998</v>
      </c>
      <c r="BH899" s="1">
        <v>44945</v>
      </c>
      <c r="BI899" s="1">
        <v>7.1230000000000002</v>
      </c>
      <c r="BJ899" s="1">
        <v>44945</v>
      </c>
      <c r="BK899" s="1">
        <v>7.0449999999999999</v>
      </c>
      <c r="BL899" s="1">
        <v>44945</v>
      </c>
      <c r="BM899" s="1">
        <v>6.7430000000000003</v>
      </c>
      <c r="BN899" s="1">
        <v>44945</v>
      </c>
      <c r="BO899" s="1">
        <v>6.19</v>
      </c>
      <c r="BP899" s="1">
        <v>44945</v>
      </c>
      <c r="BQ899" s="1">
        <v>5.415</v>
      </c>
      <c r="BR899" s="1">
        <v>44945</v>
      </c>
      <c r="BS899" s="1">
        <v>4.62</v>
      </c>
      <c r="BT899" s="1">
        <v>44945</v>
      </c>
      <c r="BU899" s="1">
        <v>3.9750000000000001</v>
      </c>
      <c r="BV899" s="1">
        <v>44945</v>
      </c>
      <c r="BW899" s="1">
        <v>3.59</v>
      </c>
      <c r="BY899" s="1">
        <v>44887</v>
      </c>
      <c r="BZ899" s="1">
        <v>13</v>
      </c>
      <c r="CA899" s="1">
        <v>44887</v>
      </c>
      <c r="CB899" s="1">
        <v>15.45</v>
      </c>
      <c r="CC899" s="1">
        <v>44945</v>
      </c>
      <c r="CD899" s="1">
        <v>15.61</v>
      </c>
      <c r="CE899" s="1">
        <v>44945</v>
      </c>
      <c r="CF899" s="1">
        <v>14.71</v>
      </c>
      <c r="CG899" s="1">
        <v>44945</v>
      </c>
      <c r="CH899" s="1">
        <v>13.9</v>
      </c>
      <c r="CI899" s="1">
        <v>44945</v>
      </c>
      <c r="CJ899" s="1">
        <v>12.1</v>
      </c>
      <c r="CK899" s="1">
        <v>44945</v>
      </c>
      <c r="CL899" s="1">
        <v>10.65</v>
      </c>
      <c r="CM899" s="1">
        <v>44945</v>
      </c>
      <c r="CN899" s="1">
        <v>8.91</v>
      </c>
      <c r="CO899" s="1">
        <v>44937</v>
      </c>
      <c r="CP899" s="1">
        <v>8.6199999999999992</v>
      </c>
      <c r="CQ899" s="1">
        <v>44937</v>
      </c>
      <c r="CR899" s="1">
        <v>8.11</v>
      </c>
      <c r="CS899" s="1">
        <v>44937</v>
      </c>
      <c r="CT899" s="1">
        <v>7.7649999999999997</v>
      </c>
    </row>
    <row r="900" spans="31:98" x14ac:dyDescent="0.2">
      <c r="AE900" s="1">
        <v>44936</v>
      </c>
      <c r="AF900" s="1">
        <v>6.75</v>
      </c>
      <c r="AG900" s="1">
        <v>44894</v>
      </c>
      <c r="AH900" s="1">
        <v>7.31</v>
      </c>
      <c r="AI900" s="1">
        <v>44944</v>
      </c>
      <c r="AJ900" s="1">
        <v>6.8810000000000002</v>
      </c>
      <c r="AK900" s="1">
        <v>44944</v>
      </c>
      <c r="AL900" s="1">
        <v>6.88</v>
      </c>
      <c r="AM900" s="1">
        <v>44944</v>
      </c>
      <c r="AN900" s="1">
        <v>6.89</v>
      </c>
      <c r="AO900" s="1">
        <v>44944</v>
      </c>
      <c r="AP900" s="1">
        <v>6.7549999999999999</v>
      </c>
      <c r="AQ900" s="1">
        <v>44944</v>
      </c>
      <c r="AR900" s="1">
        <v>6.2949999999999999</v>
      </c>
      <c r="AS900" s="1">
        <v>44944</v>
      </c>
      <c r="AT900" s="1">
        <v>5.78</v>
      </c>
      <c r="AU900" s="1">
        <v>44944</v>
      </c>
      <c r="AV900" s="1">
        <v>5.32</v>
      </c>
      <c r="AW900" s="1">
        <v>44944</v>
      </c>
      <c r="AX900" s="2">
        <v>4.88</v>
      </c>
      <c r="AY900" s="1">
        <v>44944</v>
      </c>
      <c r="AZ900" s="2">
        <v>4.46</v>
      </c>
      <c r="BB900" s="1">
        <v>44875</v>
      </c>
      <c r="BC900" s="1">
        <v>7</v>
      </c>
      <c r="BD900" s="1">
        <v>44894</v>
      </c>
      <c r="BE900" s="1">
        <v>7.25</v>
      </c>
      <c r="BF900" s="1">
        <v>44944</v>
      </c>
      <c r="BG900" s="1">
        <v>7.1550000000000002</v>
      </c>
      <c r="BH900" s="1">
        <v>44944</v>
      </c>
      <c r="BI900" s="1">
        <v>7.1429999999999998</v>
      </c>
      <c r="BJ900" s="1">
        <v>44944</v>
      </c>
      <c r="BK900" s="1">
        <v>7.0279999999999996</v>
      </c>
      <c r="BL900" s="1">
        <v>44944</v>
      </c>
      <c r="BM900" s="1">
        <v>6.7249999999999996</v>
      </c>
      <c r="BN900" s="1">
        <v>44944</v>
      </c>
      <c r="BO900" s="1">
        <v>6.21</v>
      </c>
      <c r="BP900" s="1">
        <v>44944</v>
      </c>
      <c r="BQ900" s="1">
        <v>5.44</v>
      </c>
      <c r="BR900" s="1">
        <v>44944</v>
      </c>
      <c r="BS900" s="1">
        <v>4.5999999999999996</v>
      </c>
      <c r="BT900" s="1">
        <v>44944</v>
      </c>
      <c r="BU900" s="1">
        <v>3.88</v>
      </c>
      <c r="BV900" s="1">
        <v>44944</v>
      </c>
      <c r="BW900" s="1">
        <v>3.5</v>
      </c>
      <c r="BY900" s="1">
        <v>44886</v>
      </c>
      <c r="BZ900" s="1">
        <v>13</v>
      </c>
      <c r="CA900" s="1">
        <v>44886</v>
      </c>
      <c r="CB900" s="1">
        <v>15.6</v>
      </c>
      <c r="CC900" s="1">
        <v>44944</v>
      </c>
      <c r="CD900" s="1">
        <v>15.5</v>
      </c>
      <c r="CE900" s="1">
        <v>44944</v>
      </c>
      <c r="CF900" s="1">
        <v>14.56</v>
      </c>
      <c r="CG900" s="1">
        <v>44944</v>
      </c>
      <c r="CH900" s="1">
        <v>13.75</v>
      </c>
      <c r="CI900" s="1">
        <v>44944</v>
      </c>
      <c r="CJ900" s="1">
        <v>12.05</v>
      </c>
      <c r="CK900" s="1">
        <v>44944</v>
      </c>
      <c r="CL900" s="1">
        <v>10.55</v>
      </c>
      <c r="CM900" s="1">
        <v>44944</v>
      </c>
      <c r="CN900" s="1">
        <v>8.65</v>
      </c>
      <c r="CO900" s="1">
        <v>44936</v>
      </c>
      <c r="CP900" s="1">
        <v>9.07</v>
      </c>
      <c r="CQ900" s="1">
        <v>44936</v>
      </c>
      <c r="CR900" s="1">
        <v>8.48</v>
      </c>
      <c r="CS900" s="1">
        <v>44936</v>
      </c>
      <c r="CT900" s="1">
        <v>7.9550000000000001</v>
      </c>
    </row>
    <row r="901" spans="31:98" x14ac:dyDescent="0.2">
      <c r="AE901" s="1">
        <v>44935</v>
      </c>
      <c r="AF901" s="1">
        <v>6.75</v>
      </c>
      <c r="AG901" s="1">
        <v>44893</v>
      </c>
      <c r="AH901" s="1">
        <v>7.3</v>
      </c>
      <c r="AI901" s="1">
        <v>44943</v>
      </c>
      <c r="AJ901" s="1">
        <v>6.9080000000000004</v>
      </c>
      <c r="AK901" s="1">
        <v>44943</v>
      </c>
      <c r="AL901" s="1">
        <v>6.9024999999999999</v>
      </c>
      <c r="AM901" s="1">
        <v>44943</v>
      </c>
      <c r="AN901" s="1">
        <v>6.9275000000000002</v>
      </c>
      <c r="AO901" s="1">
        <v>44943</v>
      </c>
      <c r="AP901" s="1">
        <v>6.8224999999999998</v>
      </c>
      <c r="AQ901" s="1">
        <v>44943</v>
      </c>
      <c r="AR901" s="1">
        <v>6.39</v>
      </c>
      <c r="AS901" s="1">
        <v>44943</v>
      </c>
      <c r="AT901" s="1">
        <v>5.86</v>
      </c>
      <c r="AU901" s="1">
        <v>44943</v>
      </c>
      <c r="AV901" s="1">
        <v>5.4950000000000001</v>
      </c>
      <c r="AW901" s="1">
        <v>44943</v>
      </c>
      <c r="AX901" s="2">
        <v>5.165</v>
      </c>
      <c r="AY901" s="1">
        <v>44943</v>
      </c>
      <c r="AZ901" s="2">
        <v>4.75</v>
      </c>
      <c r="BB901" s="1">
        <v>44874</v>
      </c>
      <c r="BC901" s="1">
        <v>7</v>
      </c>
      <c r="BD901" s="1">
        <v>44893</v>
      </c>
      <c r="BE901" s="1">
        <v>7.25</v>
      </c>
      <c r="BF901" s="1">
        <v>44943</v>
      </c>
      <c r="BG901" s="1">
        <v>7.15</v>
      </c>
      <c r="BH901" s="1">
        <v>44943</v>
      </c>
      <c r="BI901" s="1">
        <v>7.1180000000000003</v>
      </c>
      <c r="BJ901" s="1">
        <v>44943</v>
      </c>
      <c r="BK901" s="1">
        <v>7.04</v>
      </c>
      <c r="BL901" s="1">
        <v>44943</v>
      </c>
      <c r="BM901" s="1">
        <v>6.77</v>
      </c>
      <c r="BN901" s="1">
        <v>44943</v>
      </c>
      <c r="BO901" s="1">
        <v>6.26</v>
      </c>
      <c r="BP901" s="1">
        <v>44943</v>
      </c>
      <c r="BQ901" s="1">
        <v>5.52</v>
      </c>
      <c r="BR901" s="1">
        <v>44943</v>
      </c>
      <c r="BS901" s="1">
        <v>4.71</v>
      </c>
      <c r="BT901" s="1">
        <v>44943</v>
      </c>
      <c r="BU901" s="1">
        <v>4.0030000000000001</v>
      </c>
      <c r="BV901" s="1">
        <v>44943</v>
      </c>
      <c r="BW901" s="1">
        <v>3.6349999999999998</v>
      </c>
      <c r="BY901" s="1">
        <v>44883</v>
      </c>
      <c r="BZ901" s="1">
        <v>13</v>
      </c>
      <c r="CA901" s="1">
        <v>44883</v>
      </c>
      <c r="CB901" s="1">
        <v>15.61</v>
      </c>
      <c r="CC901" s="1">
        <v>44943</v>
      </c>
      <c r="CD901" s="1">
        <v>15.5</v>
      </c>
      <c r="CE901" s="1">
        <v>44943</v>
      </c>
      <c r="CF901" s="1">
        <v>14.74</v>
      </c>
      <c r="CG901" s="1">
        <v>44943</v>
      </c>
      <c r="CH901" s="1">
        <v>14</v>
      </c>
      <c r="CI901" s="1">
        <v>44943</v>
      </c>
      <c r="CJ901" s="1">
        <v>12.25</v>
      </c>
      <c r="CK901" s="1">
        <v>44943</v>
      </c>
      <c r="CL901" s="1">
        <v>10.8</v>
      </c>
      <c r="CM901" s="1">
        <v>44943</v>
      </c>
      <c r="CN901" s="1">
        <v>9.1199999999999992</v>
      </c>
      <c r="CO901" s="1">
        <v>44935</v>
      </c>
      <c r="CP901" s="1">
        <v>8.91</v>
      </c>
      <c r="CQ901" s="1">
        <v>44935</v>
      </c>
      <c r="CR901" s="1">
        <v>8.26</v>
      </c>
      <c r="CS901" s="1">
        <v>44935</v>
      </c>
      <c r="CT901" s="1">
        <v>7.7750000000000004</v>
      </c>
    </row>
    <row r="902" spans="31:98" x14ac:dyDescent="0.2">
      <c r="AE902" s="1">
        <v>44932</v>
      </c>
      <c r="AF902" s="1">
        <v>6.75</v>
      </c>
      <c r="AG902" s="1">
        <v>44890</v>
      </c>
      <c r="AH902" s="1">
        <v>7.31</v>
      </c>
      <c r="AI902" s="1">
        <v>44942</v>
      </c>
      <c r="AJ902" s="1">
        <v>6.8979999999999997</v>
      </c>
      <c r="AK902" s="1">
        <v>44942</v>
      </c>
      <c r="AL902" s="1">
        <v>6.9</v>
      </c>
      <c r="AM902" s="1">
        <v>44942</v>
      </c>
      <c r="AN902" s="1">
        <v>6.93</v>
      </c>
      <c r="AO902" s="1">
        <v>44942</v>
      </c>
      <c r="AP902" s="1">
        <v>6.81</v>
      </c>
      <c r="AQ902" s="1">
        <v>44942</v>
      </c>
      <c r="AR902" s="1">
        <v>6.35</v>
      </c>
      <c r="AS902" s="1">
        <v>44942</v>
      </c>
      <c r="AT902" s="1">
        <v>5.8550000000000004</v>
      </c>
      <c r="AU902" s="1">
        <v>44942</v>
      </c>
      <c r="AV902" s="1">
        <v>5.4450000000000003</v>
      </c>
      <c r="AW902" s="1">
        <v>44942</v>
      </c>
      <c r="AX902" s="2">
        <v>5.0650000000000004</v>
      </c>
      <c r="AY902" s="1">
        <v>44942</v>
      </c>
      <c r="AZ902" s="2">
        <v>4.67</v>
      </c>
      <c r="BB902" s="1">
        <v>44873</v>
      </c>
      <c r="BC902" s="1">
        <v>7</v>
      </c>
      <c r="BD902" s="1">
        <v>44890</v>
      </c>
      <c r="BE902" s="1">
        <v>7.25</v>
      </c>
      <c r="BF902" s="1">
        <v>44942</v>
      </c>
      <c r="BG902" s="1">
        <v>7.16</v>
      </c>
      <c r="BH902" s="1">
        <v>44942</v>
      </c>
      <c r="BI902" s="1">
        <v>7.11</v>
      </c>
      <c r="BJ902" s="1">
        <v>44942</v>
      </c>
      <c r="BK902" s="1">
        <v>7.0549999999999997</v>
      </c>
      <c r="BL902" s="1">
        <v>44942</v>
      </c>
      <c r="BM902" s="1">
        <v>6.7750000000000004</v>
      </c>
      <c r="BN902" s="1">
        <v>44942</v>
      </c>
      <c r="BO902" s="1">
        <v>6.2629999999999999</v>
      </c>
      <c r="BP902" s="1">
        <v>44942</v>
      </c>
      <c r="BQ902" s="1">
        <v>5.5049999999999999</v>
      </c>
      <c r="BR902" s="1">
        <v>44942</v>
      </c>
      <c r="BS902" s="1">
        <v>4.6749999999999998</v>
      </c>
      <c r="BT902" s="1">
        <v>44942</v>
      </c>
      <c r="BU902" s="1">
        <v>3.9750000000000001</v>
      </c>
      <c r="BV902" s="1">
        <v>44942</v>
      </c>
      <c r="BW902" s="1">
        <v>3.5750000000000002</v>
      </c>
      <c r="BY902" s="1">
        <v>44882</v>
      </c>
      <c r="BZ902" s="1">
        <v>13</v>
      </c>
      <c r="CA902" s="1">
        <v>44882</v>
      </c>
      <c r="CB902" s="1">
        <v>15.62</v>
      </c>
      <c r="CC902" s="1">
        <v>44942</v>
      </c>
      <c r="CD902" s="1">
        <v>15.44</v>
      </c>
      <c r="CE902" s="1">
        <v>44942</v>
      </c>
      <c r="CF902" s="1">
        <v>14.74</v>
      </c>
      <c r="CG902" s="1">
        <v>44942</v>
      </c>
      <c r="CH902" s="1">
        <v>14.05</v>
      </c>
      <c r="CI902" s="1">
        <v>44942</v>
      </c>
      <c r="CJ902" s="1">
        <v>12.15</v>
      </c>
      <c r="CK902" s="1">
        <v>44942</v>
      </c>
      <c r="CL902" s="1">
        <v>10.75</v>
      </c>
      <c r="CM902" s="1">
        <v>44942</v>
      </c>
      <c r="CN902" s="1">
        <v>9.15</v>
      </c>
      <c r="CO902" s="1">
        <v>44932</v>
      </c>
      <c r="CP902" s="1">
        <v>8.8049999999999997</v>
      </c>
      <c r="CQ902" s="1">
        <v>44932</v>
      </c>
      <c r="CR902" s="1">
        <v>8.11</v>
      </c>
      <c r="CS902" s="1">
        <v>44932</v>
      </c>
      <c r="CT902" s="1">
        <v>7.66</v>
      </c>
    </row>
    <row r="903" spans="31:98" x14ac:dyDescent="0.2">
      <c r="AE903" s="1">
        <v>44931</v>
      </c>
      <c r="AF903" s="1">
        <v>6.75</v>
      </c>
      <c r="AG903" s="1">
        <v>44889</v>
      </c>
      <c r="AH903" s="1">
        <v>7.32</v>
      </c>
      <c r="AI903" s="1">
        <v>44939</v>
      </c>
      <c r="AJ903" s="1">
        <v>6.9009999999999998</v>
      </c>
      <c r="AK903" s="1">
        <v>44939</v>
      </c>
      <c r="AL903" s="1">
        <v>6.93</v>
      </c>
      <c r="AM903" s="1">
        <v>44939</v>
      </c>
      <c r="AN903" s="1">
        <v>6.94</v>
      </c>
      <c r="AO903" s="1">
        <v>44939</v>
      </c>
      <c r="AP903" s="1">
        <v>6.8174999999999999</v>
      </c>
      <c r="AQ903" s="1">
        <v>44939</v>
      </c>
      <c r="AR903" s="1">
        <v>6.34</v>
      </c>
      <c r="AS903" s="1">
        <v>44939</v>
      </c>
      <c r="AT903" s="1">
        <v>5.7725</v>
      </c>
      <c r="AU903" s="1">
        <v>44939</v>
      </c>
      <c r="AV903" s="1">
        <v>5.3574999999999999</v>
      </c>
      <c r="AW903" s="1">
        <v>44939</v>
      </c>
      <c r="AX903" s="2">
        <v>4.9675000000000002</v>
      </c>
      <c r="AY903" s="1">
        <v>44939</v>
      </c>
      <c r="AZ903" s="2">
        <v>4.5724999999999998</v>
      </c>
      <c r="BB903" s="1">
        <v>44872</v>
      </c>
      <c r="BC903" s="1">
        <v>7</v>
      </c>
      <c r="BD903" s="1">
        <v>44889</v>
      </c>
      <c r="BE903" s="1">
        <v>7.25</v>
      </c>
      <c r="BF903" s="1">
        <v>44939</v>
      </c>
      <c r="BG903" s="1">
        <v>7.16</v>
      </c>
      <c r="BH903" s="1">
        <v>44939</v>
      </c>
      <c r="BI903" s="1">
        <v>7.1050000000000004</v>
      </c>
      <c r="BJ903" s="1">
        <v>44939</v>
      </c>
      <c r="BK903" s="1">
        <v>7.05</v>
      </c>
      <c r="BL903" s="1">
        <v>44939</v>
      </c>
      <c r="BM903" s="1">
        <v>6.78</v>
      </c>
      <c r="BN903" s="1">
        <v>44939</v>
      </c>
      <c r="BO903" s="1">
        <v>6.26</v>
      </c>
      <c r="BP903" s="1">
        <v>44939</v>
      </c>
      <c r="BQ903" s="1">
        <v>5.4749999999999996</v>
      </c>
      <c r="BR903" s="1">
        <v>44939</v>
      </c>
      <c r="BS903" s="1">
        <v>4.6280000000000001</v>
      </c>
      <c r="BT903" s="1">
        <v>44939</v>
      </c>
      <c r="BU903" s="1">
        <v>3.92</v>
      </c>
      <c r="BV903" s="1">
        <v>44939</v>
      </c>
      <c r="BW903" s="1">
        <v>3.5</v>
      </c>
      <c r="BY903" s="1">
        <v>44881</v>
      </c>
      <c r="BZ903" s="1">
        <v>13</v>
      </c>
      <c r="CA903" s="1">
        <v>44881</v>
      </c>
      <c r="CB903" s="1">
        <v>15.62</v>
      </c>
      <c r="CC903" s="1">
        <v>44939</v>
      </c>
      <c r="CD903" s="1">
        <v>15.37</v>
      </c>
      <c r="CE903" s="1">
        <v>44939</v>
      </c>
      <c r="CF903" s="1">
        <v>14.61</v>
      </c>
      <c r="CG903" s="1">
        <v>44939</v>
      </c>
      <c r="CH903" s="1">
        <v>13.85</v>
      </c>
      <c r="CI903" s="1">
        <v>44939</v>
      </c>
      <c r="CJ903" s="1">
        <v>12</v>
      </c>
      <c r="CK903" s="1">
        <v>44939</v>
      </c>
      <c r="CL903" s="1">
        <v>10.6</v>
      </c>
      <c r="CM903" s="1">
        <v>44939</v>
      </c>
      <c r="CN903" s="1">
        <v>9</v>
      </c>
      <c r="CO903" s="1">
        <v>44931</v>
      </c>
      <c r="CP903" s="1">
        <v>9.5850000000000009</v>
      </c>
      <c r="CQ903" s="1">
        <v>44931</v>
      </c>
      <c r="CR903" s="1">
        <v>8.98</v>
      </c>
      <c r="CS903" s="1">
        <v>44931</v>
      </c>
      <c r="CT903" s="1">
        <v>8.61</v>
      </c>
    </row>
    <row r="904" spans="31:98" x14ac:dyDescent="0.2">
      <c r="AE904" s="1">
        <v>44930</v>
      </c>
      <c r="AF904" s="1">
        <v>6.75</v>
      </c>
      <c r="AG904" s="1">
        <v>44888</v>
      </c>
      <c r="AH904" s="1">
        <v>7.34</v>
      </c>
      <c r="AI904" s="1">
        <v>44938</v>
      </c>
      <c r="AJ904" s="1">
        <v>6.9009999999999998</v>
      </c>
      <c r="AK904" s="1">
        <v>44938</v>
      </c>
      <c r="AL904" s="1">
        <v>6.9550000000000001</v>
      </c>
      <c r="AM904" s="1">
        <v>44938</v>
      </c>
      <c r="AN904" s="1">
        <v>6.9649999999999999</v>
      </c>
      <c r="AO904" s="1">
        <v>44938</v>
      </c>
      <c r="AP904" s="1">
        <v>6.78</v>
      </c>
      <c r="AQ904" s="1">
        <v>44938</v>
      </c>
      <c r="AR904" s="1">
        <v>6.2750000000000004</v>
      </c>
      <c r="AS904" s="1">
        <v>44938</v>
      </c>
      <c r="AT904" s="1">
        <v>5.72</v>
      </c>
      <c r="AU904" s="1">
        <v>44938</v>
      </c>
      <c r="AV904" s="1">
        <v>5.3250000000000002</v>
      </c>
      <c r="AW904" s="1">
        <v>44938</v>
      </c>
      <c r="AX904" s="2">
        <v>4.9450000000000003</v>
      </c>
      <c r="AY904" s="1">
        <v>44938</v>
      </c>
      <c r="AZ904" s="2">
        <v>4.57</v>
      </c>
      <c r="BB904" s="1">
        <v>44869</v>
      </c>
      <c r="BC904" s="1">
        <v>7</v>
      </c>
      <c r="BD904" s="1">
        <v>44888</v>
      </c>
      <c r="BE904" s="1">
        <v>7.25</v>
      </c>
      <c r="BF904" s="1">
        <v>44938</v>
      </c>
      <c r="BG904" s="1">
        <v>7.16</v>
      </c>
      <c r="BH904" s="1">
        <v>44938</v>
      </c>
      <c r="BI904" s="1">
        <v>7.1130000000000004</v>
      </c>
      <c r="BJ904" s="1">
        <v>44938</v>
      </c>
      <c r="BK904" s="1">
        <v>7.06</v>
      </c>
      <c r="BL904" s="1">
        <v>44938</v>
      </c>
      <c r="BM904" s="1">
        <v>6.79</v>
      </c>
      <c r="BN904" s="1">
        <v>44938</v>
      </c>
      <c r="BO904" s="1">
        <v>6.27</v>
      </c>
      <c r="BP904" s="1">
        <v>44938</v>
      </c>
      <c r="BQ904" s="1">
        <v>5.4850000000000003</v>
      </c>
      <c r="BR904" s="1">
        <v>44938</v>
      </c>
      <c r="BS904" s="1">
        <v>4.6150000000000002</v>
      </c>
      <c r="BT904" s="1">
        <v>44938</v>
      </c>
      <c r="BU904" s="1">
        <v>3.88</v>
      </c>
      <c r="BV904" s="1">
        <v>44938</v>
      </c>
      <c r="BW904" s="1">
        <v>3.44</v>
      </c>
      <c r="BY904" s="1">
        <v>44880</v>
      </c>
      <c r="BZ904" s="1">
        <v>13</v>
      </c>
      <c r="CA904" s="1">
        <v>44880</v>
      </c>
      <c r="CB904" s="1">
        <v>15.62</v>
      </c>
      <c r="CC904" s="1">
        <v>44938</v>
      </c>
      <c r="CD904" s="1">
        <v>15.51</v>
      </c>
      <c r="CE904" s="1">
        <v>44938</v>
      </c>
      <c r="CF904" s="1">
        <v>14.85</v>
      </c>
      <c r="CG904" s="1">
        <v>44938</v>
      </c>
      <c r="CH904" s="1">
        <v>14.1</v>
      </c>
      <c r="CI904" s="1">
        <v>44938</v>
      </c>
      <c r="CJ904" s="1">
        <v>12.35</v>
      </c>
      <c r="CK904" s="1">
        <v>44938</v>
      </c>
      <c r="CL904" s="1">
        <v>10.9</v>
      </c>
      <c r="CM904" s="1">
        <v>44938</v>
      </c>
      <c r="CN904" s="1">
        <v>9.5</v>
      </c>
      <c r="CO904" s="1">
        <v>44930</v>
      </c>
      <c r="CP904" s="1">
        <v>10.27</v>
      </c>
      <c r="CQ904" s="1">
        <v>44930</v>
      </c>
      <c r="CR904" s="1">
        <v>9.7050000000000001</v>
      </c>
      <c r="CS904" s="1">
        <v>44930</v>
      </c>
      <c r="CT904" s="1">
        <v>9.2149999999999999</v>
      </c>
    </row>
    <row r="905" spans="31:98" x14ac:dyDescent="0.2">
      <c r="AE905" s="1">
        <v>44929</v>
      </c>
      <c r="AF905" s="1">
        <v>6.75</v>
      </c>
      <c r="AG905" s="1">
        <v>44887</v>
      </c>
      <c r="AH905" s="1">
        <v>7.36</v>
      </c>
      <c r="AI905" s="1">
        <v>44937</v>
      </c>
      <c r="AJ905" s="1">
        <v>6.9180000000000001</v>
      </c>
      <c r="AK905" s="1">
        <v>44937</v>
      </c>
      <c r="AL905" s="1">
        <v>6.9249999999999998</v>
      </c>
      <c r="AM905" s="1">
        <v>44937</v>
      </c>
      <c r="AN905" s="1">
        <v>6.9349999999999996</v>
      </c>
      <c r="AO905" s="1">
        <v>44937</v>
      </c>
      <c r="AP905" s="1">
        <v>6.74</v>
      </c>
      <c r="AQ905" s="1">
        <v>44937</v>
      </c>
      <c r="AR905" s="1">
        <v>6.2649999999999997</v>
      </c>
      <c r="AS905" s="1">
        <v>44937</v>
      </c>
      <c r="AT905" s="1">
        <v>5.74</v>
      </c>
      <c r="AU905" s="1">
        <v>44937</v>
      </c>
      <c r="AV905" s="1">
        <v>5.33</v>
      </c>
      <c r="AW905" s="1">
        <v>44937</v>
      </c>
      <c r="AX905" s="2">
        <v>4.97</v>
      </c>
      <c r="AY905" s="1">
        <v>44937</v>
      </c>
      <c r="AZ905" s="2">
        <v>4.63</v>
      </c>
      <c r="BB905" s="1">
        <v>44868</v>
      </c>
      <c r="BC905" s="1">
        <v>7</v>
      </c>
      <c r="BD905" s="1">
        <v>44887</v>
      </c>
      <c r="BE905" s="1">
        <v>7.26</v>
      </c>
      <c r="BF905" s="1">
        <v>44937</v>
      </c>
      <c r="BG905" s="1">
        <v>7.1550000000000002</v>
      </c>
      <c r="BH905" s="1">
        <v>44937</v>
      </c>
      <c r="BI905" s="1">
        <v>7.1180000000000003</v>
      </c>
      <c r="BJ905" s="1">
        <v>44937</v>
      </c>
      <c r="BK905" s="1">
        <v>7.0750000000000002</v>
      </c>
      <c r="BL905" s="1">
        <v>44937</v>
      </c>
      <c r="BM905" s="1">
        <v>6.78</v>
      </c>
      <c r="BN905" s="1">
        <v>44937</v>
      </c>
      <c r="BO905" s="1">
        <v>6.25</v>
      </c>
      <c r="BP905" s="1">
        <v>44937</v>
      </c>
      <c r="BQ905" s="1">
        <v>5.47</v>
      </c>
      <c r="BR905" s="1">
        <v>44937</v>
      </c>
      <c r="BS905" s="1">
        <v>4.6230000000000002</v>
      </c>
      <c r="BT905" s="1">
        <v>44937</v>
      </c>
      <c r="BU905" s="1">
        <v>3.915</v>
      </c>
      <c r="BV905" s="1">
        <v>44937</v>
      </c>
      <c r="BW905" s="1">
        <v>3.4929999999999999</v>
      </c>
      <c r="BY905" s="1">
        <v>44879</v>
      </c>
      <c r="BZ905" s="1">
        <v>13</v>
      </c>
      <c r="CA905" s="1">
        <v>44879</v>
      </c>
      <c r="CB905" s="1">
        <v>15.71</v>
      </c>
      <c r="CC905" s="1">
        <v>44937</v>
      </c>
      <c r="CD905" s="1">
        <v>15.58</v>
      </c>
      <c r="CE905" s="1">
        <v>44937</v>
      </c>
      <c r="CF905" s="1">
        <v>14.92</v>
      </c>
      <c r="CG905" s="1">
        <v>44937</v>
      </c>
      <c r="CH905" s="1">
        <v>14.2</v>
      </c>
      <c r="CI905" s="1">
        <v>44937</v>
      </c>
      <c r="CJ905" s="1">
        <v>12.5</v>
      </c>
      <c r="CK905" s="1">
        <v>44937</v>
      </c>
      <c r="CL905" s="1">
        <v>11.05</v>
      </c>
      <c r="CM905" s="1">
        <v>44937</v>
      </c>
      <c r="CN905" s="1">
        <v>9.66</v>
      </c>
      <c r="CO905" s="1">
        <v>44929</v>
      </c>
      <c r="CP905" s="1">
        <v>11.04</v>
      </c>
      <c r="CQ905" s="1">
        <v>44929</v>
      </c>
      <c r="CR905" s="1">
        <v>10.47</v>
      </c>
      <c r="CS905" s="1">
        <v>44929</v>
      </c>
      <c r="CT905" s="1">
        <v>9.99</v>
      </c>
    </row>
    <row r="906" spans="31:98" x14ac:dyDescent="0.2">
      <c r="AE906" s="1">
        <v>44928</v>
      </c>
      <c r="AF906" s="1">
        <v>6.75</v>
      </c>
      <c r="AG906" s="1">
        <v>44886</v>
      </c>
      <c r="AH906" s="1">
        <v>7.37</v>
      </c>
      <c r="AI906" s="1">
        <v>44936</v>
      </c>
      <c r="AJ906" s="1">
        <v>6.9279999999999999</v>
      </c>
      <c r="AK906" s="1">
        <v>44936</v>
      </c>
      <c r="AL906" s="1">
        <v>6.9349999999999996</v>
      </c>
      <c r="AM906" s="1">
        <v>44936</v>
      </c>
      <c r="AN906" s="1">
        <v>6.9550000000000001</v>
      </c>
      <c r="AO906" s="1">
        <v>44936</v>
      </c>
      <c r="AP906" s="1">
        <v>6.83</v>
      </c>
      <c r="AQ906" s="1">
        <v>44936</v>
      </c>
      <c r="AR906" s="1">
        <v>6.3449999999999998</v>
      </c>
      <c r="AS906" s="1">
        <v>44936</v>
      </c>
      <c r="AT906" s="1">
        <v>5.83</v>
      </c>
      <c r="AU906" s="1">
        <v>44936</v>
      </c>
      <c r="AV906" s="1">
        <v>5.39</v>
      </c>
      <c r="AW906" s="1">
        <v>44936</v>
      </c>
      <c r="AX906" s="2">
        <v>5.0199999999999996</v>
      </c>
      <c r="AY906" s="1">
        <v>44936</v>
      </c>
      <c r="AZ906" s="2">
        <v>4.6900000000000004</v>
      </c>
      <c r="BB906" s="1">
        <v>44867</v>
      </c>
      <c r="BC906" s="1">
        <v>7</v>
      </c>
      <c r="BD906" s="1">
        <v>44886</v>
      </c>
      <c r="BE906" s="1">
        <v>7.26</v>
      </c>
      <c r="BF906" s="1">
        <v>44936</v>
      </c>
      <c r="BG906" s="1">
        <v>7.1550000000000002</v>
      </c>
      <c r="BH906" s="1">
        <v>44936</v>
      </c>
      <c r="BI906" s="1">
        <v>7.12</v>
      </c>
      <c r="BJ906" s="1">
        <v>44936</v>
      </c>
      <c r="BK906" s="1">
        <v>7.0780000000000003</v>
      </c>
      <c r="BL906" s="1">
        <v>44936</v>
      </c>
      <c r="BM906" s="1">
        <v>6.8049999999999997</v>
      </c>
      <c r="BN906" s="1">
        <v>44936</v>
      </c>
      <c r="BO906" s="1">
        <v>6.3049999999999997</v>
      </c>
      <c r="BP906" s="1">
        <v>44936</v>
      </c>
      <c r="BQ906" s="1">
        <v>5.5549999999999997</v>
      </c>
      <c r="BR906" s="1">
        <v>44936</v>
      </c>
      <c r="BS906" s="1">
        <v>4.72</v>
      </c>
      <c r="BT906" s="1">
        <v>44936</v>
      </c>
      <c r="BU906" s="1">
        <v>4.0599999999999996</v>
      </c>
      <c r="BV906" s="1">
        <v>44936</v>
      </c>
      <c r="BW906" s="1">
        <v>3.6230000000000002</v>
      </c>
      <c r="BY906" s="1">
        <v>44876</v>
      </c>
      <c r="BZ906" s="1">
        <v>13</v>
      </c>
      <c r="CA906" s="1">
        <v>44876</v>
      </c>
      <c r="CB906" s="1">
        <v>15.93</v>
      </c>
      <c r="CC906" s="1">
        <v>44936</v>
      </c>
      <c r="CD906" s="1">
        <v>15.6</v>
      </c>
      <c r="CE906" s="1">
        <v>44936</v>
      </c>
      <c r="CF906" s="1">
        <v>14.901</v>
      </c>
      <c r="CG906" s="1">
        <v>44936</v>
      </c>
      <c r="CH906" s="1">
        <v>14.2</v>
      </c>
      <c r="CI906" s="1">
        <v>44936</v>
      </c>
      <c r="CJ906" s="1">
        <v>12.6</v>
      </c>
      <c r="CK906" s="1">
        <v>44936</v>
      </c>
      <c r="CL906" s="1">
        <v>11.15</v>
      </c>
      <c r="CM906" s="1">
        <v>44936</v>
      </c>
      <c r="CN906" s="1">
        <v>9.91</v>
      </c>
      <c r="CO906" s="1">
        <v>44928</v>
      </c>
      <c r="CP906" s="1">
        <v>11.15</v>
      </c>
      <c r="CQ906" s="1">
        <v>44928</v>
      </c>
      <c r="CR906" s="1">
        <v>10.55</v>
      </c>
      <c r="CS906" s="1">
        <v>44928</v>
      </c>
      <c r="CT906" s="1">
        <v>10.050000000000001</v>
      </c>
    </row>
    <row r="907" spans="31:98" x14ac:dyDescent="0.2">
      <c r="AE907" s="1">
        <v>44925</v>
      </c>
      <c r="AF907" s="1">
        <v>6.75</v>
      </c>
      <c r="AG907" s="1">
        <v>44883</v>
      </c>
      <c r="AH907" s="1">
        <v>7.4</v>
      </c>
      <c r="AI907" s="1">
        <v>44935</v>
      </c>
      <c r="AJ907" s="1">
        <v>6.8810000000000002</v>
      </c>
      <c r="AK907" s="1">
        <v>44935</v>
      </c>
      <c r="AL907" s="1">
        <v>6.92</v>
      </c>
      <c r="AM907" s="1">
        <v>44935</v>
      </c>
      <c r="AN907" s="1">
        <v>6.92</v>
      </c>
      <c r="AO907" s="1">
        <v>44935</v>
      </c>
      <c r="AP907" s="1">
        <v>6.74</v>
      </c>
      <c r="AQ907" s="1">
        <v>44935</v>
      </c>
      <c r="AR907" s="1">
        <v>6.2149999999999999</v>
      </c>
      <c r="AS907" s="1">
        <v>44935</v>
      </c>
      <c r="AT907" s="1">
        <v>5.6749999999999998</v>
      </c>
      <c r="AU907" s="1">
        <v>44935</v>
      </c>
      <c r="AV907" s="1">
        <v>5.18</v>
      </c>
      <c r="AW907" s="1">
        <v>44935</v>
      </c>
      <c r="AX907" s="2">
        <v>4.7750000000000004</v>
      </c>
      <c r="AY907" s="1">
        <v>44935</v>
      </c>
      <c r="AZ907" s="2">
        <v>4.47</v>
      </c>
      <c r="BB907" s="1">
        <v>44866</v>
      </c>
      <c r="BC907" s="1">
        <v>7</v>
      </c>
      <c r="BD907" s="1">
        <v>44883</v>
      </c>
      <c r="BE907" s="1">
        <v>7.26</v>
      </c>
      <c r="BF907" s="1">
        <v>44935</v>
      </c>
      <c r="BG907" s="1">
        <v>7.1449999999999996</v>
      </c>
      <c r="BH907" s="1">
        <v>44935</v>
      </c>
      <c r="BI907" s="1">
        <v>7.1029999999999998</v>
      </c>
      <c r="BJ907" s="1">
        <v>44935</v>
      </c>
      <c r="BK907" s="1">
        <v>7.04</v>
      </c>
      <c r="BL907" s="1">
        <v>44935</v>
      </c>
      <c r="BM907" s="1">
        <v>6.7080000000000002</v>
      </c>
      <c r="BN907" s="1">
        <v>44935</v>
      </c>
      <c r="BO907" s="1">
        <v>6.18</v>
      </c>
      <c r="BP907" s="1">
        <v>44935</v>
      </c>
      <c r="BQ907" s="1">
        <v>5.415</v>
      </c>
      <c r="BR907" s="1">
        <v>44935</v>
      </c>
      <c r="BS907" s="1">
        <v>4.5449999999999999</v>
      </c>
      <c r="BT907" s="1">
        <v>44935</v>
      </c>
      <c r="BU907" s="1">
        <v>3.9550000000000001</v>
      </c>
      <c r="BV907" s="1">
        <v>44935</v>
      </c>
      <c r="BW907" s="1">
        <v>3.5049999999999999</v>
      </c>
      <c r="BY907" s="1">
        <v>44875</v>
      </c>
      <c r="BZ907" s="1">
        <v>13</v>
      </c>
      <c r="CA907" s="1">
        <v>44875</v>
      </c>
      <c r="CB907" s="1">
        <v>16.149999999999999</v>
      </c>
      <c r="CC907" s="1">
        <v>44935</v>
      </c>
      <c r="CD907" s="1">
        <v>15.375</v>
      </c>
      <c r="CE907" s="1">
        <v>44935</v>
      </c>
      <c r="CF907" s="1">
        <v>14.673</v>
      </c>
      <c r="CG907" s="1">
        <v>44935</v>
      </c>
      <c r="CH907" s="1">
        <v>13.95</v>
      </c>
      <c r="CI907" s="1">
        <v>44935</v>
      </c>
      <c r="CJ907" s="1">
        <v>12.35</v>
      </c>
      <c r="CK907" s="1">
        <v>44935</v>
      </c>
      <c r="CL907" s="1">
        <v>10.85</v>
      </c>
      <c r="CM907" s="1">
        <v>44935</v>
      </c>
      <c r="CN907" s="1">
        <v>9.7200000000000006</v>
      </c>
      <c r="CO907" s="1">
        <v>44925</v>
      </c>
      <c r="CP907" s="1">
        <v>11.355</v>
      </c>
      <c r="CQ907" s="1">
        <v>44925</v>
      </c>
      <c r="CR907" s="1">
        <v>10.785</v>
      </c>
      <c r="CS907" s="1">
        <v>44925</v>
      </c>
      <c r="CT907" s="1">
        <v>10.305</v>
      </c>
    </row>
    <row r="908" spans="31:98" x14ac:dyDescent="0.2">
      <c r="AE908" s="1">
        <v>44924</v>
      </c>
      <c r="AF908" s="1">
        <v>6.75</v>
      </c>
      <c r="AG908" s="1">
        <v>44882</v>
      </c>
      <c r="AH908" s="1">
        <v>7.39</v>
      </c>
      <c r="AI908" s="1">
        <v>44932</v>
      </c>
      <c r="AJ908" s="1">
        <v>6.9009999999999998</v>
      </c>
      <c r="AK908" s="1">
        <v>44932</v>
      </c>
      <c r="AL908" s="1">
        <v>6.89</v>
      </c>
      <c r="AM908" s="1">
        <v>44932</v>
      </c>
      <c r="AN908" s="1">
        <v>6.89</v>
      </c>
      <c r="AO908" s="1">
        <v>44932</v>
      </c>
      <c r="AP908" s="1">
        <v>6.79</v>
      </c>
      <c r="AQ908" s="1">
        <v>44932</v>
      </c>
      <c r="AR908" s="1">
        <v>6.34</v>
      </c>
      <c r="AS908" s="1">
        <v>44932</v>
      </c>
      <c r="AT908" s="1">
        <v>5.87</v>
      </c>
      <c r="AU908" s="1">
        <v>44932</v>
      </c>
      <c r="AV908" s="1">
        <v>5.4050000000000002</v>
      </c>
      <c r="AW908" s="1">
        <v>44932</v>
      </c>
      <c r="AX908" s="2">
        <v>5.03</v>
      </c>
      <c r="AY908" s="1">
        <v>44932</v>
      </c>
      <c r="AZ908" s="2">
        <v>4.7050000000000001</v>
      </c>
      <c r="BB908" s="1">
        <v>44865</v>
      </c>
      <c r="BC908" s="1">
        <v>7</v>
      </c>
      <c r="BD908" s="1">
        <v>44881</v>
      </c>
      <c r="BE908" s="1">
        <v>7.25</v>
      </c>
      <c r="BF908" s="1">
        <v>44932</v>
      </c>
      <c r="BG908" s="1">
        <v>7.1449999999999996</v>
      </c>
      <c r="BH908" s="1">
        <v>44932</v>
      </c>
      <c r="BI908" s="1">
        <v>7.1050000000000004</v>
      </c>
      <c r="BJ908" s="1">
        <v>44932</v>
      </c>
      <c r="BK908" s="1">
        <v>7.04</v>
      </c>
      <c r="BL908" s="1">
        <v>44932</v>
      </c>
      <c r="BM908" s="1">
        <v>6.7149999999999999</v>
      </c>
      <c r="BN908" s="1">
        <v>44932</v>
      </c>
      <c r="BO908" s="1">
        <v>6.25</v>
      </c>
      <c r="BP908" s="1">
        <v>44932</v>
      </c>
      <c r="BQ908" s="1">
        <v>5.5049999999999999</v>
      </c>
      <c r="BR908" s="1">
        <v>44932</v>
      </c>
      <c r="BS908" s="1">
        <v>4.6829999999999998</v>
      </c>
      <c r="BT908" s="1">
        <v>44932</v>
      </c>
      <c r="BU908" s="1">
        <v>4.07</v>
      </c>
      <c r="BV908" s="1">
        <v>44932</v>
      </c>
      <c r="BW908" s="1">
        <v>3.62</v>
      </c>
      <c r="BY908" s="1">
        <v>44873</v>
      </c>
      <c r="BZ908" s="1">
        <v>13</v>
      </c>
      <c r="CA908" s="1">
        <v>44874</v>
      </c>
      <c r="CB908" s="1">
        <v>16.260000000000002</v>
      </c>
      <c r="CC908" s="1">
        <v>44932</v>
      </c>
      <c r="CD908" s="1">
        <v>15.38</v>
      </c>
      <c r="CE908" s="1">
        <v>44932</v>
      </c>
      <c r="CF908" s="1">
        <v>14.64</v>
      </c>
      <c r="CG908" s="1">
        <v>44932</v>
      </c>
      <c r="CH908" s="1">
        <v>13.9</v>
      </c>
      <c r="CI908" s="1">
        <v>44932</v>
      </c>
      <c r="CJ908" s="1">
        <v>12.35</v>
      </c>
      <c r="CK908" s="1">
        <v>44932</v>
      </c>
      <c r="CL908" s="1">
        <v>10.8</v>
      </c>
      <c r="CM908" s="1">
        <v>44932</v>
      </c>
      <c r="CN908" s="1">
        <v>9.7050000000000001</v>
      </c>
      <c r="CO908" s="1">
        <v>44924</v>
      </c>
      <c r="CP908" s="1">
        <v>11.355</v>
      </c>
      <c r="CQ908" s="1">
        <v>44924</v>
      </c>
      <c r="CR908" s="1">
        <v>10.785</v>
      </c>
      <c r="CS908" s="1">
        <v>44924</v>
      </c>
      <c r="CT908" s="1">
        <v>10.305</v>
      </c>
    </row>
    <row r="909" spans="31:98" x14ac:dyDescent="0.2">
      <c r="AE909" s="1">
        <v>44923</v>
      </c>
      <c r="AF909" s="1">
        <v>6.75</v>
      </c>
      <c r="AG909" s="1">
        <v>44881</v>
      </c>
      <c r="AH909" s="1">
        <v>7.4</v>
      </c>
      <c r="AI909" s="1">
        <v>44931</v>
      </c>
      <c r="AJ909" s="1">
        <v>6.9009999999999998</v>
      </c>
      <c r="AK909" s="1">
        <v>44931</v>
      </c>
      <c r="AL909" s="1">
        <v>6.89</v>
      </c>
      <c r="AM909" s="1">
        <v>44931</v>
      </c>
      <c r="AN909" s="1">
        <v>6.89</v>
      </c>
      <c r="AO909" s="1">
        <v>44931</v>
      </c>
      <c r="AP909" s="1">
        <v>6.79</v>
      </c>
      <c r="AQ909" s="1">
        <v>44931</v>
      </c>
      <c r="AR909" s="1">
        <v>6.34</v>
      </c>
      <c r="AS909" s="1">
        <v>44931</v>
      </c>
      <c r="AT909" s="1">
        <v>5.87</v>
      </c>
      <c r="AU909" s="1">
        <v>44931</v>
      </c>
      <c r="AV909" s="1">
        <v>5.4050000000000002</v>
      </c>
      <c r="AW909" s="1">
        <v>44931</v>
      </c>
      <c r="AX909" s="2">
        <v>5.03</v>
      </c>
      <c r="AY909" s="1">
        <v>44931</v>
      </c>
      <c r="AZ909" s="2">
        <v>4.7050000000000001</v>
      </c>
      <c r="BB909" s="1">
        <v>44861</v>
      </c>
      <c r="BC909" s="1">
        <v>7</v>
      </c>
      <c r="BD909" s="1">
        <v>44880</v>
      </c>
      <c r="BE909" s="1">
        <v>7.26</v>
      </c>
      <c r="BF909" s="1">
        <v>44931</v>
      </c>
      <c r="BG909" s="1">
        <v>7.1749999999999998</v>
      </c>
      <c r="BH909" s="1">
        <v>44931</v>
      </c>
      <c r="BI909" s="1">
        <v>7.13</v>
      </c>
      <c r="BJ909" s="1">
        <v>44931</v>
      </c>
      <c r="BK909" s="1">
        <v>7.06</v>
      </c>
      <c r="BL909" s="1">
        <v>44931</v>
      </c>
      <c r="BM909" s="1">
        <v>6.77</v>
      </c>
      <c r="BN909" s="1">
        <v>44931</v>
      </c>
      <c r="BO909" s="1">
        <v>6.35</v>
      </c>
      <c r="BP909" s="1">
        <v>44931</v>
      </c>
      <c r="BQ909" s="1">
        <v>5.7</v>
      </c>
      <c r="BR909" s="1">
        <v>44931</v>
      </c>
      <c r="BS909" s="1">
        <v>4.9400000000000004</v>
      </c>
      <c r="BT909" s="1">
        <v>44931</v>
      </c>
      <c r="BU909" s="1">
        <v>4.298</v>
      </c>
      <c r="BV909" s="1">
        <v>44931</v>
      </c>
      <c r="BW909" s="1">
        <v>3.8679999999999999</v>
      </c>
      <c r="BY909" s="1">
        <v>44872</v>
      </c>
      <c r="BZ909" s="1">
        <v>13</v>
      </c>
      <c r="CA909" s="1">
        <v>44873</v>
      </c>
      <c r="CB909" s="1">
        <v>16.39</v>
      </c>
      <c r="CC909" s="1">
        <v>44931</v>
      </c>
      <c r="CD909" s="1">
        <v>15.64</v>
      </c>
      <c r="CE909" s="1">
        <v>44931</v>
      </c>
      <c r="CF909" s="1">
        <v>14.98</v>
      </c>
      <c r="CG909" s="1">
        <v>44931</v>
      </c>
      <c r="CH909" s="1">
        <v>14.35</v>
      </c>
      <c r="CI909" s="1">
        <v>44931</v>
      </c>
      <c r="CJ909" s="1">
        <v>12.9</v>
      </c>
      <c r="CK909" s="1">
        <v>44931</v>
      </c>
      <c r="CL909" s="1">
        <v>11.4</v>
      </c>
      <c r="CM909" s="1">
        <v>44931</v>
      </c>
      <c r="CN909" s="1">
        <v>10.324999999999999</v>
      </c>
      <c r="CO909" s="1">
        <v>44923</v>
      </c>
      <c r="CP909" s="1">
        <v>11.28</v>
      </c>
      <c r="CQ909" s="1">
        <v>44923</v>
      </c>
      <c r="CR909" s="1">
        <v>10.7</v>
      </c>
      <c r="CS909" s="1">
        <v>44923</v>
      </c>
      <c r="CT909" s="1">
        <v>10.17</v>
      </c>
    </row>
    <row r="910" spans="31:98" x14ac:dyDescent="0.2">
      <c r="AE910" s="1">
        <v>44922</v>
      </c>
      <c r="AF910" s="1">
        <v>6.75</v>
      </c>
      <c r="AG910" s="1">
        <v>44880</v>
      </c>
      <c r="AH910" s="1">
        <v>7.42</v>
      </c>
      <c r="AI910" s="1">
        <v>44930</v>
      </c>
      <c r="AJ910" s="1">
        <v>6.923</v>
      </c>
      <c r="AK910" s="1">
        <v>44930</v>
      </c>
      <c r="AL910" s="1">
        <v>6.9649999999999999</v>
      </c>
      <c r="AM910" s="1">
        <v>44930</v>
      </c>
      <c r="AN910" s="1">
        <v>7.02</v>
      </c>
      <c r="AO910" s="1">
        <v>44930</v>
      </c>
      <c r="AP910" s="1">
        <v>7.02</v>
      </c>
      <c r="AQ910" s="1">
        <v>44930</v>
      </c>
      <c r="AR910" s="1">
        <v>6.7350000000000003</v>
      </c>
      <c r="AS910" s="1">
        <v>44930</v>
      </c>
      <c r="AT910" s="1">
        <v>6.29</v>
      </c>
      <c r="AU910" s="1">
        <v>44930</v>
      </c>
      <c r="AV910" s="1">
        <v>5.94</v>
      </c>
      <c r="AW910" s="1">
        <v>44930</v>
      </c>
      <c r="AX910" s="2">
        <v>5.64</v>
      </c>
      <c r="AY910" s="1">
        <v>44930</v>
      </c>
      <c r="AZ910" s="2">
        <v>5.38</v>
      </c>
      <c r="BB910" s="1">
        <v>44860</v>
      </c>
      <c r="BC910" s="1">
        <v>7</v>
      </c>
      <c r="BD910" s="1">
        <v>44879</v>
      </c>
      <c r="BE910" s="1">
        <v>7.26</v>
      </c>
      <c r="BF910" s="1">
        <v>44930</v>
      </c>
      <c r="BG910" s="1">
        <v>7.1749999999999998</v>
      </c>
      <c r="BH910" s="1">
        <v>44930</v>
      </c>
      <c r="BI910" s="1">
        <v>7.1349999999999998</v>
      </c>
      <c r="BJ910" s="1">
        <v>44930</v>
      </c>
      <c r="BK910" s="1">
        <v>7.0650000000000004</v>
      </c>
      <c r="BL910" s="1">
        <v>44930</v>
      </c>
      <c r="BM910" s="1">
        <v>6.85</v>
      </c>
      <c r="BN910" s="1">
        <v>44930</v>
      </c>
      <c r="BO910" s="1">
        <v>6.4450000000000003</v>
      </c>
      <c r="BP910" s="1">
        <v>44930</v>
      </c>
      <c r="BQ910" s="1">
        <v>5.9</v>
      </c>
      <c r="BR910" s="1">
        <v>44930</v>
      </c>
      <c r="BS910" s="1">
        <v>5.26</v>
      </c>
      <c r="BT910" s="1">
        <v>44930</v>
      </c>
      <c r="BU910" s="1">
        <v>4.6399999999999997</v>
      </c>
      <c r="BV910" s="1">
        <v>44930</v>
      </c>
      <c r="BW910" s="1">
        <v>4.24</v>
      </c>
      <c r="BY910" s="1">
        <v>44869</v>
      </c>
      <c r="BZ910" s="1">
        <v>13</v>
      </c>
      <c r="CA910" s="1">
        <v>44872</v>
      </c>
      <c r="CB910" s="1">
        <v>16.47</v>
      </c>
      <c r="CC910" s="1">
        <v>44930</v>
      </c>
      <c r="CD910" s="1">
        <v>15.723000000000001</v>
      </c>
      <c r="CE910" s="1">
        <v>44930</v>
      </c>
      <c r="CF910" s="1">
        <v>15.145</v>
      </c>
      <c r="CG910" s="1">
        <v>44930</v>
      </c>
      <c r="CH910" s="1">
        <v>14.6</v>
      </c>
      <c r="CI910" s="1">
        <v>44930</v>
      </c>
      <c r="CJ910" s="1">
        <v>13.1</v>
      </c>
      <c r="CK910" s="1">
        <v>44930</v>
      </c>
      <c r="CL910" s="1">
        <v>11.65</v>
      </c>
      <c r="CM910" s="1">
        <v>44930</v>
      </c>
      <c r="CN910" s="1">
        <v>10.85</v>
      </c>
      <c r="CO910" s="1">
        <v>44922</v>
      </c>
      <c r="CP910" s="1">
        <v>11.15</v>
      </c>
      <c r="CQ910" s="1">
        <v>44922</v>
      </c>
      <c r="CR910" s="1">
        <v>10.55</v>
      </c>
      <c r="CS910" s="1">
        <v>44922</v>
      </c>
      <c r="CT910" s="1">
        <v>10.050000000000001</v>
      </c>
    </row>
    <row r="911" spans="31:98" x14ac:dyDescent="0.2">
      <c r="AE911" s="1">
        <v>44921</v>
      </c>
      <c r="AF911" s="1">
        <v>6.75</v>
      </c>
      <c r="AG911" s="1">
        <v>44879</v>
      </c>
      <c r="AH911" s="1">
        <v>7.42</v>
      </c>
      <c r="AI911" s="1">
        <v>44929</v>
      </c>
      <c r="AJ911" s="1">
        <v>6.9509999999999996</v>
      </c>
      <c r="AK911" s="1">
        <v>44929</v>
      </c>
      <c r="AL911" s="1">
        <v>7.0049999999999999</v>
      </c>
      <c r="AM911" s="1">
        <v>44929</v>
      </c>
      <c r="AN911" s="1">
        <v>7.0750000000000002</v>
      </c>
      <c r="AO911" s="1">
        <v>44929</v>
      </c>
      <c r="AP911" s="1">
        <v>7.1349999999999998</v>
      </c>
      <c r="AQ911" s="1">
        <v>44929</v>
      </c>
      <c r="AR911" s="1">
        <v>6.9</v>
      </c>
      <c r="AS911" s="1">
        <v>44929</v>
      </c>
      <c r="AT911" s="1">
        <v>6.45</v>
      </c>
      <c r="AU911" s="1">
        <v>44929</v>
      </c>
      <c r="AV911" s="1">
        <v>6.1150000000000002</v>
      </c>
      <c r="AW911" s="1">
        <v>44929</v>
      </c>
      <c r="AX911" s="2">
        <v>5.84</v>
      </c>
      <c r="AY911" s="1">
        <v>44929</v>
      </c>
      <c r="AZ911" s="2">
        <v>5.5949999999999998</v>
      </c>
      <c r="BB911" s="1">
        <v>44859</v>
      </c>
      <c r="BC911" s="1">
        <v>7</v>
      </c>
      <c r="BD911" s="1">
        <v>44876</v>
      </c>
      <c r="BE911" s="1">
        <v>7.26</v>
      </c>
      <c r="BF911" s="1">
        <v>44929</v>
      </c>
      <c r="BG911" s="1">
        <v>7.21</v>
      </c>
      <c r="BH911" s="1">
        <v>44929</v>
      </c>
      <c r="BI911" s="1">
        <v>7.2</v>
      </c>
      <c r="BJ911" s="1">
        <v>44929</v>
      </c>
      <c r="BK911" s="1">
        <v>7.1349999999999998</v>
      </c>
      <c r="BL911" s="1">
        <v>44929</v>
      </c>
      <c r="BM911" s="1">
        <v>6.94</v>
      </c>
      <c r="BN911" s="1">
        <v>44929</v>
      </c>
      <c r="BO911" s="1">
        <v>6.55</v>
      </c>
      <c r="BP911" s="1">
        <v>44929</v>
      </c>
      <c r="BQ911" s="1">
        <v>6.08</v>
      </c>
      <c r="BR911" s="1">
        <v>44929</v>
      </c>
      <c r="BS911" s="1">
        <v>5.5</v>
      </c>
      <c r="BT911" s="1">
        <v>44929</v>
      </c>
      <c r="BU911" s="1">
        <v>4.8949999999999996</v>
      </c>
      <c r="BV911" s="1">
        <v>44929</v>
      </c>
      <c r="BW911" s="1">
        <v>4.5</v>
      </c>
      <c r="BY911" s="1">
        <v>44868</v>
      </c>
      <c r="BZ911" s="1">
        <v>13</v>
      </c>
      <c r="CA911" s="1">
        <v>44869</v>
      </c>
      <c r="CB911" s="1">
        <v>16.559999999999999</v>
      </c>
      <c r="CC911" s="1">
        <v>44929</v>
      </c>
      <c r="CD911" s="1">
        <v>15.909000000000001</v>
      </c>
      <c r="CE911" s="1">
        <v>44929</v>
      </c>
      <c r="CF911" s="1">
        <v>15.513999999999999</v>
      </c>
      <c r="CG911" s="1">
        <v>44929</v>
      </c>
      <c r="CH911" s="1">
        <v>15.1</v>
      </c>
      <c r="CI911" s="1">
        <v>44929</v>
      </c>
      <c r="CJ911" s="1">
        <v>13.7</v>
      </c>
      <c r="CK911" s="1">
        <v>44929</v>
      </c>
      <c r="CL911" s="1">
        <v>12.5</v>
      </c>
      <c r="CM911" s="1">
        <v>44929</v>
      </c>
      <c r="CN911" s="1">
        <v>11.74</v>
      </c>
      <c r="CO911" s="1">
        <v>44921</v>
      </c>
      <c r="CP911" s="1">
        <v>11.15</v>
      </c>
      <c r="CQ911" s="1">
        <v>44921</v>
      </c>
      <c r="CR911" s="1">
        <v>10.55</v>
      </c>
      <c r="CS911" s="1">
        <v>44921</v>
      </c>
      <c r="CT911" s="1">
        <v>10.050000000000001</v>
      </c>
    </row>
    <row r="912" spans="31:98" x14ac:dyDescent="0.2">
      <c r="AE912" s="1">
        <v>44918</v>
      </c>
      <c r="AF912" s="1">
        <v>6.75</v>
      </c>
      <c r="AG912" s="1">
        <v>44875</v>
      </c>
      <c r="AH912" s="1">
        <v>7.5</v>
      </c>
      <c r="AI912" s="1">
        <v>44928</v>
      </c>
      <c r="AJ912" s="1">
        <v>7.0330000000000004</v>
      </c>
      <c r="AK912" s="1">
        <v>44928</v>
      </c>
      <c r="AL912" s="1">
        <v>7.0549999999999997</v>
      </c>
      <c r="AM912" s="1">
        <v>44928</v>
      </c>
      <c r="AN912" s="1">
        <v>7.1375000000000002</v>
      </c>
      <c r="AO912" s="1">
        <v>44928</v>
      </c>
      <c r="AP912" s="1">
        <v>7.2175000000000002</v>
      </c>
      <c r="AQ912" s="1">
        <v>44928</v>
      </c>
      <c r="AR912" s="1">
        <v>7.06</v>
      </c>
      <c r="AS912" s="1">
        <v>44928</v>
      </c>
      <c r="AT912" s="1">
        <v>6.5949999999999998</v>
      </c>
      <c r="AU912" s="1">
        <v>44928</v>
      </c>
      <c r="AV912" s="1">
        <v>6.2824999999999998</v>
      </c>
      <c r="AW912" s="1">
        <v>44928</v>
      </c>
      <c r="AX912" s="2">
        <v>6.0149999999999997</v>
      </c>
      <c r="AY912" s="1">
        <v>44928</v>
      </c>
      <c r="AZ912" s="2">
        <v>5.7750000000000004</v>
      </c>
      <c r="BB912" s="1">
        <v>44858</v>
      </c>
      <c r="BC912" s="1">
        <v>7</v>
      </c>
      <c r="BD912" s="1">
        <v>44875</v>
      </c>
      <c r="BE912" s="1">
        <v>7.28</v>
      </c>
      <c r="BF912" s="1">
        <v>44928</v>
      </c>
      <c r="BG912" s="1">
        <v>7.2030000000000003</v>
      </c>
      <c r="BH912" s="1">
        <v>44928</v>
      </c>
      <c r="BI912" s="1">
        <v>7.1879999999999997</v>
      </c>
      <c r="BJ912" s="1">
        <v>44928</v>
      </c>
      <c r="BK912" s="1">
        <v>7.0979999999999999</v>
      </c>
      <c r="BL912" s="1">
        <v>44928</v>
      </c>
      <c r="BM912" s="1">
        <v>6.923</v>
      </c>
      <c r="BN912" s="1">
        <v>44928</v>
      </c>
      <c r="BO912" s="1">
        <v>6.53</v>
      </c>
      <c r="BP912" s="1">
        <v>44928</v>
      </c>
      <c r="BQ912" s="1">
        <v>6.1130000000000004</v>
      </c>
      <c r="BR912" s="1">
        <v>44928</v>
      </c>
      <c r="BS912" s="1">
        <v>5.62</v>
      </c>
      <c r="BT912" s="1">
        <v>44928</v>
      </c>
      <c r="BU912" s="1">
        <v>5.0449999999999999</v>
      </c>
      <c r="BV912" s="1">
        <v>44928</v>
      </c>
      <c r="BW912" s="1">
        <v>4.6449999999999996</v>
      </c>
      <c r="BY912" s="1">
        <v>44867</v>
      </c>
      <c r="BZ912" s="1">
        <v>13</v>
      </c>
      <c r="CA912" s="1">
        <v>44868</v>
      </c>
      <c r="CB912" s="1">
        <v>16.63</v>
      </c>
      <c r="CC912" s="1">
        <v>44928</v>
      </c>
      <c r="CD912" s="1">
        <v>16.183</v>
      </c>
      <c r="CE912" s="1">
        <v>44928</v>
      </c>
      <c r="CF912" s="1">
        <v>15.714</v>
      </c>
      <c r="CG912" s="1">
        <v>44928</v>
      </c>
      <c r="CH912" s="1">
        <v>15.4</v>
      </c>
      <c r="CI912" s="1">
        <v>44928</v>
      </c>
      <c r="CJ912" s="1">
        <v>14.1</v>
      </c>
      <c r="CK912" s="1">
        <v>44928</v>
      </c>
      <c r="CL912" s="1">
        <v>12.9</v>
      </c>
      <c r="CM912" s="1">
        <v>44928</v>
      </c>
      <c r="CN912" s="1">
        <v>12.055</v>
      </c>
      <c r="CO912" s="1">
        <v>44918</v>
      </c>
      <c r="CP912" s="1">
        <v>11.18</v>
      </c>
      <c r="CQ912" s="1">
        <v>44918</v>
      </c>
      <c r="CR912" s="1">
        <v>10.6</v>
      </c>
      <c r="CS912" s="1">
        <v>44918</v>
      </c>
      <c r="CT912" s="1">
        <v>10.050000000000001</v>
      </c>
    </row>
    <row r="913" spans="31:98" x14ac:dyDescent="0.2">
      <c r="AE913" s="1">
        <v>44917</v>
      </c>
      <c r="AF913" s="1">
        <v>6.75</v>
      </c>
      <c r="AG913" s="1">
        <v>44874</v>
      </c>
      <c r="AH913" s="1">
        <v>7.59</v>
      </c>
      <c r="AI913" s="1">
        <v>44925</v>
      </c>
      <c r="AJ913" s="1">
        <v>7.0330000000000004</v>
      </c>
      <c r="AK913" s="1">
        <v>44925</v>
      </c>
      <c r="AL913" s="1">
        <v>7.0549999999999997</v>
      </c>
      <c r="AM913" s="1">
        <v>44925</v>
      </c>
      <c r="AN913" s="1">
        <v>7.1375000000000002</v>
      </c>
      <c r="AO913" s="1">
        <v>44925</v>
      </c>
      <c r="AP913" s="1">
        <v>7.2175000000000002</v>
      </c>
      <c r="AQ913" s="1">
        <v>44925</v>
      </c>
      <c r="AR913" s="1">
        <v>7.06</v>
      </c>
      <c r="AS913" s="1">
        <v>44925</v>
      </c>
      <c r="AT913" s="1">
        <v>6.5949999999999998</v>
      </c>
      <c r="AU913" s="1">
        <v>44925</v>
      </c>
      <c r="AV913" s="1">
        <v>6.2824999999999998</v>
      </c>
      <c r="AW913" s="1">
        <v>44925</v>
      </c>
      <c r="AX913" s="2">
        <v>6.0149999999999997</v>
      </c>
      <c r="AY913" s="1">
        <v>44925</v>
      </c>
      <c r="AZ913" s="2">
        <v>5.7750000000000004</v>
      </c>
      <c r="BB913" s="1">
        <v>44855</v>
      </c>
      <c r="BC913" s="1">
        <v>7</v>
      </c>
      <c r="BD913" s="1">
        <v>44874</v>
      </c>
      <c r="BE913" s="1">
        <v>7.29</v>
      </c>
      <c r="BF913" s="1">
        <v>44925</v>
      </c>
      <c r="BG913" s="1">
        <v>7.22</v>
      </c>
      <c r="BH913" s="1">
        <v>44925</v>
      </c>
      <c r="BI913" s="1">
        <v>7.1879999999999997</v>
      </c>
      <c r="BJ913" s="1">
        <v>44925</v>
      </c>
      <c r="BK913" s="1">
        <v>7.0979999999999999</v>
      </c>
      <c r="BL913" s="1">
        <v>44925</v>
      </c>
      <c r="BM913" s="1">
        <v>6.923</v>
      </c>
      <c r="BN913" s="1">
        <v>44925</v>
      </c>
      <c r="BO913" s="1">
        <v>6.53</v>
      </c>
      <c r="BP913" s="1">
        <v>44925</v>
      </c>
      <c r="BQ913" s="1">
        <v>6.1130000000000004</v>
      </c>
      <c r="BR913" s="1">
        <v>44925</v>
      </c>
      <c r="BS913" s="1">
        <v>5.62</v>
      </c>
      <c r="BT913" s="1">
        <v>44925</v>
      </c>
      <c r="BU913" s="1">
        <v>5.0449999999999999</v>
      </c>
      <c r="BV913" s="1">
        <v>44925</v>
      </c>
      <c r="BW913" s="1">
        <v>4.6449999999999996</v>
      </c>
      <c r="BY913" s="1">
        <v>44866</v>
      </c>
      <c r="BZ913" s="1">
        <v>13</v>
      </c>
      <c r="CA913" s="1">
        <v>44867</v>
      </c>
      <c r="CB913" s="1">
        <v>16.73</v>
      </c>
      <c r="CC913" s="1">
        <v>44925</v>
      </c>
      <c r="CD913" s="1">
        <v>16.18</v>
      </c>
      <c r="CE913" s="1">
        <v>44925</v>
      </c>
      <c r="CF913" s="1">
        <v>15.72</v>
      </c>
      <c r="CG913" s="1">
        <v>44925</v>
      </c>
      <c r="CH913" s="1">
        <v>15.4</v>
      </c>
      <c r="CI913" s="1">
        <v>44925</v>
      </c>
      <c r="CJ913" s="1">
        <v>14.1</v>
      </c>
      <c r="CK913" s="1">
        <v>44925</v>
      </c>
      <c r="CL913" s="1">
        <v>12.9</v>
      </c>
      <c r="CM913" s="1">
        <v>44925</v>
      </c>
      <c r="CN913" s="1">
        <v>12.055</v>
      </c>
      <c r="CO913" s="1">
        <v>44917</v>
      </c>
      <c r="CP913" s="1">
        <v>11.18</v>
      </c>
      <c r="CQ913" s="1">
        <v>44917</v>
      </c>
      <c r="CR913" s="1">
        <v>10.6</v>
      </c>
      <c r="CS913" s="1">
        <v>44917</v>
      </c>
      <c r="CT913" s="1">
        <v>10.050000000000001</v>
      </c>
    </row>
    <row r="914" spans="31:98" x14ac:dyDescent="0.2">
      <c r="AE914" s="1">
        <v>44916</v>
      </c>
      <c r="AF914" s="1">
        <v>6.75</v>
      </c>
      <c r="AG914" s="1">
        <v>44873</v>
      </c>
      <c r="AH914" s="1">
        <v>7.59</v>
      </c>
      <c r="AI914" s="1">
        <v>44924</v>
      </c>
      <c r="AJ914" s="1">
        <v>7.0830000000000002</v>
      </c>
      <c r="AK914" s="1">
        <v>44924</v>
      </c>
      <c r="AL914" s="1">
        <v>7.0949999999999998</v>
      </c>
      <c r="AM914" s="1">
        <v>44924</v>
      </c>
      <c r="AN914" s="1">
        <v>7.1775000000000002</v>
      </c>
      <c r="AO914" s="1">
        <v>44924</v>
      </c>
      <c r="AP914" s="1">
        <v>7.2575000000000003</v>
      </c>
      <c r="AQ914" s="1">
        <v>44924</v>
      </c>
      <c r="AR914" s="1">
        <v>7.0750000000000002</v>
      </c>
      <c r="AS914" s="1">
        <v>44924</v>
      </c>
      <c r="AT914" s="1">
        <v>6.7350000000000003</v>
      </c>
      <c r="AU914" s="1">
        <v>44924</v>
      </c>
      <c r="AV914" s="1">
        <v>6.4050000000000002</v>
      </c>
      <c r="AW914" s="1">
        <v>44924</v>
      </c>
      <c r="AX914" s="2">
        <v>6.0975000000000001</v>
      </c>
      <c r="AY914" s="1">
        <v>44924</v>
      </c>
      <c r="AZ914" s="2">
        <v>5.8250000000000002</v>
      </c>
      <c r="BB914" s="1">
        <v>44854</v>
      </c>
      <c r="BC914" s="1">
        <v>7</v>
      </c>
      <c r="BD914" s="1">
        <v>44873</v>
      </c>
      <c r="BE914" s="1">
        <v>7.3</v>
      </c>
      <c r="BF914" s="1">
        <v>44924</v>
      </c>
      <c r="BG914" s="1">
        <v>7.1950000000000003</v>
      </c>
      <c r="BH914" s="1">
        <v>44924</v>
      </c>
      <c r="BI914" s="1">
        <v>7.1879999999999997</v>
      </c>
      <c r="BJ914" s="1">
        <v>44924</v>
      </c>
      <c r="BK914" s="1">
        <v>7.1050000000000004</v>
      </c>
      <c r="BL914" s="1">
        <v>44924</v>
      </c>
      <c r="BM914" s="1">
        <v>6.9580000000000002</v>
      </c>
      <c r="BN914" s="1">
        <v>44924</v>
      </c>
      <c r="BO914" s="1">
        <v>6.6449999999999996</v>
      </c>
      <c r="BP914" s="1">
        <v>44924</v>
      </c>
      <c r="BQ914" s="1">
        <v>6.11</v>
      </c>
      <c r="BR914" s="1">
        <v>44924</v>
      </c>
      <c r="BS914" s="1">
        <v>5.593</v>
      </c>
      <c r="BT914" s="1">
        <v>44924</v>
      </c>
      <c r="BU914" s="1">
        <v>4.95</v>
      </c>
      <c r="BV914" s="1">
        <v>44924</v>
      </c>
      <c r="BW914" s="1">
        <v>4.5579999999999998</v>
      </c>
      <c r="BY914" s="1">
        <v>44865</v>
      </c>
      <c r="BZ914" s="1">
        <v>13</v>
      </c>
      <c r="CA914" s="1">
        <v>44862</v>
      </c>
      <c r="CB914" s="1">
        <v>16.760000000000002</v>
      </c>
      <c r="CC914" s="1">
        <v>44924</v>
      </c>
      <c r="CD914" s="1">
        <v>16.2</v>
      </c>
      <c r="CE914" s="1">
        <v>44924</v>
      </c>
      <c r="CF914" s="1">
        <v>15.75</v>
      </c>
      <c r="CG914" s="1">
        <v>44924</v>
      </c>
      <c r="CH914" s="1">
        <v>15.4</v>
      </c>
      <c r="CI914" s="1">
        <v>44924</v>
      </c>
      <c r="CJ914" s="1">
        <v>14.1</v>
      </c>
      <c r="CK914" s="1">
        <v>44924</v>
      </c>
      <c r="CL914" s="1">
        <v>12.9</v>
      </c>
      <c r="CM914" s="1">
        <v>44924</v>
      </c>
      <c r="CN914" s="1">
        <v>12.055</v>
      </c>
      <c r="CO914" s="1">
        <v>44916</v>
      </c>
      <c r="CP914" s="1">
        <v>11.19</v>
      </c>
      <c r="CQ914" s="1">
        <v>44916</v>
      </c>
      <c r="CR914" s="1">
        <v>10.61</v>
      </c>
      <c r="CS914" s="1">
        <v>44916</v>
      </c>
      <c r="CT914" s="1">
        <v>10.06</v>
      </c>
    </row>
    <row r="915" spans="31:98" x14ac:dyDescent="0.2">
      <c r="AE915" s="1">
        <v>44915</v>
      </c>
      <c r="AF915" s="1">
        <v>6.75</v>
      </c>
      <c r="AG915" s="1">
        <v>44872</v>
      </c>
      <c r="AH915" s="1">
        <v>7.61</v>
      </c>
      <c r="AI915" s="1">
        <v>44923</v>
      </c>
      <c r="AJ915" s="1">
        <v>7.0759999999999996</v>
      </c>
      <c r="AK915" s="1">
        <v>44923</v>
      </c>
      <c r="AL915" s="1">
        <v>7.1150000000000002</v>
      </c>
      <c r="AM915" s="1">
        <v>44923</v>
      </c>
      <c r="AN915" s="1">
        <v>7.1950000000000003</v>
      </c>
      <c r="AO915" s="1">
        <v>44923</v>
      </c>
      <c r="AP915" s="1">
        <v>7.26</v>
      </c>
      <c r="AQ915" s="1">
        <v>44923</v>
      </c>
      <c r="AR915" s="1">
        <v>7.0925000000000002</v>
      </c>
      <c r="AS915" s="1">
        <v>44923</v>
      </c>
      <c r="AT915" s="1">
        <v>6.74</v>
      </c>
      <c r="AU915" s="1">
        <v>44923</v>
      </c>
      <c r="AV915" s="1">
        <v>6.4074999999999998</v>
      </c>
      <c r="AW915" s="1">
        <v>44923</v>
      </c>
      <c r="AX915" s="2">
        <v>6.1</v>
      </c>
      <c r="AY915" s="1">
        <v>44923</v>
      </c>
      <c r="AZ915" s="2">
        <v>5.82</v>
      </c>
      <c r="BB915" s="1">
        <v>44853</v>
      </c>
      <c r="BC915" s="1">
        <v>7</v>
      </c>
      <c r="BD915" s="1">
        <v>44872</v>
      </c>
      <c r="BE915" s="1">
        <v>7.3</v>
      </c>
      <c r="BF915" s="1">
        <v>44923</v>
      </c>
      <c r="BG915" s="1">
        <v>7.2050000000000001</v>
      </c>
      <c r="BH915" s="1">
        <v>44923</v>
      </c>
      <c r="BI915" s="1">
        <v>7.2149999999999999</v>
      </c>
      <c r="BJ915" s="1">
        <v>44923</v>
      </c>
      <c r="BK915" s="1">
        <v>7.19</v>
      </c>
      <c r="BL915" s="1">
        <v>44923</v>
      </c>
      <c r="BM915" s="1">
        <v>6.92</v>
      </c>
      <c r="BN915" s="1">
        <v>44923</v>
      </c>
      <c r="BO915" s="1">
        <v>6.6150000000000002</v>
      </c>
      <c r="BP915" s="1">
        <v>44923</v>
      </c>
      <c r="BQ915" s="1">
        <v>5.99</v>
      </c>
      <c r="BR915" s="1">
        <v>44923</v>
      </c>
      <c r="BS915" s="1">
        <v>5.43</v>
      </c>
      <c r="BT915" s="1">
        <v>44923</v>
      </c>
      <c r="BU915" s="1">
        <v>4.7850000000000001</v>
      </c>
      <c r="BV915" s="1">
        <v>44923</v>
      </c>
      <c r="BW915" s="1">
        <v>4.41</v>
      </c>
      <c r="BY915" s="1">
        <v>44862</v>
      </c>
      <c r="BZ915" s="1">
        <v>13</v>
      </c>
      <c r="CA915" s="1">
        <v>44861</v>
      </c>
      <c r="CB915" s="1">
        <v>16.760000000000002</v>
      </c>
      <c r="CC915" s="1">
        <v>44923</v>
      </c>
      <c r="CD915" s="1">
        <v>16.05</v>
      </c>
      <c r="CE915" s="1">
        <v>44923</v>
      </c>
      <c r="CF915" s="1">
        <v>15.65</v>
      </c>
      <c r="CG915" s="1">
        <v>44923</v>
      </c>
      <c r="CH915" s="1">
        <v>15.3</v>
      </c>
      <c r="CI915" s="1">
        <v>44923</v>
      </c>
      <c r="CJ915" s="1">
        <v>14.05</v>
      </c>
      <c r="CK915" s="1">
        <v>44923</v>
      </c>
      <c r="CL915" s="1">
        <v>12.75</v>
      </c>
      <c r="CM915" s="1">
        <v>44923</v>
      </c>
      <c r="CN915" s="1">
        <v>11.96</v>
      </c>
      <c r="CO915" s="1">
        <v>44915</v>
      </c>
      <c r="CP915" s="1">
        <v>11.11</v>
      </c>
      <c r="CQ915" s="1">
        <v>44915</v>
      </c>
      <c r="CR915" s="1">
        <v>10.53</v>
      </c>
      <c r="CS915" s="1">
        <v>44915</v>
      </c>
      <c r="CT915" s="1">
        <v>9.98</v>
      </c>
    </row>
    <row r="916" spans="31:98" x14ac:dyDescent="0.2">
      <c r="AE916" s="1">
        <v>44914</v>
      </c>
      <c r="AF916" s="1">
        <v>6.75</v>
      </c>
      <c r="AG916" s="1">
        <v>44869</v>
      </c>
      <c r="AH916" s="1">
        <v>7.59</v>
      </c>
      <c r="AI916" s="1">
        <v>44922</v>
      </c>
      <c r="AJ916" s="1">
        <v>7.0430000000000001</v>
      </c>
      <c r="AK916" s="1">
        <v>44922</v>
      </c>
      <c r="AL916" s="1">
        <v>7.1139999999999999</v>
      </c>
      <c r="AM916" s="1">
        <v>44922</v>
      </c>
      <c r="AN916" s="1">
        <v>7.2</v>
      </c>
      <c r="AO916" s="1">
        <v>44922</v>
      </c>
      <c r="AP916" s="1">
        <v>7.2450000000000001</v>
      </c>
      <c r="AQ916" s="1">
        <v>44922</v>
      </c>
      <c r="AR916" s="1">
        <v>7.08</v>
      </c>
      <c r="AS916" s="1">
        <v>44922</v>
      </c>
      <c r="AT916" s="1">
        <v>6.66</v>
      </c>
      <c r="AU916" s="1">
        <v>44922</v>
      </c>
      <c r="AV916" s="1">
        <v>6.32</v>
      </c>
      <c r="AW916" s="1">
        <v>44922</v>
      </c>
      <c r="AX916" s="2">
        <v>6.07</v>
      </c>
      <c r="AY916" s="1">
        <v>44922</v>
      </c>
      <c r="AZ916" s="2">
        <v>5.79</v>
      </c>
      <c r="BB916" s="1">
        <v>44852</v>
      </c>
      <c r="BC916" s="1">
        <v>7</v>
      </c>
      <c r="BD916" s="1">
        <v>44869</v>
      </c>
      <c r="BE916" s="1">
        <v>7.31</v>
      </c>
      <c r="BF916" s="1">
        <v>44922</v>
      </c>
      <c r="BG916" s="1">
        <v>7.2249999999999996</v>
      </c>
      <c r="BH916" s="1">
        <v>44922</v>
      </c>
      <c r="BI916" s="1">
        <v>7.202</v>
      </c>
      <c r="BJ916" s="1">
        <v>44922</v>
      </c>
      <c r="BK916" s="1">
        <v>7.1749999999999998</v>
      </c>
      <c r="BL916" s="1">
        <v>44922</v>
      </c>
      <c r="BM916" s="1">
        <v>6.883</v>
      </c>
      <c r="BN916" s="1">
        <v>44922</v>
      </c>
      <c r="BO916" s="1">
        <v>6.5629999999999997</v>
      </c>
      <c r="BP916" s="1">
        <v>44922</v>
      </c>
      <c r="BQ916" s="1">
        <v>5.92</v>
      </c>
      <c r="BR916" s="1">
        <v>44922</v>
      </c>
      <c r="BS916" s="1">
        <v>5.3550000000000004</v>
      </c>
      <c r="BT916" s="1">
        <v>44922</v>
      </c>
      <c r="BU916" s="1">
        <v>4.7149999999999999</v>
      </c>
      <c r="BV916" s="1">
        <v>44922</v>
      </c>
      <c r="BW916" s="1">
        <v>4.335</v>
      </c>
      <c r="BY916" s="1">
        <v>44861</v>
      </c>
      <c r="BZ916" s="1">
        <v>13</v>
      </c>
      <c r="CA916" s="1">
        <v>44860</v>
      </c>
      <c r="CB916" s="1">
        <v>16.760000000000002</v>
      </c>
      <c r="CC916" s="1">
        <v>44922</v>
      </c>
      <c r="CD916" s="1">
        <v>16.09</v>
      </c>
      <c r="CE916" s="1">
        <v>44922</v>
      </c>
      <c r="CF916" s="1">
        <v>15.67</v>
      </c>
      <c r="CG916" s="1">
        <v>44922</v>
      </c>
      <c r="CH916" s="1">
        <v>15.3</v>
      </c>
      <c r="CI916" s="1">
        <v>44922</v>
      </c>
      <c r="CJ916" s="1">
        <v>14.05</v>
      </c>
      <c r="CK916" s="1">
        <v>44922</v>
      </c>
      <c r="CL916" s="1">
        <v>12.75</v>
      </c>
      <c r="CM916" s="1">
        <v>44922</v>
      </c>
      <c r="CN916" s="1">
        <v>12.365</v>
      </c>
      <c r="CO916" s="1">
        <v>44914</v>
      </c>
      <c r="CP916" s="1">
        <v>10.77</v>
      </c>
      <c r="CQ916" s="1">
        <v>44914</v>
      </c>
      <c r="CR916" s="1">
        <v>10.210000000000001</v>
      </c>
      <c r="CS916" s="1">
        <v>44914</v>
      </c>
      <c r="CT916" s="1">
        <v>9.64</v>
      </c>
    </row>
    <row r="917" spans="31:98" x14ac:dyDescent="0.2">
      <c r="AE917" s="1">
        <v>44911</v>
      </c>
      <c r="AF917" s="1">
        <v>6.75</v>
      </c>
      <c r="AG917" s="1">
        <v>44868</v>
      </c>
      <c r="AH917" s="1">
        <v>7.56</v>
      </c>
      <c r="AI917" s="1">
        <v>44921</v>
      </c>
      <c r="AJ917" s="1">
        <v>7.0579999999999998</v>
      </c>
      <c r="AK917" s="1">
        <v>44921</v>
      </c>
      <c r="AL917" s="1">
        <v>7.1449999999999996</v>
      </c>
      <c r="AM917" s="1">
        <v>44921</v>
      </c>
      <c r="AN917" s="1">
        <v>7.2</v>
      </c>
      <c r="AO917" s="1">
        <v>44921</v>
      </c>
      <c r="AP917" s="1">
        <v>7.2450000000000001</v>
      </c>
      <c r="AQ917" s="1">
        <v>44921</v>
      </c>
      <c r="AR917" s="1">
        <v>7.08</v>
      </c>
      <c r="AS917" s="1">
        <v>44921</v>
      </c>
      <c r="AT917" s="1">
        <v>6.66</v>
      </c>
      <c r="AU917" s="1">
        <v>44921</v>
      </c>
      <c r="AV917" s="1">
        <v>6.32</v>
      </c>
      <c r="AW917" s="1">
        <v>44921</v>
      </c>
      <c r="AX917" s="2">
        <v>6.07</v>
      </c>
      <c r="AY917" s="1">
        <v>44921</v>
      </c>
      <c r="AZ917" s="2">
        <v>5.79</v>
      </c>
      <c r="BB917" s="1">
        <v>44851</v>
      </c>
      <c r="BC917" s="1">
        <v>7</v>
      </c>
      <c r="BD917" s="1">
        <v>44868</v>
      </c>
      <c r="BE917" s="1">
        <v>7.31</v>
      </c>
      <c r="BF917" s="1">
        <v>44921</v>
      </c>
      <c r="BG917" s="1">
        <v>7.2249999999999996</v>
      </c>
      <c r="BH917" s="1">
        <v>44921</v>
      </c>
      <c r="BI917" s="1">
        <v>7.202</v>
      </c>
      <c r="BJ917" s="1">
        <v>44921</v>
      </c>
      <c r="BK917" s="1">
        <v>7.1749999999999998</v>
      </c>
      <c r="BL917" s="1">
        <v>44921</v>
      </c>
      <c r="BM917" s="1">
        <v>6.883</v>
      </c>
      <c r="BN917" s="1">
        <v>44921</v>
      </c>
      <c r="BO917" s="1">
        <v>6.5629999999999997</v>
      </c>
      <c r="BP917" s="1">
        <v>44921</v>
      </c>
      <c r="BQ917" s="1">
        <v>5.92</v>
      </c>
      <c r="BR917" s="1">
        <v>44921</v>
      </c>
      <c r="BS917" s="1">
        <v>5.3550000000000004</v>
      </c>
      <c r="BT917" s="1">
        <v>44921</v>
      </c>
      <c r="BU917" s="1">
        <v>4.7149999999999999</v>
      </c>
      <c r="BV917" s="1">
        <v>44921</v>
      </c>
      <c r="BW917" s="1">
        <v>4.335</v>
      </c>
      <c r="BY917" s="1">
        <v>44860</v>
      </c>
      <c r="BZ917" s="1">
        <v>13</v>
      </c>
      <c r="CA917" s="1">
        <v>44859</v>
      </c>
      <c r="CB917" s="1">
        <v>16.75</v>
      </c>
      <c r="CC917" s="1">
        <v>44921</v>
      </c>
      <c r="CD917" s="1">
        <v>16.124600000000001</v>
      </c>
      <c r="CE917" s="1">
        <v>44921</v>
      </c>
      <c r="CF917" s="1">
        <v>15.708500000000001</v>
      </c>
      <c r="CG917" s="1">
        <v>44921</v>
      </c>
      <c r="CH917" s="1">
        <v>15.337199999999999</v>
      </c>
      <c r="CI917" s="1">
        <v>44921</v>
      </c>
      <c r="CJ917" s="1">
        <v>14.094099999999999</v>
      </c>
      <c r="CK917" s="1">
        <v>44921</v>
      </c>
      <c r="CL917" s="1">
        <v>12.786099999999999</v>
      </c>
      <c r="CM917" s="1">
        <v>44921</v>
      </c>
      <c r="CN917" s="1">
        <v>12.365</v>
      </c>
      <c r="CO917" s="1">
        <v>44911</v>
      </c>
      <c r="CP917" s="1">
        <v>10.76</v>
      </c>
      <c r="CQ917" s="1">
        <v>44911</v>
      </c>
      <c r="CR917" s="1">
        <v>10.199999999999999</v>
      </c>
      <c r="CS917" s="1">
        <v>44911</v>
      </c>
      <c r="CT917" s="1">
        <v>9.65</v>
      </c>
    </row>
    <row r="918" spans="31:98" x14ac:dyDescent="0.2">
      <c r="AE918" s="1">
        <v>44910</v>
      </c>
      <c r="AF918" s="1">
        <v>6.75</v>
      </c>
      <c r="AG918" s="1">
        <v>44867</v>
      </c>
      <c r="AH918" s="1">
        <v>7.53</v>
      </c>
      <c r="AI918" s="1">
        <v>44918</v>
      </c>
      <c r="AJ918" s="1">
        <v>7.0434999999999999</v>
      </c>
      <c r="AK918" s="1">
        <v>44918</v>
      </c>
      <c r="AL918" s="1">
        <v>7.1449999999999996</v>
      </c>
      <c r="AM918" s="1">
        <v>44918</v>
      </c>
      <c r="AN918" s="1">
        <v>7.2</v>
      </c>
      <c r="AO918" s="1">
        <v>44918</v>
      </c>
      <c r="AP918" s="1">
        <v>7.2450000000000001</v>
      </c>
      <c r="AQ918" s="1">
        <v>44918</v>
      </c>
      <c r="AR918" s="1">
        <v>7.08</v>
      </c>
      <c r="AS918" s="1">
        <v>44918</v>
      </c>
      <c r="AT918" s="1">
        <v>6.66</v>
      </c>
      <c r="AU918" s="1">
        <v>44918</v>
      </c>
      <c r="AV918" s="1">
        <v>6.32</v>
      </c>
      <c r="AW918" s="1">
        <v>44918</v>
      </c>
      <c r="AX918" s="2">
        <v>6.07</v>
      </c>
      <c r="AY918" s="1">
        <v>44918</v>
      </c>
      <c r="AZ918" s="2">
        <v>5.79</v>
      </c>
      <c r="BB918" s="1">
        <v>44848</v>
      </c>
      <c r="BC918" s="1">
        <v>7</v>
      </c>
      <c r="BD918" s="1">
        <v>44867</v>
      </c>
      <c r="BE918" s="1">
        <v>7.31</v>
      </c>
      <c r="BF918" s="1">
        <v>44918</v>
      </c>
      <c r="BG918" s="1">
        <v>7.2050000000000001</v>
      </c>
      <c r="BH918" s="1">
        <v>44918</v>
      </c>
      <c r="BI918" s="1">
        <v>7.2</v>
      </c>
      <c r="BJ918" s="1">
        <v>44918</v>
      </c>
      <c r="BK918" s="1">
        <v>7.1749999999999998</v>
      </c>
      <c r="BL918" s="1">
        <v>44918</v>
      </c>
      <c r="BM918" s="1">
        <v>6.883</v>
      </c>
      <c r="BN918" s="1">
        <v>44918</v>
      </c>
      <c r="BO918" s="1">
        <v>6.55</v>
      </c>
      <c r="BP918" s="1">
        <v>44918</v>
      </c>
      <c r="BQ918" s="1">
        <v>5.92</v>
      </c>
      <c r="BR918" s="1">
        <v>44918</v>
      </c>
      <c r="BS918" s="1">
        <v>5.3550000000000004</v>
      </c>
      <c r="BT918" s="1">
        <v>44918</v>
      </c>
      <c r="BU918" s="1">
        <v>4.7149999999999999</v>
      </c>
      <c r="BV918" s="1">
        <v>44918</v>
      </c>
      <c r="BW918" s="1">
        <v>4.335</v>
      </c>
      <c r="BY918" s="1">
        <v>44859</v>
      </c>
      <c r="BZ918" s="1">
        <v>13</v>
      </c>
      <c r="CA918" s="1">
        <v>44858</v>
      </c>
      <c r="CB918" s="1">
        <v>16.75</v>
      </c>
      <c r="CC918" s="1">
        <v>44918</v>
      </c>
      <c r="CD918" s="1">
        <v>16.09</v>
      </c>
      <c r="CE918" s="1">
        <v>44918</v>
      </c>
      <c r="CF918" s="1">
        <v>15.664999999999999</v>
      </c>
      <c r="CG918" s="1">
        <v>44918</v>
      </c>
      <c r="CH918" s="1">
        <v>15.3</v>
      </c>
      <c r="CI918" s="1">
        <v>44918</v>
      </c>
      <c r="CJ918" s="1">
        <v>14.05</v>
      </c>
      <c r="CK918" s="1">
        <v>44918</v>
      </c>
      <c r="CL918" s="1">
        <v>12.75</v>
      </c>
      <c r="CM918" s="1">
        <v>44918</v>
      </c>
      <c r="CN918" s="1">
        <v>11.955</v>
      </c>
      <c r="CO918" s="1">
        <v>44910</v>
      </c>
      <c r="CP918" s="1">
        <v>10.56</v>
      </c>
      <c r="CQ918" s="1">
        <v>44910</v>
      </c>
      <c r="CR918" s="1">
        <v>10.11</v>
      </c>
      <c r="CS918" s="1">
        <v>44910</v>
      </c>
      <c r="CT918" s="1">
        <v>9.56</v>
      </c>
    </row>
    <row r="919" spans="31:98" x14ac:dyDescent="0.2">
      <c r="AE919" s="1">
        <v>44909</v>
      </c>
      <c r="AF919" s="1">
        <v>6.75</v>
      </c>
      <c r="AG919" s="1">
        <v>44865</v>
      </c>
      <c r="AH919" s="1">
        <v>7.51</v>
      </c>
      <c r="AI919" s="1">
        <v>44917</v>
      </c>
      <c r="AJ919" s="1">
        <v>7.0454999999999997</v>
      </c>
      <c r="AK919" s="1">
        <v>44917</v>
      </c>
      <c r="AL919" s="1">
        <v>7.12</v>
      </c>
      <c r="AM919" s="1">
        <v>44917</v>
      </c>
      <c r="AN919" s="1">
        <v>7.17</v>
      </c>
      <c r="AO919" s="1">
        <v>44917</v>
      </c>
      <c r="AP919" s="1">
        <v>7.23</v>
      </c>
      <c r="AQ919" s="1">
        <v>44917</v>
      </c>
      <c r="AR919" s="1">
        <v>7.03</v>
      </c>
      <c r="AS919" s="1">
        <v>44917</v>
      </c>
      <c r="AT919" s="1">
        <v>6.5949999999999998</v>
      </c>
      <c r="AU919" s="1">
        <v>44917</v>
      </c>
      <c r="AV919" s="1">
        <v>6.24</v>
      </c>
      <c r="AW919" s="1">
        <v>44917</v>
      </c>
      <c r="AX919" s="2">
        <v>6.01</v>
      </c>
      <c r="AY919" s="1">
        <v>44917</v>
      </c>
      <c r="AZ919" s="2">
        <v>5.73</v>
      </c>
      <c r="BB919" s="1">
        <v>44847</v>
      </c>
      <c r="BC919" s="1">
        <v>7</v>
      </c>
      <c r="BD919" s="1">
        <v>44866</v>
      </c>
      <c r="BE919" s="1">
        <v>7.31</v>
      </c>
      <c r="BF919" s="1">
        <v>44917</v>
      </c>
      <c r="BG919" s="1">
        <v>7.2050000000000001</v>
      </c>
      <c r="BH919" s="1">
        <v>44917</v>
      </c>
      <c r="BI919" s="1">
        <v>7.1849999999999996</v>
      </c>
      <c r="BJ919" s="1">
        <v>44917</v>
      </c>
      <c r="BK919" s="1">
        <v>7.16</v>
      </c>
      <c r="BL919" s="1">
        <v>44917</v>
      </c>
      <c r="BM919" s="1">
        <v>6.86</v>
      </c>
      <c r="BN919" s="1">
        <v>44917</v>
      </c>
      <c r="BO919" s="1">
        <v>6.53</v>
      </c>
      <c r="BP919" s="1">
        <v>44917</v>
      </c>
      <c r="BQ919" s="1">
        <v>5.9550000000000001</v>
      </c>
      <c r="BR919" s="1">
        <v>44917</v>
      </c>
      <c r="BS919" s="1">
        <v>5.2750000000000004</v>
      </c>
      <c r="BT919" s="1">
        <v>44917</v>
      </c>
      <c r="BU919" s="1">
        <v>4.6150000000000002</v>
      </c>
      <c r="BV919" s="1">
        <v>44917</v>
      </c>
      <c r="BW919" s="1">
        <v>4.21</v>
      </c>
      <c r="BY919" s="1">
        <v>44858</v>
      </c>
      <c r="BZ919" s="1">
        <v>13</v>
      </c>
      <c r="CA919" s="1">
        <v>44855</v>
      </c>
      <c r="CB919" s="1">
        <v>16.690000000000001</v>
      </c>
      <c r="CC919" s="1">
        <v>44917</v>
      </c>
      <c r="CD919" s="1">
        <v>16.09</v>
      </c>
      <c r="CE919" s="1">
        <v>44917</v>
      </c>
      <c r="CF919" s="1">
        <v>15.664999999999999</v>
      </c>
      <c r="CG919" s="1">
        <v>44917</v>
      </c>
      <c r="CH919" s="1">
        <v>15.3</v>
      </c>
      <c r="CI919" s="1">
        <v>44917</v>
      </c>
      <c r="CJ919" s="1">
        <v>14.05</v>
      </c>
      <c r="CK919" s="1">
        <v>44917</v>
      </c>
      <c r="CL919" s="1">
        <v>12.75</v>
      </c>
      <c r="CM919" s="1">
        <v>44917</v>
      </c>
      <c r="CN919" s="1">
        <v>11.955</v>
      </c>
      <c r="CO919" s="1">
        <v>44909</v>
      </c>
      <c r="CP919" s="1">
        <v>10.46</v>
      </c>
      <c r="CQ919" s="1">
        <v>44909</v>
      </c>
      <c r="CR919" s="1">
        <v>10.01</v>
      </c>
      <c r="CS919" s="1">
        <v>44909</v>
      </c>
      <c r="CT919" s="1">
        <v>9.4600000000000009</v>
      </c>
    </row>
    <row r="920" spans="31:98" x14ac:dyDescent="0.2">
      <c r="AE920" s="1">
        <v>44908</v>
      </c>
      <c r="AF920" s="1">
        <v>6.75</v>
      </c>
      <c r="AG920" s="1">
        <v>44862</v>
      </c>
      <c r="AH920" s="1">
        <v>7.48</v>
      </c>
      <c r="AI920" s="1">
        <v>44916</v>
      </c>
      <c r="AJ920" s="1">
        <v>7.0359999999999996</v>
      </c>
      <c r="AK920" s="1">
        <v>44916</v>
      </c>
      <c r="AL920" s="1">
        <v>7.0449999999999999</v>
      </c>
      <c r="AM920" s="1">
        <v>44916</v>
      </c>
      <c r="AN920" s="1">
        <v>7.085</v>
      </c>
      <c r="AO920" s="1">
        <v>44916</v>
      </c>
      <c r="AP920" s="1">
        <v>7.1349999999999998</v>
      </c>
      <c r="AQ920" s="1">
        <v>44916</v>
      </c>
      <c r="AR920" s="1">
        <v>6.9349999999999996</v>
      </c>
      <c r="AS920" s="1">
        <v>44916</v>
      </c>
      <c r="AT920" s="1">
        <v>6.43</v>
      </c>
      <c r="AU920" s="1">
        <v>44916</v>
      </c>
      <c r="AV920" s="1">
        <v>6.0750000000000002</v>
      </c>
      <c r="AW920" s="1">
        <v>44916</v>
      </c>
      <c r="AX920" s="2">
        <v>5.83</v>
      </c>
      <c r="AY920" s="1">
        <v>44916</v>
      </c>
      <c r="AZ920" s="2">
        <v>5.5549999999999997</v>
      </c>
      <c r="BB920" s="1">
        <v>44846</v>
      </c>
      <c r="BC920" s="1">
        <v>7</v>
      </c>
      <c r="BD920" s="1">
        <v>44865</v>
      </c>
      <c r="BE920" s="1">
        <v>7.31</v>
      </c>
      <c r="BF920" s="1">
        <v>44916</v>
      </c>
      <c r="BG920" s="1">
        <v>7.2050000000000001</v>
      </c>
      <c r="BH920" s="1">
        <v>44916</v>
      </c>
      <c r="BI920" s="1">
        <v>7.1749999999999998</v>
      </c>
      <c r="BJ920" s="1">
        <v>44916</v>
      </c>
      <c r="BK920" s="1">
        <v>7.14</v>
      </c>
      <c r="BL920" s="1">
        <v>44916</v>
      </c>
      <c r="BM920" s="1">
        <v>6.8949999999999996</v>
      </c>
      <c r="BN920" s="1">
        <v>44916</v>
      </c>
      <c r="BO920" s="1">
        <v>6.4950000000000001</v>
      </c>
      <c r="BP920" s="1">
        <v>44916</v>
      </c>
      <c r="BQ920" s="1">
        <v>5.9</v>
      </c>
      <c r="BR920" s="1">
        <v>44916</v>
      </c>
      <c r="BS920" s="1">
        <v>5.2080000000000002</v>
      </c>
      <c r="BT920" s="1">
        <v>44916</v>
      </c>
      <c r="BU920" s="1">
        <v>4.5430000000000001</v>
      </c>
      <c r="BV920" s="1">
        <v>44916</v>
      </c>
      <c r="BW920" s="1">
        <v>4.1379999999999999</v>
      </c>
      <c r="BY920" s="1">
        <v>44854</v>
      </c>
      <c r="BZ920" s="1">
        <v>13</v>
      </c>
      <c r="CA920" s="1">
        <v>44854</v>
      </c>
      <c r="CB920" s="1">
        <v>16.68</v>
      </c>
      <c r="CC920" s="1">
        <v>44916</v>
      </c>
      <c r="CD920" s="1">
        <v>16.09</v>
      </c>
      <c r="CE920" s="1">
        <v>44916</v>
      </c>
      <c r="CF920" s="1">
        <v>15.65</v>
      </c>
      <c r="CG920" s="1">
        <v>44916</v>
      </c>
      <c r="CH920" s="1">
        <v>15.3</v>
      </c>
      <c r="CI920" s="1">
        <v>44916</v>
      </c>
      <c r="CJ920" s="1">
        <v>14.05</v>
      </c>
      <c r="CK920" s="1">
        <v>44916</v>
      </c>
      <c r="CL920" s="1">
        <v>12.75</v>
      </c>
      <c r="CM920" s="1">
        <v>44916</v>
      </c>
      <c r="CN920" s="1">
        <v>11.965</v>
      </c>
      <c r="CO920" s="1">
        <v>44908</v>
      </c>
      <c r="CP920" s="1">
        <v>10.33</v>
      </c>
      <c r="CQ920" s="1">
        <v>44908</v>
      </c>
      <c r="CR920" s="1">
        <v>9.8800000000000008</v>
      </c>
      <c r="CS920" s="1">
        <v>44908</v>
      </c>
      <c r="CT920" s="1">
        <v>9.33</v>
      </c>
    </row>
    <row r="921" spans="31:98" x14ac:dyDescent="0.2">
      <c r="AE921" s="1">
        <v>44907</v>
      </c>
      <c r="AF921" s="1">
        <v>6.75</v>
      </c>
      <c r="AG921" s="1">
        <v>44861</v>
      </c>
      <c r="AH921" s="1">
        <v>7.46</v>
      </c>
      <c r="AI921" s="1">
        <v>44915</v>
      </c>
      <c r="AJ921" s="1">
        <v>7.0709999999999997</v>
      </c>
      <c r="AK921" s="1">
        <v>44915</v>
      </c>
      <c r="AL921" s="1">
        <v>7.14</v>
      </c>
      <c r="AM921" s="1">
        <v>44915</v>
      </c>
      <c r="AN921" s="1">
        <v>7.19</v>
      </c>
      <c r="AO921" s="1">
        <v>44915</v>
      </c>
      <c r="AP921" s="1">
        <v>7.26</v>
      </c>
      <c r="AQ921" s="1">
        <v>44915</v>
      </c>
      <c r="AR921" s="1">
        <v>7.0549999999999997</v>
      </c>
      <c r="AS921" s="1">
        <v>44915</v>
      </c>
      <c r="AT921" s="1">
        <v>6.6</v>
      </c>
      <c r="AU921" s="1">
        <v>44915</v>
      </c>
      <c r="AV921" s="1">
        <v>6.26</v>
      </c>
      <c r="AW921" s="1">
        <v>44915</v>
      </c>
      <c r="AX921" s="2">
        <v>6.02</v>
      </c>
      <c r="AY921" s="1">
        <v>44915</v>
      </c>
      <c r="AZ921" s="2">
        <v>5.75</v>
      </c>
      <c r="BB921" s="1">
        <v>44845</v>
      </c>
      <c r="BC921" s="1">
        <v>7</v>
      </c>
      <c r="BD921" s="1">
        <v>44861</v>
      </c>
      <c r="BE921" s="1">
        <v>7.31</v>
      </c>
      <c r="BF921" s="1">
        <v>44915</v>
      </c>
      <c r="BG921" s="1">
        <v>7.23</v>
      </c>
      <c r="BH921" s="1">
        <v>44915</v>
      </c>
      <c r="BI921" s="1">
        <v>7.1849999999999996</v>
      </c>
      <c r="BJ921" s="1">
        <v>44915</v>
      </c>
      <c r="BK921" s="1">
        <v>7.16</v>
      </c>
      <c r="BL921" s="1">
        <v>44915</v>
      </c>
      <c r="BM921" s="1">
        <v>6.98</v>
      </c>
      <c r="BN921" s="1">
        <v>44915</v>
      </c>
      <c r="BO921" s="1">
        <v>6.5750000000000002</v>
      </c>
      <c r="BP921" s="1">
        <v>44915</v>
      </c>
      <c r="BQ921" s="1">
        <v>6.04</v>
      </c>
      <c r="BR921" s="1">
        <v>44915</v>
      </c>
      <c r="BS921" s="1">
        <v>5.32</v>
      </c>
      <c r="BT921" s="1">
        <v>44915</v>
      </c>
      <c r="BU921" s="1">
        <v>4.6550000000000002</v>
      </c>
      <c r="BV921" s="1">
        <v>44915</v>
      </c>
      <c r="BW921" s="1">
        <v>4.2350000000000003</v>
      </c>
      <c r="BY921" s="1">
        <v>44853</v>
      </c>
      <c r="BZ921" s="1">
        <v>13</v>
      </c>
      <c r="CA921" s="1">
        <v>44853</v>
      </c>
      <c r="CB921" s="1">
        <v>16.66</v>
      </c>
      <c r="CC921" s="1">
        <v>44915</v>
      </c>
      <c r="CD921" s="1">
        <v>16.12</v>
      </c>
      <c r="CE921" s="1">
        <v>44915</v>
      </c>
      <c r="CF921" s="1">
        <v>15.74</v>
      </c>
      <c r="CG921" s="1">
        <v>44915</v>
      </c>
      <c r="CH921" s="1">
        <v>15.35</v>
      </c>
      <c r="CI921" s="1">
        <v>44915</v>
      </c>
      <c r="CJ921" s="1">
        <v>14.05</v>
      </c>
      <c r="CK921" s="1">
        <v>44915</v>
      </c>
      <c r="CL921" s="1">
        <v>12.75</v>
      </c>
      <c r="CM921" s="1">
        <v>44915</v>
      </c>
      <c r="CN921" s="1">
        <v>11.88</v>
      </c>
      <c r="CO921" s="1">
        <v>44907</v>
      </c>
      <c r="CP921" s="1">
        <v>11.61</v>
      </c>
      <c r="CQ921" s="1">
        <v>44907</v>
      </c>
      <c r="CR921" s="1">
        <v>11.16</v>
      </c>
      <c r="CS921" s="1">
        <v>44907</v>
      </c>
      <c r="CT921" s="1">
        <v>10.61</v>
      </c>
    </row>
    <row r="922" spans="31:98" x14ac:dyDescent="0.2">
      <c r="AE922" s="1">
        <v>44904</v>
      </c>
      <c r="AF922" s="1">
        <v>6.75</v>
      </c>
      <c r="AG922" s="1">
        <v>44860</v>
      </c>
      <c r="AH922" s="1">
        <v>7.43</v>
      </c>
      <c r="AI922" s="1">
        <v>44914</v>
      </c>
      <c r="AJ922" s="1">
        <v>7.0810000000000004</v>
      </c>
      <c r="AK922" s="1">
        <v>44914</v>
      </c>
      <c r="AL922" s="1">
        <v>7.1150000000000002</v>
      </c>
      <c r="AM922" s="1">
        <v>44914</v>
      </c>
      <c r="AN922" s="1">
        <v>7.165</v>
      </c>
      <c r="AO922" s="1">
        <v>44914</v>
      </c>
      <c r="AP922" s="1">
        <v>7.2350000000000003</v>
      </c>
      <c r="AQ922" s="1">
        <v>44914</v>
      </c>
      <c r="AR922" s="1">
        <v>7.0549999999999997</v>
      </c>
      <c r="AS922" s="1">
        <v>44914</v>
      </c>
      <c r="AT922" s="1">
        <v>6.63</v>
      </c>
      <c r="AU922" s="1">
        <v>44914</v>
      </c>
      <c r="AV922" s="1">
        <v>6.36</v>
      </c>
      <c r="AW922" s="1">
        <v>44914</v>
      </c>
      <c r="AX922" s="2">
        <v>6.0650000000000004</v>
      </c>
      <c r="AY922" s="1">
        <v>44914</v>
      </c>
      <c r="AZ922" s="2">
        <v>5.7850000000000001</v>
      </c>
      <c r="BB922" s="1">
        <v>44844</v>
      </c>
      <c r="BC922" s="1">
        <v>7</v>
      </c>
      <c r="BD922" s="1">
        <v>44860</v>
      </c>
      <c r="BE922" s="1">
        <v>7.3</v>
      </c>
      <c r="BF922" s="1">
        <v>44914</v>
      </c>
      <c r="BG922" s="1">
        <v>7.23</v>
      </c>
      <c r="BH922" s="1">
        <v>44914</v>
      </c>
      <c r="BI922" s="1">
        <v>7.2030000000000003</v>
      </c>
      <c r="BJ922" s="1">
        <v>44914</v>
      </c>
      <c r="BK922" s="1">
        <v>7.18</v>
      </c>
      <c r="BL922" s="1">
        <v>44914</v>
      </c>
      <c r="BM922" s="1">
        <v>6.98</v>
      </c>
      <c r="BN922" s="1">
        <v>44914</v>
      </c>
      <c r="BO922" s="1">
        <v>6.58</v>
      </c>
      <c r="BP922" s="1">
        <v>44914</v>
      </c>
      <c r="BQ922" s="1">
        <v>6.01</v>
      </c>
      <c r="BR922" s="1">
        <v>44914</v>
      </c>
      <c r="BS922" s="1">
        <v>5.28</v>
      </c>
      <c r="BT922" s="1">
        <v>44914</v>
      </c>
      <c r="BU922" s="1">
        <v>4.6130000000000004</v>
      </c>
      <c r="BV922" s="1">
        <v>44914</v>
      </c>
      <c r="BW922" s="1">
        <v>4.17</v>
      </c>
      <c r="BY922" s="1">
        <v>44852</v>
      </c>
      <c r="BZ922" s="1">
        <v>13</v>
      </c>
      <c r="CA922" s="1">
        <v>44852</v>
      </c>
      <c r="CB922" s="1">
        <v>16.649999999999999</v>
      </c>
      <c r="CC922" s="1">
        <v>44914</v>
      </c>
      <c r="CD922" s="1">
        <v>16.056000000000001</v>
      </c>
      <c r="CE922" s="1">
        <v>44914</v>
      </c>
      <c r="CF922" s="1">
        <v>15.619</v>
      </c>
      <c r="CG922" s="1">
        <v>44914</v>
      </c>
      <c r="CH922" s="1">
        <v>15.2</v>
      </c>
      <c r="CI922" s="1">
        <v>44914</v>
      </c>
      <c r="CJ922" s="1">
        <v>13.9</v>
      </c>
      <c r="CK922" s="1">
        <v>44914</v>
      </c>
      <c r="CL922" s="1">
        <v>12.6</v>
      </c>
      <c r="CM922" s="1">
        <v>44914</v>
      </c>
      <c r="CN922" s="1">
        <v>11.64</v>
      </c>
      <c r="CO922" s="1">
        <v>44904</v>
      </c>
      <c r="CP922" s="1">
        <v>11.28</v>
      </c>
      <c r="CQ922" s="1">
        <v>44904</v>
      </c>
      <c r="CR922" s="1">
        <v>10.83</v>
      </c>
      <c r="CS922" s="1">
        <v>44904</v>
      </c>
      <c r="CT922" s="1">
        <v>10.28</v>
      </c>
    </row>
    <row r="923" spans="31:98" x14ac:dyDescent="0.2">
      <c r="AE923" s="1">
        <v>44903</v>
      </c>
      <c r="AF923" s="1">
        <v>6.75</v>
      </c>
      <c r="AG923" s="1">
        <v>44859</v>
      </c>
      <c r="AH923" s="1">
        <v>7.45</v>
      </c>
      <c r="AI923" s="1">
        <v>44911</v>
      </c>
      <c r="AJ923" s="1">
        <v>7.0609999999999999</v>
      </c>
      <c r="AK923" s="1">
        <v>44911</v>
      </c>
      <c r="AL923" s="1">
        <v>7.14</v>
      </c>
      <c r="AM923" s="1">
        <v>44911</v>
      </c>
      <c r="AN923" s="1">
        <v>7.26</v>
      </c>
      <c r="AO923" s="1">
        <v>44911</v>
      </c>
      <c r="AP923" s="1">
        <v>7.3150000000000004</v>
      </c>
      <c r="AQ923" s="1">
        <v>44911</v>
      </c>
      <c r="AR923" s="1">
        <v>7.09</v>
      </c>
      <c r="AS923" s="1">
        <v>44911</v>
      </c>
      <c r="AT923" s="1">
        <v>6.625</v>
      </c>
      <c r="AU923" s="1">
        <v>44911</v>
      </c>
      <c r="AV923" s="1">
        <v>6.2450000000000001</v>
      </c>
      <c r="AW923" s="1">
        <v>44911</v>
      </c>
      <c r="AX923" s="2">
        <v>5.9550000000000001</v>
      </c>
      <c r="AY923" s="1">
        <v>44911</v>
      </c>
      <c r="AZ923" s="2">
        <v>5.62</v>
      </c>
      <c r="BB923" s="1">
        <v>44841</v>
      </c>
      <c r="BC923" s="1">
        <v>7</v>
      </c>
      <c r="BD923" s="1">
        <v>44859</v>
      </c>
      <c r="BE923" s="1">
        <v>7.3</v>
      </c>
      <c r="BF923" s="1">
        <v>44911</v>
      </c>
      <c r="BG923" s="1">
        <v>7.23</v>
      </c>
      <c r="BH923" s="1">
        <v>44911</v>
      </c>
      <c r="BI923" s="1">
        <v>7.1950000000000003</v>
      </c>
      <c r="BJ923" s="1">
        <v>44911</v>
      </c>
      <c r="BK923" s="1">
        <v>7.17</v>
      </c>
      <c r="BL923" s="1">
        <v>44911</v>
      </c>
      <c r="BM923" s="1">
        <v>6.9649999999999999</v>
      </c>
      <c r="BN923" s="1">
        <v>44911</v>
      </c>
      <c r="BO923" s="1">
        <v>6.5549999999999997</v>
      </c>
      <c r="BP923" s="1">
        <v>44911</v>
      </c>
      <c r="BQ923" s="1">
        <v>5.9850000000000003</v>
      </c>
      <c r="BR923" s="1">
        <v>44911</v>
      </c>
      <c r="BS923" s="1">
        <v>5.23</v>
      </c>
      <c r="BT923" s="1">
        <v>44911</v>
      </c>
      <c r="BU923" s="1">
        <v>4.55</v>
      </c>
      <c r="BV923" s="1">
        <v>44911</v>
      </c>
      <c r="BW923" s="1">
        <v>4.1050000000000004</v>
      </c>
      <c r="BY923" s="1">
        <v>44851</v>
      </c>
      <c r="BZ923" s="1">
        <v>13</v>
      </c>
      <c r="CA923" s="1">
        <v>44851</v>
      </c>
      <c r="CB923" s="1">
        <v>16.579999999999998</v>
      </c>
      <c r="CC923" s="1">
        <v>44911</v>
      </c>
      <c r="CD923" s="1">
        <v>16.04</v>
      </c>
      <c r="CE923" s="1">
        <v>44911</v>
      </c>
      <c r="CF923" s="1">
        <v>15.686</v>
      </c>
      <c r="CG923" s="1">
        <v>44911</v>
      </c>
      <c r="CH923" s="1">
        <v>15.2</v>
      </c>
      <c r="CI923" s="1">
        <v>44911</v>
      </c>
      <c r="CJ923" s="1">
        <v>13.9</v>
      </c>
      <c r="CK923" s="1">
        <v>44911</v>
      </c>
      <c r="CL923" s="1">
        <v>12.6</v>
      </c>
      <c r="CM923" s="1">
        <v>44911</v>
      </c>
      <c r="CN923" s="1">
        <v>11.69</v>
      </c>
      <c r="CO923" s="1">
        <v>44903</v>
      </c>
      <c r="CP923" s="1">
        <v>10.925000000000001</v>
      </c>
      <c r="CQ923" s="1">
        <v>44903</v>
      </c>
      <c r="CR923" s="1">
        <v>10.45</v>
      </c>
      <c r="CS923" s="1">
        <v>44903</v>
      </c>
      <c r="CT923" s="1">
        <v>9.8949999999999996</v>
      </c>
    </row>
    <row r="924" spans="31:98" x14ac:dyDescent="0.2">
      <c r="AE924" s="1">
        <v>44902</v>
      </c>
      <c r="AF924" s="1">
        <v>6.75</v>
      </c>
      <c r="AG924" s="1">
        <v>44858</v>
      </c>
      <c r="AH924" s="1">
        <v>7.44</v>
      </c>
      <c r="AI924" s="1">
        <v>44910</v>
      </c>
      <c r="AJ924" s="1">
        <v>7.0609999999999999</v>
      </c>
      <c r="AK924" s="1">
        <v>44910</v>
      </c>
      <c r="AL924" s="1">
        <v>7.1289999999999996</v>
      </c>
      <c r="AM924" s="1">
        <v>44910</v>
      </c>
      <c r="AN924" s="1">
        <v>7.17</v>
      </c>
      <c r="AO924" s="1">
        <v>44910</v>
      </c>
      <c r="AP924" s="1">
        <v>7.28</v>
      </c>
      <c r="AQ924" s="1">
        <v>44910</v>
      </c>
      <c r="AR924" s="1">
        <v>7.0549999999999997</v>
      </c>
      <c r="AS924" s="1">
        <v>44910</v>
      </c>
      <c r="AT924" s="1">
        <v>6.5149999999999997</v>
      </c>
      <c r="AU924" s="1">
        <v>44910</v>
      </c>
      <c r="AV924" s="1">
        <v>6.06</v>
      </c>
      <c r="AW924" s="1">
        <v>44910</v>
      </c>
      <c r="AX924" s="2">
        <v>5.71</v>
      </c>
      <c r="AY924" s="1">
        <v>44910</v>
      </c>
      <c r="AZ924" s="2">
        <v>5.3650000000000002</v>
      </c>
      <c r="BB924" s="1">
        <v>44840</v>
      </c>
      <c r="BC924" s="1">
        <v>7</v>
      </c>
      <c r="BD924" s="1">
        <v>44858</v>
      </c>
      <c r="BE924" s="1">
        <v>7.3</v>
      </c>
      <c r="BF924" s="1">
        <v>44910</v>
      </c>
      <c r="BG924" s="1">
        <v>7.22</v>
      </c>
      <c r="BH924" s="1">
        <v>44910</v>
      </c>
      <c r="BI924" s="1">
        <v>7.19</v>
      </c>
      <c r="BJ924" s="1">
        <v>44910</v>
      </c>
      <c r="BK924" s="1">
        <v>7.1550000000000002</v>
      </c>
      <c r="BL924" s="1">
        <v>44910</v>
      </c>
      <c r="BM924" s="1">
        <v>6.8650000000000002</v>
      </c>
      <c r="BN924" s="1">
        <v>44910</v>
      </c>
      <c r="BO924" s="1">
        <v>6.4050000000000002</v>
      </c>
      <c r="BP924" s="1">
        <v>44910</v>
      </c>
      <c r="BQ924" s="1">
        <v>5.835</v>
      </c>
      <c r="BR924" s="1">
        <v>44910</v>
      </c>
      <c r="BS924" s="1">
        <v>5.0599999999999996</v>
      </c>
      <c r="BT924" s="1">
        <v>44910</v>
      </c>
      <c r="BU924" s="1">
        <v>4.37</v>
      </c>
      <c r="BV924" s="1">
        <v>44910</v>
      </c>
      <c r="BW924" s="1">
        <v>3.92</v>
      </c>
      <c r="BY924" s="1">
        <v>44848</v>
      </c>
      <c r="BZ924" s="1">
        <v>13</v>
      </c>
      <c r="CA924" s="1">
        <v>44848</v>
      </c>
      <c r="CB924" s="1">
        <v>16.21</v>
      </c>
      <c r="CC924" s="1">
        <v>44910</v>
      </c>
      <c r="CD924" s="1">
        <v>15.986000000000001</v>
      </c>
      <c r="CE924" s="1">
        <v>44910</v>
      </c>
      <c r="CF924" s="1">
        <v>15.573</v>
      </c>
      <c r="CG924" s="1">
        <v>44910</v>
      </c>
      <c r="CH924" s="1">
        <v>15.05</v>
      </c>
      <c r="CI924" s="1">
        <v>44910</v>
      </c>
      <c r="CJ924" s="1">
        <v>13.75</v>
      </c>
      <c r="CK924" s="1">
        <v>44910</v>
      </c>
      <c r="CL924" s="1">
        <v>12.45</v>
      </c>
      <c r="CM924" s="1">
        <v>44910</v>
      </c>
      <c r="CN924" s="1">
        <v>11.49</v>
      </c>
      <c r="CO924" s="1">
        <v>44902</v>
      </c>
      <c r="CP924" s="1">
        <v>10.015000000000001</v>
      </c>
      <c r="CQ924" s="1">
        <v>44902</v>
      </c>
      <c r="CR924" s="1">
        <v>9.3800000000000008</v>
      </c>
      <c r="CS924" s="1">
        <v>44902</v>
      </c>
      <c r="CT924" s="1">
        <v>8.8949999999999996</v>
      </c>
    </row>
    <row r="925" spans="31:98" x14ac:dyDescent="0.2">
      <c r="AE925" s="1">
        <v>44901</v>
      </c>
      <c r="AF925" s="1">
        <v>6.75</v>
      </c>
      <c r="AG925" s="1">
        <v>44855</v>
      </c>
      <c r="AH925" s="1">
        <v>7.43</v>
      </c>
      <c r="AI925" s="1">
        <v>44909</v>
      </c>
      <c r="AJ925" s="1">
        <v>7.101</v>
      </c>
      <c r="AK925" s="1">
        <v>44909</v>
      </c>
      <c r="AL925" s="1">
        <v>7.0750000000000002</v>
      </c>
      <c r="AM925" s="1">
        <v>44909</v>
      </c>
      <c r="AN925" s="1">
        <v>7.11</v>
      </c>
      <c r="AO925" s="1">
        <v>44909</v>
      </c>
      <c r="AP925" s="1">
        <v>7.1349999999999998</v>
      </c>
      <c r="AQ925" s="1">
        <v>44909</v>
      </c>
      <c r="AR925" s="1">
        <v>6.81</v>
      </c>
      <c r="AS925" s="1">
        <v>44909</v>
      </c>
      <c r="AT925" s="1">
        <v>6.2649999999999997</v>
      </c>
      <c r="AU925" s="1">
        <v>44909</v>
      </c>
      <c r="AV925" s="1">
        <v>5.91</v>
      </c>
      <c r="AW925" s="1">
        <v>44909</v>
      </c>
      <c r="AX925" s="2">
        <v>5.6</v>
      </c>
      <c r="AY925" s="1">
        <v>44909</v>
      </c>
      <c r="AZ925" s="2">
        <v>5.1550000000000002</v>
      </c>
      <c r="BB925" s="1">
        <v>44839</v>
      </c>
      <c r="BC925" s="1">
        <v>7</v>
      </c>
      <c r="BD925" s="1">
        <v>44855</v>
      </c>
      <c r="BE925" s="1">
        <v>7.29</v>
      </c>
      <c r="BF925" s="1">
        <v>44909</v>
      </c>
      <c r="BG925" s="1">
        <v>7.21</v>
      </c>
      <c r="BH925" s="1">
        <v>44909</v>
      </c>
      <c r="BI925" s="1">
        <v>7.17</v>
      </c>
      <c r="BJ925" s="1">
        <v>44909</v>
      </c>
      <c r="BK925" s="1">
        <v>7.1349999999999998</v>
      </c>
      <c r="BL925" s="1">
        <v>44909</v>
      </c>
      <c r="BM925" s="1">
        <v>6.76</v>
      </c>
      <c r="BN925" s="1">
        <v>44909</v>
      </c>
      <c r="BO925" s="1">
        <v>6.258</v>
      </c>
      <c r="BP925" s="1">
        <v>44909</v>
      </c>
      <c r="BQ925" s="1">
        <v>5.6349999999999998</v>
      </c>
      <c r="BR925" s="1">
        <v>44909</v>
      </c>
      <c r="BS925" s="1">
        <v>4.8650000000000002</v>
      </c>
      <c r="BT925" s="1">
        <v>44909</v>
      </c>
      <c r="BU925" s="1">
        <v>4.17</v>
      </c>
      <c r="BV925" s="1">
        <v>44909</v>
      </c>
      <c r="BW925" s="1">
        <v>3.72</v>
      </c>
      <c r="BY925" s="1">
        <v>44847</v>
      </c>
      <c r="BZ925" s="1">
        <v>13</v>
      </c>
      <c r="CA925" s="1">
        <v>44847</v>
      </c>
      <c r="CB925" s="1">
        <v>13.94</v>
      </c>
      <c r="CC925" s="1">
        <v>44909</v>
      </c>
      <c r="CD925" s="1">
        <v>16</v>
      </c>
      <c r="CE925" s="1">
        <v>44909</v>
      </c>
      <c r="CF925" s="1">
        <v>15.596</v>
      </c>
      <c r="CG925" s="1">
        <v>44909</v>
      </c>
      <c r="CH925" s="1">
        <v>14.95</v>
      </c>
      <c r="CI925" s="1">
        <v>44909</v>
      </c>
      <c r="CJ925" s="1">
        <v>13.65</v>
      </c>
      <c r="CK925" s="1">
        <v>44909</v>
      </c>
      <c r="CL925" s="1">
        <v>12.35</v>
      </c>
      <c r="CM925" s="1">
        <v>44909</v>
      </c>
      <c r="CN925" s="1">
        <v>11.26</v>
      </c>
      <c r="CO925" s="1">
        <v>44901</v>
      </c>
      <c r="CP925" s="1">
        <v>10.125</v>
      </c>
      <c r="CQ925" s="1">
        <v>44901</v>
      </c>
      <c r="CR925" s="1">
        <v>9.49</v>
      </c>
      <c r="CS925" s="1">
        <v>44901</v>
      </c>
      <c r="CT925" s="1">
        <v>9.0050000000000008</v>
      </c>
    </row>
    <row r="926" spans="31:98" x14ac:dyDescent="0.2">
      <c r="AE926" s="1">
        <v>44900</v>
      </c>
      <c r="AF926" s="1">
        <v>6.75</v>
      </c>
      <c r="AG926" s="1">
        <v>44854</v>
      </c>
      <c r="AH926" s="1">
        <v>7.4</v>
      </c>
      <c r="AI926" s="1">
        <v>44908</v>
      </c>
      <c r="AJ926" s="1">
        <v>7.0510000000000002</v>
      </c>
      <c r="AK926" s="1">
        <v>44908</v>
      </c>
      <c r="AL926" s="1">
        <v>7.1050000000000004</v>
      </c>
      <c r="AM926" s="1">
        <v>44908</v>
      </c>
      <c r="AN926" s="1">
        <v>7.1150000000000002</v>
      </c>
      <c r="AO926" s="1">
        <v>44908</v>
      </c>
      <c r="AP926" s="1">
        <v>7.12</v>
      </c>
      <c r="AQ926" s="1">
        <v>44908</v>
      </c>
      <c r="AR926" s="1">
        <v>6.81</v>
      </c>
      <c r="AS926" s="1">
        <v>44908</v>
      </c>
      <c r="AT926" s="1">
        <v>6.2050000000000001</v>
      </c>
      <c r="AU926" s="1">
        <v>44908</v>
      </c>
      <c r="AV926" s="1">
        <v>5.84</v>
      </c>
      <c r="AW926" s="1">
        <v>44908</v>
      </c>
      <c r="AX926" s="2">
        <v>5.53</v>
      </c>
      <c r="AY926" s="1">
        <v>44908</v>
      </c>
      <c r="AZ926" s="2">
        <v>5.085</v>
      </c>
      <c r="BB926" s="1">
        <v>44838</v>
      </c>
      <c r="BC926" s="1">
        <v>7</v>
      </c>
      <c r="BD926" s="1">
        <v>44854</v>
      </c>
      <c r="BE926" s="1">
        <v>7.29</v>
      </c>
      <c r="BF926" s="1">
        <v>44908</v>
      </c>
      <c r="BG926" s="1">
        <v>7.21</v>
      </c>
      <c r="BH926" s="1">
        <v>44908</v>
      </c>
      <c r="BI926" s="1">
        <v>7.1550000000000002</v>
      </c>
      <c r="BJ926" s="1">
        <v>44908</v>
      </c>
      <c r="BK926" s="1">
        <v>7.1150000000000002</v>
      </c>
      <c r="BL926" s="1">
        <v>44908</v>
      </c>
      <c r="BM926" s="1">
        <v>6.73</v>
      </c>
      <c r="BN926" s="1">
        <v>44908</v>
      </c>
      <c r="BO926" s="1">
        <v>6.22</v>
      </c>
      <c r="BP926" s="1">
        <v>44908</v>
      </c>
      <c r="BQ926" s="1">
        <v>5.61</v>
      </c>
      <c r="BR926" s="1">
        <v>44908</v>
      </c>
      <c r="BS926" s="1">
        <v>4.8250000000000002</v>
      </c>
      <c r="BT926" s="1">
        <v>44908</v>
      </c>
      <c r="BU926" s="1">
        <v>4.1449999999999996</v>
      </c>
      <c r="BV926" s="1">
        <v>44908</v>
      </c>
      <c r="BW926" s="1">
        <v>3.7</v>
      </c>
      <c r="BY926" s="1">
        <v>44846</v>
      </c>
      <c r="BZ926" s="1">
        <v>13</v>
      </c>
      <c r="CA926" s="1">
        <v>44846</v>
      </c>
      <c r="CB926" s="1">
        <v>13.89</v>
      </c>
      <c r="CC926" s="1">
        <v>44908</v>
      </c>
      <c r="CD926" s="1">
        <v>16.03</v>
      </c>
      <c r="CE926" s="1">
        <v>44908</v>
      </c>
      <c r="CF926" s="1">
        <v>15.47</v>
      </c>
      <c r="CG926" s="1">
        <v>44908</v>
      </c>
      <c r="CH926" s="1">
        <v>14.75</v>
      </c>
      <c r="CI926" s="1">
        <v>44908</v>
      </c>
      <c r="CJ926" s="1">
        <v>13.45</v>
      </c>
      <c r="CK926" s="1">
        <v>44908</v>
      </c>
      <c r="CL926" s="1">
        <v>12.2</v>
      </c>
      <c r="CM926" s="1">
        <v>44908</v>
      </c>
      <c r="CN926" s="1">
        <v>11.13</v>
      </c>
      <c r="CO926" s="1">
        <v>44900</v>
      </c>
      <c r="CP926" s="1">
        <v>9.6950000000000003</v>
      </c>
      <c r="CQ926" s="1">
        <v>44900</v>
      </c>
      <c r="CR926" s="1">
        <v>9.09</v>
      </c>
      <c r="CS926" s="1">
        <v>44900</v>
      </c>
      <c r="CT926" s="1">
        <v>8.6649999999999991</v>
      </c>
    </row>
    <row r="927" spans="31:98" x14ac:dyDescent="0.2">
      <c r="AE927" s="1">
        <v>44897</v>
      </c>
      <c r="AF927" s="1">
        <v>6.75</v>
      </c>
      <c r="AG927" s="1">
        <v>44853</v>
      </c>
      <c r="AH927" s="1">
        <v>7.36</v>
      </c>
      <c r="AI927" s="1">
        <v>44907</v>
      </c>
      <c r="AJ927" s="1">
        <v>7.1109999999999998</v>
      </c>
      <c r="AK927" s="1">
        <v>44907</v>
      </c>
      <c r="AL927" s="1">
        <v>7.1749999999999998</v>
      </c>
      <c r="AM927" s="1">
        <v>44907</v>
      </c>
      <c r="AN927" s="1">
        <v>7.22</v>
      </c>
      <c r="AO927" s="1">
        <v>44907</v>
      </c>
      <c r="AP927" s="1">
        <v>7.2</v>
      </c>
      <c r="AQ927" s="1">
        <v>44907</v>
      </c>
      <c r="AR927" s="1">
        <v>6.8250000000000002</v>
      </c>
      <c r="AS927" s="1">
        <v>44907</v>
      </c>
      <c r="AT927" s="1">
        <v>6.39</v>
      </c>
      <c r="AU927" s="1">
        <v>44907</v>
      </c>
      <c r="AV927" s="1">
        <v>5.9249999999999998</v>
      </c>
      <c r="AW927" s="1">
        <v>44907</v>
      </c>
      <c r="AX927" s="2">
        <v>5.5250000000000004</v>
      </c>
      <c r="AY927" s="1">
        <v>44907</v>
      </c>
      <c r="AZ927" s="2">
        <v>5.1950000000000003</v>
      </c>
      <c r="BB927" s="1">
        <v>44837</v>
      </c>
      <c r="BC927" s="1">
        <v>7</v>
      </c>
      <c r="BD927" s="1">
        <v>44853</v>
      </c>
      <c r="BE927" s="1">
        <v>7.29</v>
      </c>
      <c r="BF927" s="1">
        <v>44907</v>
      </c>
      <c r="BG927" s="1">
        <v>7.21</v>
      </c>
      <c r="BH927" s="1">
        <v>44907</v>
      </c>
      <c r="BI927" s="1">
        <v>7.1550000000000002</v>
      </c>
      <c r="BJ927" s="1">
        <v>44907</v>
      </c>
      <c r="BK927" s="1">
        <v>7.12</v>
      </c>
      <c r="BL927" s="1">
        <v>44907</v>
      </c>
      <c r="BM927" s="1">
        <v>6.7450000000000001</v>
      </c>
      <c r="BN927" s="1">
        <v>44907</v>
      </c>
      <c r="BO927" s="1">
        <v>6.2750000000000004</v>
      </c>
      <c r="BP927" s="1">
        <v>44907</v>
      </c>
      <c r="BQ927" s="1">
        <v>5.68</v>
      </c>
      <c r="BR927" s="1">
        <v>44907</v>
      </c>
      <c r="BS927" s="1">
        <v>4.9379999999999997</v>
      </c>
      <c r="BT927" s="1">
        <v>44907</v>
      </c>
      <c r="BU927" s="1">
        <v>4.3</v>
      </c>
      <c r="BV927" s="1">
        <v>44907</v>
      </c>
      <c r="BW927" s="1">
        <v>3.85</v>
      </c>
      <c r="BY927" s="1">
        <v>44845</v>
      </c>
      <c r="BZ927" s="1">
        <v>13</v>
      </c>
      <c r="CA927" s="1">
        <v>44845</v>
      </c>
      <c r="CB927" s="1">
        <v>13.85</v>
      </c>
      <c r="CC927" s="1">
        <v>44907</v>
      </c>
      <c r="CD927" s="1">
        <v>16.806999999999999</v>
      </c>
      <c r="CE927" s="1">
        <v>44907</v>
      </c>
      <c r="CF927" s="1">
        <v>16.457999999999998</v>
      </c>
      <c r="CG927" s="1">
        <v>44907</v>
      </c>
      <c r="CH927" s="1">
        <v>15.9</v>
      </c>
      <c r="CI927" s="1">
        <v>44907</v>
      </c>
      <c r="CJ927" s="1">
        <v>14.6</v>
      </c>
      <c r="CK927" s="1">
        <v>44907</v>
      </c>
      <c r="CL927" s="1">
        <v>13.35</v>
      </c>
      <c r="CM927" s="1">
        <v>44907</v>
      </c>
      <c r="CN927" s="1">
        <v>12.41</v>
      </c>
      <c r="CO927" s="1">
        <v>44897</v>
      </c>
      <c r="CP927" s="1">
        <v>9.3650000000000002</v>
      </c>
      <c r="CQ927" s="1">
        <v>44897</v>
      </c>
      <c r="CR927" s="1">
        <v>8.76</v>
      </c>
      <c r="CS927" s="1">
        <v>44897</v>
      </c>
      <c r="CT927" s="1">
        <v>8.3350000000000009</v>
      </c>
    </row>
    <row r="928" spans="31:98" x14ac:dyDescent="0.2">
      <c r="AE928" s="1">
        <v>44896</v>
      </c>
      <c r="AF928" s="1">
        <v>6.75</v>
      </c>
      <c r="AG928" s="1">
        <v>44852</v>
      </c>
      <c r="AH928" s="1">
        <v>7.34</v>
      </c>
      <c r="AI928" s="1">
        <v>44904</v>
      </c>
      <c r="AJ928" s="1">
        <v>7.173</v>
      </c>
      <c r="AK928" s="1">
        <v>44904</v>
      </c>
      <c r="AL928" s="1">
        <v>7.1749999999999998</v>
      </c>
      <c r="AM928" s="1">
        <v>44904</v>
      </c>
      <c r="AN928" s="1">
        <v>7.1749999999999998</v>
      </c>
      <c r="AO928" s="1">
        <v>44904</v>
      </c>
      <c r="AP928" s="1">
        <v>7.21</v>
      </c>
      <c r="AQ928" s="1">
        <v>44904</v>
      </c>
      <c r="AR928" s="1">
        <v>6.82</v>
      </c>
      <c r="AS928" s="1">
        <v>44904</v>
      </c>
      <c r="AT928" s="1">
        <v>6.23</v>
      </c>
      <c r="AU928" s="1">
        <v>44904</v>
      </c>
      <c r="AV928" s="1">
        <v>5.7249999999999996</v>
      </c>
      <c r="AW928" s="1">
        <v>44904</v>
      </c>
      <c r="AX928" s="2">
        <v>5.3150000000000004</v>
      </c>
      <c r="AY928" s="1">
        <v>44904</v>
      </c>
      <c r="AZ928" s="2">
        <v>5.05</v>
      </c>
      <c r="BB928" s="1">
        <v>44834</v>
      </c>
      <c r="BC928" s="1">
        <v>7</v>
      </c>
      <c r="BD928" s="1">
        <v>44852</v>
      </c>
      <c r="BE928" s="1">
        <v>7.29</v>
      </c>
      <c r="BF928" s="1">
        <v>44904</v>
      </c>
      <c r="BG928" s="1">
        <v>7.21</v>
      </c>
      <c r="BH928" s="1">
        <v>44904</v>
      </c>
      <c r="BI928" s="1">
        <v>7.15</v>
      </c>
      <c r="BJ928" s="1">
        <v>44904</v>
      </c>
      <c r="BK928" s="1">
        <v>7.093</v>
      </c>
      <c r="BL928" s="1">
        <v>44904</v>
      </c>
      <c r="BM928" s="1">
        <v>6.7</v>
      </c>
      <c r="BN928" s="1">
        <v>44904</v>
      </c>
      <c r="BO928" s="1">
        <v>6.2</v>
      </c>
      <c r="BP928" s="1">
        <v>44904</v>
      </c>
      <c r="BQ928" s="1">
        <v>5.59</v>
      </c>
      <c r="BR928" s="1">
        <v>44904</v>
      </c>
      <c r="BS928" s="1">
        <v>4.8499999999999996</v>
      </c>
      <c r="BT928" s="1">
        <v>44904</v>
      </c>
      <c r="BU928" s="1">
        <v>4.22</v>
      </c>
      <c r="BV928" s="1">
        <v>44904</v>
      </c>
      <c r="BW928" s="1">
        <v>3.77</v>
      </c>
      <c r="BY928" s="1">
        <v>44844</v>
      </c>
      <c r="BZ928" s="1">
        <v>13</v>
      </c>
      <c r="CA928" s="1">
        <v>44844</v>
      </c>
      <c r="CB928" s="1">
        <v>13.78</v>
      </c>
      <c r="CC928" s="1">
        <v>44904</v>
      </c>
      <c r="CD928" s="1">
        <v>16.643000000000001</v>
      </c>
      <c r="CE928" s="1">
        <v>44904</v>
      </c>
      <c r="CF928" s="1">
        <v>16.091999999999999</v>
      </c>
      <c r="CG928" s="1">
        <v>44904</v>
      </c>
      <c r="CH928" s="1">
        <v>15.55</v>
      </c>
      <c r="CI928" s="1">
        <v>44904</v>
      </c>
      <c r="CJ928" s="1">
        <v>14.3</v>
      </c>
      <c r="CK928" s="1">
        <v>44904</v>
      </c>
      <c r="CL928" s="1">
        <v>13.05</v>
      </c>
      <c r="CM928" s="1">
        <v>44904</v>
      </c>
      <c r="CN928" s="1">
        <v>12.08</v>
      </c>
      <c r="CO928" s="1">
        <v>44896</v>
      </c>
      <c r="CP928" s="1">
        <v>9.5649999999999995</v>
      </c>
      <c r="CQ928" s="1">
        <v>44896</v>
      </c>
      <c r="CR928" s="1">
        <v>8.9600000000000009</v>
      </c>
      <c r="CS928" s="1">
        <v>44896</v>
      </c>
      <c r="CT928" s="1">
        <v>8.5350000000000001</v>
      </c>
    </row>
    <row r="929" spans="31:98" x14ac:dyDescent="0.2">
      <c r="AE929" s="1">
        <v>44895</v>
      </c>
      <c r="AF929" s="1">
        <v>6.75</v>
      </c>
      <c r="AG929" s="1">
        <v>44851</v>
      </c>
      <c r="AH929" s="1">
        <v>7.33</v>
      </c>
      <c r="AI929" s="1">
        <v>44903</v>
      </c>
      <c r="AJ929" s="1">
        <v>7.1829999999999998</v>
      </c>
      <c r="AK929" s="1">
        <v>44903</v>
      </c>
      <c r="AL929" s="1">
        <v>7.1550000000000002</v>
      </c>
      <c r="AM929" s="1">
        <v>44903</v>
      </c>
      <c r="AN929" s="1">
        <v>7.15</v>
      </c>
      <c r="AO929" s="1">
        <v>44903</v>
      </c>
      <c r="AP929" s="1">
        <v>7.03</v>
      </c>
      <c r="AQ929" s="1">
        <v>44903</v>
      </c>
      <c r="AR929" s="1">
        <v>6.6349999999999998</v>
      </c>
      <c r="AS929" s="1">
        <v>44903</v>
      </c>
      <c r="AT929" s="1">
        <v>6.2</v>
      </c>
      <c r="AU929" s="1">
        <v>44903</v>
      </c>
      <c r="AV929" s="1">
        <v>5.69</v>
      </c>
      <c r="AW929" s="1">
        <v>44903</v>
      </c>
      <c r="AX929" s="2">
        <v>5.27</v>
      </c>
      <c r="AY929" s="1">
        <v>44903</v>
      </c>
      <c r="AZ929" s="2">
        <v>5.01</v>
      </c>
      <c r="BB929" s="1">
        <v>44833</v>
      </c>
      <c r="BC929" s="1">
        <v>7</v>
      </c>
      <c r="BD929" s="1">
        <v>44851</v>
      </c>
      <c r="BE929" s="1">
        <v>7.29</v>
      </c>
      <c r="BF929" s="1">
        <v>44903</v>
      </c>
      <c r="BG929" s="1">
        <v>7.17</v>
      </c>
      <c r="BH929" s="1">
        <v>44903</v>
      </c>
      <c r="BI929" s="1">
        <v>7.09</v>
      </c>
      <c r="BJ929" s="1">
        <v>44903</v>
      </c>
      <c r="BK929" s="1">
        <v>7.0449999999999999</v>
      </c>
      <c r="BL929" s="1">
        <v>44903</v>
      </c>
      <c r="BM929" s="1">
        <v>6.6150000000000002</v>
      </c>
      <c r="BN929" s="1">
        <v>44903</v>
      </c>
      <c r="BO929" s="1">
        <v>6.07</v>
      </c>
      <c r="BP929" s="1">
        <v>44903</v>
      </c>
      <c r="BQ929" s="1">
        <v>5.4450000000000003</v>
      </c>
      <c r="BR929" s="1">
        <v>44903</v>
      </c>
      <c r="BS929" s="1">
        <v>4.7729999999999997</v>
      </c>
      <c r="BT929" s="1">
        <v>44903</v>
      </c>
      <c r="BU929" s="1">
        <v>4.1749999999999998</v>
      </c>
      <c r="BV929" s="1">
        <v>44903</v>
      </c>
      <c r="BW929" s="1">
        <v>3.8</v>
      </c>
      <c r="BY929" s="1">
        <v>44841</v>
      </c>
      <c r="BZ929" s="1">
        <v>13</v>
      </c>
      <c r="CA929" s="1">
        <v>44841</v>
      </c>
      <c r="CB929" s="1">
        <v>13.74</v>
      </c>
      <c r="CC929" s="1">
        <v>44903</v>
      </c>
      <c r="CD929" s="1">
        <v>16.552</v>
      </c>
      <c r="CE929" s="1">
        <v>44903</v>
      </c>
      <c r="CF929" s="1">
        <v>15.907</v>
      </c>
      <c r="CG929" s="1">
        <v>44903</v>
      </c>
      <c r="CH929" s="1">
        <v>15.35</v>
      </c>
      <c r="CI929" s="1">
        <v>44903</v>
      </c>
      <c r="CJ929" s="1">
        <v>13.9</v>
      </c>
      <c r="CK929" s="1">
        <v>44903</v>
      </c>
      <c r="CL929" s="1">
        <v>12.6</v>
      </c>
      <c r="CM929" s="1">
        <v>44903</v>
      </c>
      <c r="CN929" s="1">
        <v>11.635</v>
      </c>
      <c r="CO929" s="1">
        <v>44895</v>
      </c>
      <c r="CP929" s="1">
        <v>9.2050000000000001</v>
      </c>
      <c r="CQ929" s="1">
        <v>44895</v>
      </c>
      <c r="CR929" s="1">
        <v>8.6</v>
      </c>
      <c r="CS929" s="1">
        <v>44895</v>
      </c>
      <c r="CT929" s="1">
        <v>8.1750000000000007</v>
      </c>
    </row>
    <row r="930" spans="31:98" x14ac:dyDescent="0.2">
      <c r="AE930" s="1">
        <v>44894</v>
      </c>
      <c r="AF930" s="1">
        <v>6.75</v>
      </c>
      <c r="AG930" s="1">
        <v>44848</v>
      </c>
      <c r="AH930" s="1">
        <v>7.31</v>
      </c>
      <c r="AI930" s="1">
        <v>44902</v>
      </c>
      <c r="AJ930" s="1">
        <v>7.13</v>
      </c>
      <c r="AK930" s="1">
        <v>44902</v>
      </c>
      <c r="AL930" s="1">
        <v>7.12</v>
      </c>
      <c r="AM930" s="1">
        <v>44902</v>
      </c>
      <c r="AN930" s="1">
        <v>7.11</v>
      </c>
      <c r="AO930" s="1">
        <v>44902</v>
      </c>
      <c r="AP930" s="1">
        <v>6.9950000000000001</v>
      </c>
      <c r="AQ930" s="1">
        <v>44902</v>
      </c>
      <c r="AR930" s="1">
        <v>6.63</v>
      </c>
      <c r="AS930" s="1">
        <v>44902</v>
      </c>
      <c r="AT930" s="1">
        <v>6.0549999999999997</v>
      </c>
      <c r="AU930" s="1">
        <v>44902</v>
      </c>
      <c r="AV930" s="1">
        <v>5.6449999999999996</v>
      </c>
      <c r="AW930" s="1">
        <v>44902</v>
      </c>
      <c r="AX930" s="2">
        <v>5.3049999999999997</v>
      </c>
      <c r="AY930" s="1">
        <v>44902</v>
      </c>
      <c r="AZ930" s="2">
        <v>5.0049999999999999</v>
      </c>
      <c r="BB930" s="1">
        <v>44831</v>
      </c>
      <c r="BC930" s="1">
        <v>7</v>
      </c>
      <c r="BD930" s="1">
        <v>44848</v>
      </c>
      <c r="BE930" s="1">
        <v>7.27</v>
      </c>
      <c r="BF930" s="1">
        <v>44902</v>
      </c>
      <c r="BG930" s="1">
        <v>7.17</v>
      </c>
      <c r="BH930" s="1">
        <v>44902</v>
      </c>
      <c r="BI930" s="1">
        <v>7.0780000000000003</v>
      </c>
      <c r="BJ930" s="1">
        <v>44902</v>
      </c>
      <c r="BK930" s="1">
        <v>7.0179999999999998</v>
      </c>
      <c r="BL930" s="1">
        <v>44902</v>
      </c>
      <c r="BM930" s="1">
        <v>6.5430000000000001</v>
      </c>
      <c r="BN930" s="1">
        <v>44902</v>
      </c>
      <c r="BO930" s="1">
        <v>5.9649999999999999</v>
      </c>
      <c r="BP930" s="1">
        <v>44902</v>
      </c>
      <c r="BQ930" s="1">
        <v>5.36</v>
      </c>
      <c r="BR930" s="1">
        <v>44902</v>
      </c>
      <c r="BS930" s="1">
        <v>4.6879999999999997</v>
      </c>
      <c r="BT930" s="1">
        <v>44902</v>
      </c>
      <c r="BU930" s="1">
        <v>4.0979999999999999</v>
      </c>
      <c r="BV930" s="1">
        <v>44902</v>
      </c>
      <c r="BW930" s="1">
        <v>3.72</v>
      </c>
      <c r="BY930" s="1">
        <v>44839</v>
      </c>
      <c r="BZ930" s="1">
        <v>13</v>
      </c>
      <c r="CA930" s="1">
        <v>44840</v>
      </c>
      <c r="CB930" s="1">
        <v>13.7</v>
      </c>
      <c r="CC930" s="1">
        <v>44902</v>
      </c>
      <c r="CD930" s="1">
        <v>16.094999999999999</v>
      </c>
      <c r="CE930" s="1">
        <v>44902</v>
      </c>
      <c r="CF930" s="1">
        <v>15.255000000000001</v>
      </c>
      <c r="CG930" s="1">
        <v>44902</v>
      </c>
      <c r="CH930" s="1">
        <v>14.5</v>
      </c>
      <c r="CI930" s="1">
        <v>44902</v>
      </c>
      <c r="CJ930" s="1">
        <v>12.95</v>
      </c>
      <c r="CK930" s="1">
        <v>44902</v>
      </c>
      <c r="CL930" s="1">
        <v>11.8</v>
      </c>
      <c r="CM930" s="1">
        <v>44902</v>
      </c>
      <c r="CN930" s="1">
        <v>10.585000000000001</v>
      </c>
      <c r="CO930" s="1">
        <v>44894</v>
      </c>
      <c r="CP930" s="1">
        <v>9.0350000000000001</v>
      </c>
      <c r="CQ930" s="1">
        <v>44894</v>
      </c>
      <c r="CR930" s="1">
        <v>8.43</v>
      </c>
      <c r="CS930" s="1">
        <v>44894</v>
      </c>
      <c r="CT930" s="1">
        <v>8.0050000000000008</v>
      </c>
    </row>
    <row r="931" spans="31:98" x14ac:dyDescent="0.2">
      <c r="AE931" s="1">
        <v>44893</v>
      </c>
      <c r="AF931" s="1">
        <v>6.75</v>
      </c>
      <c r="AG931" s="1">
        <v>44847</v>
      </c>
      <c r="AH931" s="1">
        <v>7.28</v>
      </c>
      <c r="AI931" s="1">
        <v>44901</v>
      </c>
      <c r="AJ931" s="1">
        <v>7.2</v>
      </c>
      <c r="AK931" s="1">
        <v>44901</v>
      </c>
      <c r="AL931" s="1">
        <v>7.1849999999999996</v>
      </c>
      <c r="AM931" s="1">
        <v>44901</v>
      </c>
      <c r="AN931" s="1">
        <v>7.19</v>
      </c>
      <c r="AO931" s="1">
        <v>44901</v>
      </c>
      <c r="AP931" s="1">
        <v>7.125</v>
      </c>
      <c r="AQ931" s="1">
        <v>44901</v>
      </c>
      <c r="AR931" s="1">
        <v>6.8</v>
      </c>
      <c r="AS931" s="1">
        <v>44901</v>
      </c>
      <c r="AT931" s="1">
        <v>6.21</v>
      </c>
      <c r="AU931" s="1">
        <v>44901</v>
      </c>
      <c r="AV931" s="1">
        <v>5.8650000000000002</v>
      </c>
      <c r="AW931" s="1">
        <v>44901</v>
      </c>
      <c r="AX931" s="2">
        <v>5.47</v>
      </c>
      <c r="AY931" s="1">
        <v>44901</v>
      </c>
      <c r="AZ931" s="2">
        <v>5.1550000000000002</v>
      </c>
      <c r="BB931" s="1">
        <v>44830</v>
      </c>
      <c r="BC931" s="1">
        <v>7</v>
      </c>
      <c r="BD931" s="1">
        <v>44847</v>
      </c>
      <c r="BE931" s="1">
        <v>7.27</v>
      </c>
      <c r="BF931" s="1">
        <v>44901</v>
      </c>
      <c r="BG931" s="1">
        <v>7.17</v>
      </c>
      <c r="BH931" s="1">
        <v>44901</v>
      </c>
      <c r="BI931" s="1">
        <v>7.11</v>
      </c>
      <c r="BJ931" s="1">
        <v>44901</v>
      </c>
      <c r="BK931" s="1">
        <v>7.0449999999999999</v>
      </c>
      <c r="BL931" s="1">
        <v>44901</v>
      </c>
      <c r="BM931" s="1">
        <v>6.6050000000000004</v>
      </c>
      <c r="BN931" s="1">
        <v>44901</v>
      </c>
      <c r="BO931" s="1">
        <v>6.0579999999999998</v>
      </c>
      <c r="BP931" s="1">
        <v>44901</v>
      </c>
      <c r="BQ931" s="1">
        <v>5.4630000000000001</v>
      </c>
      <c r="BR931" s="1">
        <v>44901</v>
      </c>
      <c r="BS931" s="1">
        <v>4.8079999999999998</v>
      </c>
      <c r="BT931" s="1">
        <v>44901</v>
      </c>
      <c r="BU931" s="1">
        <v>4.2229999999999999</v>
      </c>
      <c r="BV931" s="1">
        <v>44901</v>
      </c>
      <c r="BW931" s="1">
        <v>3.8029999999999999</v>
      </c>
      <c r="BY931" s="1">
        <v>44837</v>
      </c>
      <c r="BZ931" s="1">
        <v>13</v>
      </c>
      <c r="CA931" s="1">
        <v>44839</v>
      </c>
      <c r="CB931" s="1">
        <v>13.51</v>
      </c>
      <c r="CC931" s="1">
        <v>44901</v>
      </c>
      <c r="CD931" s="1">
        <v>15.851000000000001</v>
      </c>
      <c r="CE931" s="1">
        <v>44901</v>
      </c>
      <c r="CF931" s="1">
        <v>15.077999999999999</v>
      </c>
      <c r="CG931" s="1">
        <v>44901</v>
      </c>
      <c r="CH931" s="1">
        <v>14.4</v>
      </c>
      <c r="CI931" s="1">
        <v>44901</v>
      </c>
      <c r="CJ931" s="1">
        <v>13</v>
      </c>
      <c r="CK931" s="1">
        <v>44901</v>
      </c>
      <c r="CL931" s="1">
        <v>11.85</v>
      </c>
      <c r="CM931" s="1">
        <v>44901</v>
      </c>
      <c r="CN931" s="1">
        <v>10.695</v>
      </c>
      <c r="CO931" s="1">
        <v>44893</v>
      </c>
      <c r="CP931" s="1">
        <v>9.0350000000000001</v>
      </c>
      <c r="CQ931" s="1">
        <v>44893</v>
      </c>
      <c r="CR931" s="1">
        <v>8.43</v>
      </c>
      <c r="CS931" s="1">
        <v>44893</v>
      </c>
      <c r="CT931" s="1">
        <v>8.0050000000000008</v>
      </c>
    </row>
    <row r="932" spans="31:98" x14ac:dyDescent="0.2">
      <c r="AE932" s="1">
        <v>44890</v>
      </c>
      <c r="AF932" s="1">
        <v>6.75</v>
      </c>
      <c r="AG932" s="1">
        <v>44846</v>
      </c>
      <c r="AH932" s="1">
        <v>7.21</v>
      </c>
      <c r="AI932" s="1">
        <v>44900</v>
      </c>
      <c r="AJ932" s="1">
        <v>7.19</v>
      </c>
      <c r="AK932" s="1">
        <v>44900</v>
      </c>
      <c r="AL932" s="1">
        <v>7.21</v>
      </c>
      <c r="AM932" s="1">
        <v>44900</v>
      </c>
      <c r="AN932" s="1">
        <v>7.2050000000000001</v>
      </c>
      <c r="AO932" s="1">
        <v>44900</v>
      </c>
      <c r="AP932" s="1">
        <v>7.1</v>
      </c>
      <c r="AQ932" s="1">
        <v>44900</v>
      </c>
      <c r="AR932" s="1">
        <v>6.7750000000000004</v>
      </c>
      <c r="AS932" s="1">
        <v>44900</v>
      </c>
      <c r="AT932" s="1">
        <v>6.23</v>
      </c>
      <c r="AU932" s="1">
        <v>44900</v>
      </c>
      <c r="AV932" s="1">
        <v>5.8650000000000002</v>
      </c>
      <c r="AW932" s="1">
        <v>44900</v>
      </c>
      <c r="AX932" s="2">
        <v>5.4649999999999999</v>
      </c>
      <c r="AY932" s="1">
        <v>44900</v>
      </c>
      <c r="AZ932" s="2">
        <v>5.15</v>
      </c>
      <c r="BB932" s="1">
        <v>44827</v>
      </c>
      <c r="BC932" s="1">
        <v>7</v>
      </c>
      <c r="BD932" s="1">
        <v>44846</v>
      </c>
      <c r="BE932" s="1">
        <v>7.27</v>
      </c>
      <c r="BF932" s="1">
        <v>44900</v>
      </c>
      <c r="BG932" s="1">
        <v>7.15</v>
      </c>
      <c r="BH932" s="1">
        <v>44900</v>
      </c>
      <c r="BI932" s="1">
        <v>7.1</v>
      </c>
      <c r="BJ932" s="1">
        <v>44900</v>
      </c>
      <c r="BK932" s="1">
        <v>7.05</v>
      </c>
      <c r="BL932" s="1">
        <v>44900</v>
      </c>
      <c r="BM932" s="1">
        <v>6.63</v>
      </c>
      <c r="BN932" s="1">
        <v>44900</v>
      </c>
      <c r="BO932" s="1">
        <v>6.085</v>
      </c>
      <c r="BP932" s="1">
        <v>44900</v>
      </c>
      <c r="BQ932" s="1">
        <v>5.5250000000000004</v>
      </c>
      <c r="BR932" s="1">
        <v>44900</v>
      </c>
      <c r="BS932" s="1">
        <v>4.87</v>
      </c>
      <c r="BT932" s="1">
        <v>44900</v>
      </c>
      <c r="BU932" s="1">
        <v>4.29</v>
      </c>
      <c r="BV932" s="1">
        <v>44900</v>
      </c>
      <c r="BW932" s="1">
        <v>3.91</v>
      </c>
      <c r="BY932" s="1">
        <v>44834</v>
      </c>
      <c r="BZ932" s="1">
        <v>13</v>
      </c>
      <c r="CA932" s="1">
        <v>44838</v>
      </c>
      <c r="CB932" s="1">
        <v>13.47</v>
      </c>
      <c r="CC932" s="1">
        <v>44900</v>
      </c>
      <c r="CD932" s="1">
        <v>15.231</v>
      </c>
      <c r="CE932" s="1">
        <v>44900</v>
      </c>
      <c r="CF932" s="1">
        <v>14.534000000000001</v>
      </c>
      <c r="CG932" s="1">
        <v>44900</v>
      </c>
      <c r="CH932" s="1">
        <v>14.05</v>
      </c>
      <c r="CI932" s="1">
        <v>44900</v>
      </c>
      <c r="CJ932" s="1">
        <v>12.65</v>
      </c>
      <c r="CK932" s="1">
        <v>44900</v>
      </c>
      <c r="CL932" s="1">
        <v>11.5</v>
      </c>
      <c r="CM932" s="1">
        <v>44900</v>
      </c>
      <c r="CN932" s="1">
        <v>10.255000000000001</v>
      </c>
      <c r="CO932" s="1">
        <v>44890</v>
      </c>
      <c r="CP932" s="1">
        <v>8.9749999999999996</v>
      </c>
      <c r="CQ932" s="1">
        <v>44890</v>
      </c>
      <c r="CR932" s="1">
        <v>8.3699999999999992</v>
      </c>
      <c r="CS932" s="1">
        <v>44890</v>
      </c>
      <c r="CT932" s="1">
        <v>7.9450000000000003</v>
      </c>
    </row>
    <row r="933" spans="31:98" x14ac:dyDescent="0.2">
      <c r="AE933" s="1">
        <v>44889</v>
      </c>
      <c r="AF933" s="1">
        <v>6.75</v>
      </c>
      <c r="AG933" s="1">
        <v>44845</v>
      </c>
      <c r="AH933" s="1">
        <v>7.2</v>
      </c>
      <c r="AI933" s="1">
        <v>44897</v>
      </c>
      <c r="AJ933" s="1">
        <v>7.18</v>
      </c>
      <c r="AK933" s="1">
        <v>44897</v>
      </c>
      <c r="AL933" s="1">
        <v>7.18</v>
      </c>
      <c r="AM933" s="1">
        <v>44897</v>
      </c>
      <c r="AN933" s="1">
        <v>7.1550000000000002</v>
      </c>
      <c r="AO933" s="1">
        <v>44897</v>
      </c>
      <c r="AP933" s="1">
        <v>6.9850000000000003</v>
      </c>
      <c r="AQ933" s="1">
        <v>44897</v>
      </c>
      <c r="AR933" s="1">
        <v>6.5949999999999998</v>
      </c>
      <c r="AS933" s="1">
        <v>44897</v>
      </c>
      <c r="AT933" s="1">
        <v>5.9850000000000003</v>
      </c>
      <c r="AU933" s="1">
        <v>44897</v>
      </c>
      <c r="AV933" s="1">
        <v>5.57</v>
      </c>
      <c r="AW933" s="1">
        <v>44897</v>
      </c>
      <c r="AX933" s="2">
        <v>5.1449999999999996</v>
      </c>
      <c r="AY933" s="1">
        <v>44897</v>
      </c>
      <c r="AZ933" s="2">
        <v>4.88</v>
      </c>
      <c r="BB933" s="1">
        <v>44826</v>
      </c>
      <c r="BC933" s="1">
        <v>7</v>
      </c>
      <c r="BD933" s="1">
        <v>44845</v>
      </c>
      <c r="BE933" s="1">
        <v>7.27</v>
      </c>
      <c r="BF933" s="1">
        <v>44897</v>
      </c>
      <c r="BG933" s="1">
        <v>7.17</v>
      </c>
      <c r="BH933" s="1">
        <v>44897</v>
      </c>
      <c r="BI933" s="1">
        <v>7.0350000000000001</v>
      </c>
      <c r="BJ933" s="1">
        <v>44897</v>
      </c>
      <c r="BK933" s="1">
        <v>6.9880000000000004</v>
      </c>
      <c r="BL933" s="1">
        <v>44897</v>
      </c>
      <c r="BM933" s="1">
        <v>6.5350000000000001</v>
      </c>
      <c r="BN933" s="1">
        <v>44897</v>
      </c>
      <c r="BO933" s="1">
        <v>5.97</v>
      </c>
      <c r="BP933" s="1">
        <v>44897</v>
      </c>
      <c r="BQ933" s="1">
        <v>5.41</v>
      </c>
      <c r="BR933" s="1">
        <v>44897</v>
      </c>
      <c r="BS933" s="1">
        <v>4.7549999999999999</v>
      </c>
      <c r="BT933" s="1">
        <v>44897</v>
      </c>
      <c r="BU933" s="1">
        <v>4.1749999999999998</v>
      </c>
      <c r="BV933" s="1">
        <v>44897</v>
      </c>
      <c r="BW933" s="1">
        <v>3.7949999999999999</v>
      </c>
      <c r="BY933" s="1">
        <v>44833</v>
      </c>
      <c r="BZ933" s="1">
        <v>13</v>
      </c>
      <c r="CA933" s="1">
        <v>44837</v>
      </c>
      <c r="CB933" s="1">
        <v>13.42</v>
      </c>
      <c r="CC933" s="1">
        <v>44897</v>
      </c>
      <c r="CD933" s="1">
        <v>15.08</v>
      </c>
      <c r="CE933" s="1">
        <v>44897</v>
      </c>
      <c r="CF933" s="1">
        <v>14.36</v>
      </c>
      <c r="CG933" s="1">
        <v>44897</v>
      </c>
      <c r="CH933" s="1">
        <v>13.85</v>
      </c>
      <c r="CI933" s="1">
        <v>44897</v>
      </c>
      <c r="CJ933" s="1">
        <v>12.45</v>
      </c>
      <c r="CK933" s="1">
        <v>44897</v>
      </c>
      <c r="CL933" s="1">
        <v>11.3</v>
      </c>
      <c r="CM933" s="1">
        <v>44897</v>
      </c>
      <c r="CN933" s="1">
        <v>9.9250000000000007</v>
      </c>
      <c r="CO933" s="1">
        <v>44889</v>
      </c>
      <c r="CP933" s="1">
        <v>9.0649999999999995</v>
      </c>
      <c r="CQ933" s="1">
        <v>44889</v>
      </c>
      <c r="CR933" s="1">
        <v>8.48</v>
      </c>
      <c r="CS933" s="1">
        <v>44889</v>
      </c>
      <c r="CT933" s="1">
        <v>8.0549999999999997</v>
      </c>
    </row>
    <row r="934" spans="31:98" x14ac:dyDescent="0.2">
      <c r="AE934" s="1">
        <v>44888</v>
      </c>
      <c r="AF934" s="1">
        <v>6.75</v>
      </c>
      <c r="AG934" s="1">
        <v>44844</v>
      </c>
      <c r="AH934" s="1">
        <v>7.19</v>
      </c>
      <c r="AI934" s="1">
        <v>44896</v>
      </c>
      <c r="AJ934" s="1">
        <v>7.16</v>
      </c>
      <c r="AK934" s="1">
        <v>44896</v>
      </c>
      <c r="AL934" s="1">
        <v>7.125</v>
      </c>
      <c r="AM934" s="1">
        <v>44896</v>
      </c>
      <c r="AN934" s="1">
        <v>7.1</v>
      </c>
      <c r="AO934" s="1">
        <v>44896</v>
      </c>
      <c r="AP934" s="1">
        <v>6.9225000000000003</v>
      </c>
      <c r="AQ934" s="1">
        <v>44896</v>
      </c>
      <c r="AR934" s="1">
        <v>6.5475000000000003</v>
      </c>
      <c r="AS934" s="1">
        <v>44896</v>
      </c>
      <c r="AT934" s="1">
        <v>6.0350000000000001</v>
      </c>
      <c r="AU934" s="1">
        <v>44896</v>
      </c>
      <c r="AV934" s="1">
        <v>5.665</v>
      </c>
      <c r="AW934" s="1">
        <v>44896</v>
      </c>
      <c r="AX934" s="2">
        <v>5.27</v>
      </c>
      <c r="AY934" s="1">
        <v>44896</v>
      </c>
      <c r="AZ934" s="2">
        <v>5.08</v>
      </c>
      <c r="BB934" s="1">
        <v>44825</v>
      </c>
      <c r="BC934" s="1">
        <v>7</v>
      </c>
      <c r="BD934" s="1">
        <v>44844</v>
      </c>
      <c r="BE934" s="1">
        <v>7.26</v>
      </c>
      <c r="BF934" s="1">
        <v>44896</v>
      </c>
      <c r="BG934" s="1">
        <v>7.17</v>
      </c>
      <c r="BH934" s="1">
        <v>44896</v>
      </c>
      <c r="BI934" s="1">
        <v>7.085</v>
      </c>
      <c r="BJ934" s="1">
        <v>44896</v>
      </c>
      <c r="BK934" s="1">
        <v>7.03</v>
      </c>
      <c r="BL934" s="1">
        <v>44896</v>
      </c>
      <c r="BM934" s="1">
        <v>6.5750000000000002</v>
      </c>
      <c r="BN934" s="1">
        <v>44896</v>
      </c>
      <c r="BO934" s="1">
        <v>6.0449999999999999</v>
      </c>
      <c r="BP934" s="1">
        <v>44896</v>
      </c>
      <c r="BQ934" s="1">
        <v>5.5179999999999998</v>
      </c>
      <c r="BR934" s="1">
        <v>44896</v>
      </c>
      <c r="BS934" s="1">
        <v>4.8250000000000002</v>
      </c>
      <c r="BT934" s="1">
        <v>44896</v>
      </c>
      <c r="BU934" s="1">
        <v>4.2229999999999999</v>
      </c>
      <c r="BV934" s="1">
        <v>44896</v>
      </c>
      <c r="BW934" s="1">
        <v>3.78</v>
      </c>
      <c r="BY934" s="1">
        <v>44832</v>
      </c>
      <c r="BZ934" s="1">
        <v>13</v>
      </c>
      <c r="CA934" s="1">
        <v>44834</v>
      </c>
      <c r="CB934" s="1">
        <v>13.3</v>
      </c>
      <c r="CC934" s="1">
        <v>44896</v>
      </c>
      <c r="CD934" s="1">
        <v>14.977</v>
      </c>
      <c r="CE934" s="1">
        <v>44896</v>
      </c>
      <c r="CF934" s="1">
        <v>14.268000000000001</v>
      </c>
      <c r="CG934" s="1">
        <v>44896</v>
      </c>
      <c r="CH934" s="1">
        <v>13.75</v>
      </c>
      <c r="CI934" s="1">
        <v>44896</v>
      </c>
      <c r="CJ934" s="1">
        <v>12.35</v>
      </c>
      <c r="CK934" s="1">
        <v>44896</v>
      </c>
      <c r="CL934" s="1">
        <v>11.5</v>
      </c>
      <c r="CM934" s="1">
        <v>44896</v>
      </c>
      <c r="CN934" s="1">
        <v>10.145</v>
      </c>
      <c r="CO934" s="1">
        <v>44888</v>
      </c>
      <c r="CP934" s="1">
        <v>9.09</v>
      </c>
      <c r="CQ934" s="1">
        <v>44888</v>
      </c>
      <c r="CR934" s="1">
        <v>8.5050000000000008</v>
      </c>
      <c r="CS934" s="1">
        <v>44888</v>
      </c>
      <c r="CT934" s="1">
        <v>8.08</v>
      </c>
    </row>
    <row r="935" spans="31:98" x14ac:dyDescent="0.2">
      <c r="AE935" s="1">
        <v>44887</v>
      </c>
      <c r="AF935" s="1">
        <v>6.75</v>
      </c>
      <c r="AG935" s="1">
        <v>44841</v>
      </c>
      <c r="AH935" s="1">
        <v>7.19</v>
      </c>
      <c r="AI935" s="1">
        <v>44895</v>
      </c>
      <c r="AJ935" s="1">
        <v>7.24</v>
      </c>
      <c r="AK935" s="1">
        <v>44895</v>
      </c>
      <c r="AL935" s="1">
        <v>7.1749999999999998</v>
      </c>
      <c r="AM935" s="1">
        <v>44895</v>
      </c>
      <c r="AN935" s="1">
        <v>7.16</v>
      </c>
      <c r="AO935" s="1">
        <v>44895</v>
      </c>
      <c r="AP935" s="1">
        <v>7.09</v>
      </c>
      <c r="AQ935" s="1">
        <v>44895</v>
      </c>
      <c r="AR935" s="1">
        <v>6.75</v>
      </c>
      <c r="AS935" s="1">
        <v>44895</v>
      </c>
      <c r="AT935" s="1">
        <v>6.2949999999999999</v>
      </c>
      <c r="AU935" s="1">
        <v>44895</v>
      </c>
      <c r="AV935" s="1">
        <v>5.94</v>
      </c>
      <c r="AW935" s="1">
        <v>44895</v>
      </c>
      <c r="AX935" s="2">
        <v>5.58</v>
      </c>
      <c r="AY935" s="1">
        <v>44895</v>
      </c>
      <c r="AZ935" s="2">
        <v>5.38</v>
      </c>
      <c r="BB935" s="1">
        <v>44824</v>
      </c>
      <c r="BC935" s="1">
        <v>7</v>
      </c>
      <c r="BD935" s="1">
        <v>44841</v>
      </c>
      <c r="BE935" s="1">
        <v>7.26</v>
      </c>
      <c r="BF935" s="1">
        <v>44895</v>
      </c>
      <c r="BG935" s="1">
        <v>7.18</v>
      </c>
      <c r="BH935" s="1">
        <v>44895</v>
      </c>
      <c r="BI935" s="1">
        <v>7.085</v>
      </c>
      <c r="BJ935" s="1">
        <v>44895</v>
      </c>
      <c r="BK935" s="1">
        <v>7.03</v>
      </c>
      <c r="BL935" s="1">
        <v>44895</v>
      </c>
      <c r="BM935" s="1">
        <v>6.625</v>
      </c>
      <c r="BN935" s="1">
        <v>44895</v>
      </c>
      <c r="BO935" s="1">
        <v>6.1749999999999998</v>
      </c>
      <c r="BP935" s="1">
        <v>44895</v>
      </c>
      <c r="BQ935" s="1">
        <v>5.72</v>
      </c>
      <c r="BR935" s="1">
        <v>44895</v>
      </c>
      <c r="BS935" s="1">
        <v>4.9800000000000004</v>
      </c>
      <c r="BT935" s="1">
        <v>44895</v>
      </c>
      <c r="BU935" s="1">
        <v>4.3049999999999997</v>
      </c>
      <c r="BV935" s="1">
        <v>44895</v>
      </c>
      <c r="BW935" s="1">
        <v>3.7749999999999999</v>
      </c>
      <c r="BY935" s="1">
        <v>44831</v>
      </c>
      <c r="BZ935" s="1">
        <v>11.75</v>
      </c>
      <c r="CA935" s="1">
        <v>44833</v>
      </c>
      <c r="CB935" s="1">
        <v>13.26</v>
      </c>
      <c r="CC935" s="1">
        <v>44895</v>
      </c>
      <c r="CD935" s="1">
        <v>14.861000000000001</v>
      </c>
      <c r="CE935" s="1">
        <v>44895</v>
      </c>
      <c r="CF935" s="1">
        <v>13.997</v>
      </c>
      <c r="CG935" s="1">
        <v>44895</v>
      </c>
      <c r="CH935" s="1">
        <v>13.5</v>
      </c>
      <c r="CI935" s="1">
        <v>44895</v>
      </c>
      <c r="CJ935" s="1">
        <v>12.15</v>
      </c>
      <c r="CK935" s="1">
        <v>44895</v>
      </c>
      <c r="CL935" s="1">
        <v>11.25</v>
      </c>
      <c r="CM935" s="1">
        <v>44895</v>
      </c>
      <c r="CN935" s="1">
        <v>9.7850000000000001</v>
      </c>
      <c r="CO935" s="1">
        <v>44887</v>
      </c>
      <c r="CP935" s="1">
        <v>8.83</v>
      </c>
      <c r="CQ935" s="1">
        <v>44887</v>
      </c>
      <c r="CR935" s="1">
        <v>8.2449999999999992</v>
      </c>
      <c r="CS935" s="1">
        <v>44887</v>
      </c>
      <c r="CT935" s="1">
        <v>7.88</v>
      </c>
    </row>
    <row r="936" spans="31:98" x14ac:dyDescent="0.2">
      <c r="AE936" s="1">
        <v>44886</v>
      </c>
      <c r="AF936" s="1">
        <v>6.75</v>
      </c>
      <c r="AG936" s="1">
        <v>44840</v>
      </c>
      <c r="AH936" s="1">
        <v>7.25</v>
      </c>
      <c r="AI936" s="1">
        <v>44894</v>
      </c>
      <c r="AJ936" s="1">
        <v>7.29</v>
      </c>
      <c r="AK936" s="1">
        <v>44894</v>
      </c>
      <c r="AL936" s="1">
        <v>7.3049999999999997</v>
      </c>
      <c r="AM936" s="1">
        <v>44894</v>
      </c>
      <c r="AN936" s="1">
        <v>7.33</v>
      </c>
      <c r="AO936" s="1">
        <v>44894</v>
      </c>
      <c r="AP936" s="1">
        <v>7.31</v>
      </c>
      <c r="AQ936" s="1">
        <v>44894</v>
      </c>
      <c r="AR936" s="1">
        <v>7</v>
      </c>
      <c r="AS936" s="1">
        <v>44894</v>
      </c>
      <c r="AT936" s="1">
        <v>6.585</v>
      </c>
      <c r="AU936" s="1">
        <v>44894</v>
      </c>
      <c r="AV936" s="1">
        <v>6.2850000000000001</v>
      </c>
      <c r="AW936" s="1">
        <v>44894</v>
      </c>
      <c r="AX936" s="2">
        <v>5.96</v>
      </c>
      <c r="AY936" s="1">
        <v>44894</v>
      </c>
      <c r="AZ936" s="2">
        <v>5.6849999999999996</v>
      </c>
      <c r="BB936" s="1">
        <v>44823</v>
      </c>
      <c r="BC936" s="1">
        <v>7</v>
      </c>
      <c r="BD936" s="1">
        <v>44840</v>
      </c>
      <c r="BE936" s="1">
        <v>7.26</v>
      </c>
      <c r="BF936" s="1">
        <v>44894</v>
      </c>
      <c r="BG936" s="1">
        <v>7.19</v>
      </c>
      <c r="BH936" s="1">
        <v>44894</v>
      </c>
      <c r="BI936" s="1">
        <v>7.09</v>
      </c>
      <c r="BJ936" s="1">
        <v>44894</v>
      </c>
      <c r="BK936" s="1">
        <v>7.0250000000000004</v>
      </c>
      <c r="BL936" s="1">
        <v>44894</v>
      </c>
      <c r="BM936" s="1">
        <v>6.68</v>
      </c>
      <c r="BN936" s="1">
        <v>44894</v>
      </c>
      <c r="BO936" s="1">
        <v>6.2750000000000004</v>
      </c>
      <c r="BP936" s="1">
        <v>44894</v>
      </c>
      <c r="BQ936" s="1">
        <v>5.84</v>
      </c>
      <c r="BR936" s="1">
        <v>44894</v>
      </c>
      <c r="BS936" s="1">
        <v>5.16</v>
      </c>
      <c r="BT936" s="1">
        <v>44894</v>
      </c>
      <c r="BU936" s="1">
        <v>4.5030000000000001</v>
      </c>
      <c r="BV936" s="1">
        <v>44894</v>
      </c>
      <c r="BW936" s="1">
        <v>3.98</v>
      </c>
      <c r="BY936" s="1">
        <v>44830</v>
      </c>
      <c r="BZ936" s="1">
        <v>11.75</v>
      </c>
      <c r="CA936" s="1">
        <v>44832</v>
      </c>
      <c r="CB936" s="1">
        <v>13.22</v>
      </c>
      <c r="CC936" s="1">
        <v>44894</v>
      </c>
      <c r="CD936" s="1">
        <v>14.805</v>
      </c>
      <c r="CE936" s="1">
        <v>44894</v>
      </c>
      <c r="CF936" s="1">
        <v>13.89</v>
      </c>
      <c r="CG936" s="1">
        <v>44894</v>
      </c>
      <c r="CH936" s="1">
        <v>13.35</v>
      </c>
      <c r="CI936" s="1">
        <v>44894</v>
      </c>
      <c r="CJ936" s="1">
        <v>12</v>
      </c>
      <c r="CK936" s="1">
        <v>44894</v>
      </c>
      <c r="CL936" s="1">
        <v>11.1</v>
      </c>
      <c r="CM936" s="1">
        <v>44894</v>
      </c>
      <c r="CN936" s="1">
        <v>9.6150000000000002</v>
      </c>
      <c r="CO936" s="1">
        <v>44886</v>
      </c>
      <c r="CP936" s="1">
        <v>8.98</v>
      </c>
      <c r="CQ936" s="1">
        <v>44886</v>
      </c>
      <c r="CR936" s="1">
        <v>8.4049999999999994</v>
      </c>
      <c r="CS936" s="1">
        <v>44886</v>
      </c>
      <c r="CT936" s="1">
        <v>8.0500000000000007</v>
      </c>
    </row>
    <row r="937" spans="31:98" x14ac:dyDescent="0.2">
      <c r="AE937" s="1">
        <v>44883</v>
      </c>
      <c r="AF937" s="1">
        <v>6.75</v>
      </c>
      <c r="AG937" s="1">
        <v>44839</v>
      </c>
      <c r="AH937" s="1">
        <v>7.33</v>
      </c>
      <c r="AI937" s="1">
        <v>44893</v>
      </c>
      <c r="AJ937" s="1">
        <v>7.2850000000000001</v>
      </c>
      <c r="AK937" s="1">
        <v>44893</v>
      </c>
      <c r="AL937" s="1">
        <v>7.3</v>
      </c>
      <c r="AM937" s="1">
        <v>44893</v>
      </c>
      <c r="AN937" s="1">
        <v>7.335</v>
      </c>
      <c r="AO937" s="1">
        <v>44893</v>
      </c>
      <c r="AP937" s="1">
        <v>7.3274999999999997</v>
      </c>
      <c r="AQ937" s="1">
        <v>44893</v>
      </c>
      <c r="AR937" s="1">
        <v>7.0549999999999997</v>
      </c>
      <c r="AS937" s="1">
        <v>44893</v>
      </c>
      <c r="AT937" s="1">
        <v>6.7050000000000001</v>
      </c>
      <c r="AU937" s="1">
        <v>44893</v>
      </c>
      <c r="AV937" s="1">
        <v>6.41</v>
      </c>
      <c r="AW937" s="1">
        <v>44893</v>
      </c>
      <c r="AX937" s="2">
        <v>6.085</v>
      </c>
      <c r="AY937" s="1">
        <v>44893</v>
      </c>
      <c r="AZ937" s="2">
        <v>5.81</v>
      </c>
      <c r="BB937" s="1">
        <v>44820</v>
      </c>
      <c r="BC937" s="1">
        <v>7</v>
      </c>
      <c r="BD937" s="1">
        <v>44839</v>
      </c>
      <c r="BE937" s="1">
        <v>7.25</v>
      </c>
      <c r="BF937" s="1">
        <v>44893</v>
      </c>
      <c r="BG937" s="1">
        <v>7.2</v>
      </c>
      <c r="BH937" s="1">
        <v>44893</v>
      </c>
      <c r="BI937" s="1">
        <v>7.09</v>
      </c>
      <c r="BJ937" s="1">
        <v>44893</v>
      </c>
      <c r="BK937" s="1">
        <v>7.02</v>
      </c>
      <c r="BL937" s="1">
        <v>44893</v>
      </c>
      <c r="BM937" s="1">
        <v>6.6950000000000003</v>
      </c>
      <c r="BN937" s="1">
        <v>44893</v>
      </c>
      <c r="BO937" s="1">
        <v>6.3049999999999997</v>
      </c>
      <c r="BP937" s="1">
        <v>44893</v>
      </c>
      <c r="BQ937" s="1">
        <v>5.8979999999999997</v>
      </c>
      <c r="BR937" s="1">
        <v>44893</v>
      </c>
      <c r="BS937" s="1">
        <v>5.258</v>
      </c>
      <c r="BT937" s="1">
        <v>44893</v>
      </c>
      <c r="BU937" s="1">
        <v>4.5599999999999996</v>
      </c>
      <c r="BV937" s="1">
        <v>44893</v>
      </c>
      <c r="BW937" s="1">
        <v>3.94</v>
      </c>
      <c r="BY937" s="1">
        <v>44827</v>
      </c>
      <c r="BZ937" s="1">
        <v>11.75</v>
      </c>
      <c r="CA937" s="1">
        <v>44831</v>
      </c>
      <c r="CB937" s="1">
        <v>12.98</v>
      </c>
      <c r="CC937" s="1">
        <v>44893</v>
      </c>
      <c r="CD937" s="1">
        <v>14.814</v>
      </c>
      <c r="CE937" s="1">
        <v>44893</v>
      </c>
      <c r="CF937" s="1">
        <v>13.898</v>
      </c>
      <c r="CG937" s="1">
        <v>44893</v>
      </c>
      <c r="CH937" s="1">
        <v>13.35</v>
      </c>
      <c r="CI937" s="1">
        <v>44893</v>
      </c>
      <c r="CJ937" s="1">
        <v>12</v>
      </c>
      <c r="CK937" s="1">
        <v>44893</v>
      </c>
      <c r="CL937" s="1">
        <v>11.1</v>
      </c>
      <c r="CM937" s="1">
        <v>44893</v>
      </c>
      <c r="CN937" s="1">
        <v>9.6150000000000002</v>
      </c>
      <c r="CO937" s="1">
        <v>44883</v>
      </c>
      <c r="CP937" s="1">
        <v>10.18</v>
      </c>
      <c r="CQ937" s="1">
        <v>44883</v>
      </c>
      <c r="CR937" s="1">
        <v>9.2949999999999999</v>
      </c>
      <c r="CS937" s="1">
        <v>44883</v>
      </c>
      <c r="CT937" s="1">
        <v>8.99</v>
      </c>
    </row>
    <row r="938" spans="31:98" x14ac:dyDescent="0.2">
      <c r="AE938" s="1">
        <v>44882</v>
      </c>
      <c r="AF938" s="1">
        <v>6.75</v>
      </c>
      <c r="AG938" s="1">
        <v>44838</v>
      </c>
      <c r="AH938" s="1">
        <v>7.31</v>
      </c>
      <c r="AI938" s="1">
        <v>44890</v>
      </c>
      <c r="AJ938" s="1">
        <v>7.3150000000000004</v>
      </c>
      <c r="AK938" s="1">
        <v>44890</v>
      </c>
      <c r="AL938" s="1">
        <v>7.3525</v>
      </c>
      <c r="AM938" s="1">
        <v>44890</v>
      </c>
      <c r="AN938" s="1">
        <v>7.3925000000000001</v>
      </c>
      <c r="AO938" s="1">
        <v>44890</v>
      </c>
      <c r="AP938" s="1">
        <v>7.4124999999999996</v>
      </c>
      <c r="AQ938" s="1">
        <v>44890</v>
      </c>
      <c r="AR938" s="1">
        <v>7.14</v>
      </c>
      <c r="AS938" s="1">
        <v>44890</v>
      </c>
      <c r="AT938" s="1">
        <v>6.79</v>
      </c>
      <c r="AU938" s="1">
        <v>44890</v>
      </c>
      <c r="AV938" s="1">
        <v>6.5025000000000004</v>
      </c>
      <c r="AW938" s="1">
        <v>44890</v>
      </c>
      <c r="AX938" s="2">
        <v>6.1775000000000002</v>
      </c>
      <c r="AY938" s="1">
        <v>44890</v>
      </c>
      <c r="AZ938" s="2">
        <v>5.9050000000000002</v>
      </c>
      <c r="BB938" s="1">
        <v>44819</v>
      </c>
      <c r="BC938" s="1">
        <v>7</v>
      </c>
      <c r="BD938" s="1">
        <v>44838</v>
      </c>
      <c r="BE938" s="1">
        <v>7.25</v>
      </c>
      <c r="BF938" s="1">
        <v>44890</v>
      </c>
      <c r="BG938" s="1">
        <v>7.2</v>
      </c>
      <c r="BH938" s="1">
        <v>44890</v>
      </c>
      <c r="BI938" s="1">
        <v>7.12</v>
      </c>
      <c r="BJ938" s="1">
        <v>44890</v>
      </c>
      <c r="BK938" s="1">
        <v>7.05</v>
      </c>
      <c r="BL938" s="1">
        <v>44890</v>
      </c>
      <c r="BM938" s="1">
        <v>6.7350000000000003</v>
      </c>
      <c r="BN938" s="1">
        <v>44890</v>
      </c>
      <c r="BO938" s="1">
        <v>6.3650000000000002</v>
      </c>
      <c r="BP938" s="1">
        <v>44890</v>
      </c>
      <c r="BQ938" s="1">
        <v>5.96</v>
      </c>
      <c r="BR938" s="1">
        <v>44890</v>
      </c>
      <c r="BS938" s="1">
        <v>5.375</v>
      </c>
      <c r="BT938" s="1">
        <v>44890</v>
      </c>
      <c r="BU938" s="1">
        <v>4.7300000000000004</v>
      </c>
      <c r="BV938" s="1">
        <v>44890</v>
      </c>
      <c r="BW938" s="1">
        <v>4.1749999999999998</v>
      </c>
      <c r="BY938" s="1">
        <v>44826</v>
      </c>
      <c r="BZ938" s="1">
        <v>11.75</v>
      </c>
      <c r="CA938" s="1">
        <v>44830</v>
      </c>
      <c r="CB938" s="1">
        <v>12.95</v>
      </c>
      <c r="CC938" s="1">
        <v>44890</v>
      </c>
      <c r="CD938" s="1">
        <v>14.8</v>
      </c>
      <c r="CE938" s="1">
        <v>44890</v>
      </c>
      <c r="CF938" s="1">
        <v>13.9</v>
      </c>
      <c r="CG938" s="1">
        <v>44890</v>
      </c>
      <c r="CH938" s="1">
        <v>13.3</v>
      </c>
      <c r="CI938" s="1">
        <v>44890</v>
      </c>
      <c r="CJ938" s="1">
        <v>11.95</v>
      </c>
      <c r="CK938" s="1">
        <v>44890</v>
      </c>
      <c r="CL938" s="1">
        <v>11.05</v>
      </c>
      <c r="CM938" s="1">
        <v>44890</v>
      </c>
      <c r="CN938" s="1">
        <v>9.5549999999999997</v>
      </c>
      <c r="CO938" s="1">
        <v>44882</v>
      </c>
      <c r="CP938" s="1">
        <v>10.7</v>
      </c>
      <c r="CQ938" s="1">
        <v>44882</v>
      </c>
      <c r="CR938" s="1">
        <v>9.5250000000000004</v>
      </c>
      <c r="CS938" s="1">
        <v>44882</v>
      </c>
      <c r="CT938" s="1">
        <v>9.31</v>
      </c>
    </row>
    <row r="939" spans="31:98" x14ac:dyDescent="0.2">
      <c r="AE939" s="1">
        <v>44881</v>
      </c>
      <c r="AF939" s="1">
        <v>6.75</v>
      </c>
      <c r="AG939" s="1">
        <v>44837</v>
      </c>
      <c r="AH939" s="1">
        <v>7.28</v>
      </c>
      <c r="AI939" s="1">
        <v>44889</v>
      </c>
      <c r="AJ939" s="1">
        <v>7.27</v>
      </c>
      <c r="AK939" s="1">
        <v>44889</v>
      </c>
      <c r="AL939" s="1">
        <v>7.2649999999999997</v>
      </c>
      <c r="AM939" s="1">
        <v>44889</v>
      </c>
      <c r="AN939" s="1">
        <v>7.25</v>
      </c>
      <c r="AO939" s="1">
        <v>44889</v>
      </c>
      <c r="AP939" s="1">
        <v>7.2350000000000003</v>
      </c>
      <c r="AQ939" s="1">
        <v>44889</v>
      </c>
      <c r="AR939" s="1">
        <v>6.96</v>
      </c>
      <c r="AS939" s="1">
        <v>44889</v>
      </c>
      <c r="AT939" s="1">
        <v>6.5650000000000004</v>
      </c>
      <c r="AU939" s="1">
        <v>44889</v>
      </c>
      <c r="AV939" s="1">
        <v>6.2750000000000004</v>
      </c>
      <c r="AW939" s="1">
        <v>44889</v>
      </c>
      <c r="AX939" s="2">
        <v>5.96</v>
      </c>
      <c r="AY939" s="1">
        <v>44889</v>
      </c>
      <c r="AZ939" s="2">
        <v>5.69</v>
      </c>
      <c r="BB939" s="1">
        <v>44818</v>
      </c>
      <c r="BC939" s="1">
        <v>7</v>
      </c>
      <c r="BD939" s="1">
        <v>44837</v>
      </c>
      <c r="BE939" s="1">
        <v>7.25</v>
      </c>
      <c r="BF939" s="1">
        <v>44889</v>
      </c>
      <c r="BG939" s="1">
        <v>7.19</v>
      </c>
      <c r="BH939" s="1">
        <v>44889</v>
      </c>
      <c r="BI939" s="1">
        <v>7.1</v>
      </c>
      <c r="BJ939" s="1">
        <v>44889</v>
      </c>
      <c r="BK939" s="1">
        <v>7.0250000000000004</v>
      </c>
      <c r="BL939" s="1">
        <v>44889</v>
      </c>
      <c r="BM939" s="1">
        <v>6.69</v>
      </c>
      <c r="BN939" s="1">
        <v>44889</v>
      </c>
      <c r="BO939" s="1">
        <v>6.36</v>
      </c>
      <c r="BP939" s="1">
        <v>44889</v>
      </c>
      <c r="BQ939" s="1">
        <v>5.9050000000000002</v>
      </c>
      <c r="BR939" s="1">
        <v>44889</v>
      </c>
      <c r="BS939" s="1">
        <v>5.3150000000000004</v>
      </c>
      <c r="BT939" s="1">
        <v>44889</v>
      </c>
      <c r="BU939" s="1">
        <v>4.665</v>
      </c>
      <c r="BV939" s="1">
        <v>44889</v>
      </c>
      <c r="BW939" s="1">
        <v>4.1050000000000004</v>
      </c>
      <c r="BY939" s="1">
        <v>44825</v>
      </c>
      <c r="BZ939" s="1">
        <v>11.75</v>
      </c>
      <c r="CA939" s="1">
        <v>44827</v>
      </c>
      <c r="CB939" s="1">
        <v>12.94</v>
      </c>
      <c r="CC939" s="1">
        <v>44889</v>
      </c>
      <c r="CD939" s="1">
        <v>14.8</v>
      </c>
      <c r="CE939" s="1">
        <v>44889</v>
      </c>
      <c r="CF939" s="1">
        <v>13.9</v>
      </c>
      <c r="CG939" s="1">
        <v>44889</v>
      </c>
      <c r="CH939" s="1">
        <v>13.3</v>
      </c>
      <c r="CI939" s="1">
        <v>44889</v>
      </c>
      <c r="CJ939" s="1">
        <v>11.95</v>
      </c>
      <c r="CK939" s="1">
        <v>44889</v>
      </c>
      <c r="CL939" s="1">
        <v>11.05</v>
      </c>
      <c r="CM939" s="1">
        <v>44889</v>
      </c>
      <c r="CN939" s="1">
        <v>9.6150000000000002</v>
      </c>
      <c r="CO939" s="1">
        <v>44881</v>
      </c>
      <c r="CP939" s="1">
        <v>9.9499999999999993</v>
      </c>
      <c r="CQ939" s="1">
        <v>44881</v>
      </c>
      <c r="CR939" s="1">
        <v>8.7750000000000004</v>
      </c>
      <c r="CS939" s="1">
        <v>44881</v>
      </c>
      <c r="CT939" s="1">
        <v>8.56</v>
      </c>
    </row>
    <row r="940" spans="31:98" x14ac:dyDescent="0.2">
      <c r="AE940" s="1">
        <v>44880</v>
      </c>
      <c r="AF940" s="1">
        <v>6.75</v>
      </c>
      <c r="AG940" s="1">
        <v>44834</v>
      </c>
      <c r="AH940" s="1">
        <v>7.21</v>
      </c>
      <c r="AI940" s="1">
        <v>44888</v>
      </c>
      <c r="AJ940" s="1">
        <v>7.25</v>
      </c>
      <c r="AK940" s="1">
        <v>44888</v>
      </c>
      <c r="AL940" s="1">
        <v>7.2874999999999996</v>
      </c>
      <c r="AM940" s="1">
        <v>44888</v>
      </c>
      <c r="AN940" s="1">
        <v>7.2925000000000004</v>
      </c>
      <c r="AO940" s="1">
        <v>44888</v>
      </c>
      <c r="AP940" s="1">
        <v>7.2925000000000004</v>
      </c>
      <c r="AQ940" s="1">
        <v>44888</v>
      </c>
      <c r="AR940" s="1">
        <v>7.0175000000000001</v>
      </c>
      <c r="AS940" s="1">
        <v>44888</v>
      </c>
      <c r="AT940" s="1">
        <v>6.5975000000000001</v>
      </c>
      <c r="AU940" s="1">
        <v>44888</v>
      </c>
      <c r="AV940" s="1">
        <v>6.3574999999999999</v>
      </c>
      <c r="AW940" s="1">
        <v>44888</v>
      </c>
      <c r="AX940" s="2">
        <v>6.0625</v>
      </c>
      <c r="AY940" s="1">
        <v>44888</v>
      </c>
      <c r="AZ940" s="2">
        <v>5.7975000000000003</v>
      </c>
      <c r="BB940" s="1">
        <v>44817</v>
      </c>
      <c r="BC940" s="1">
        <v>7</v>
      </c>
      <c r="BD940" s="1">
        <v>44834</v>
      </c>
      <c r="BE940" s="1">
        <v>7.25</v>
      </c>
      <c r="BF940" s="1">
        <v>44888</v>
      </c>
      <c r="BG940" s="1">
        <v>7.1950000000000003</v>
      </c>
      <c r="BH940" s="1">
        <v>44888</v>
      </c>
      <c r="BI940" s="1">
        <v>7.1280000000000001</v>
      </c>
      <c r="BJ940" s="1">
        <v>44888</v>
      </c>
      <c r="BK940" s="1">
        <v>7.0750000000000002</v>
      </c>
      <c r="BL940" s="1">
        <v>44888</v>
      </c>
      <c r="BM940" s="1">
        <v>6.7649999999999997</v>
      </c>
      <c r="BN940" s="1">
        <v>44888</v>
      </c>
      <c r="BO940" s="1">
        <v>6.4080000000000004</v>
      </c>
      <c r="BP940" s="1">
        <v>44888</v>
      </c>
      <c r="BQ940" s="1">
        <v>5.98</v>
      </c>
      <c r="BR940" s="1">
        <v>44888</v>
      </c>
      <c r="BS940" s="1">
        <v>5.3449999999999998</v>
      </c>
      <c r="BT940" s="1">
        <v>44888</v>
      </c>
      <c r="BU940" s="1">
        <v>4.71</v>
      </c>
      <c r="BV940" s="1">
        <v>44888</v>
      </c>
      <c r="BW940" s="1">
        <v>4.1529999999999996</v>
      </c>
      <c r="BY940" s="1">
        <v>44824</v>
      </c>
      <c r="BZ940" s="1">
        <v>11.75</v>
      </c>
      <c r="CA940" s="1">
        <v>44826</v>
      </c>
      <c r="CB940" s="1">
        <v>12.94</v>
      </c>
      <c r="CC940" s="1">
        <v>44888</v>
      </c>
      <c r="CD940" s="1">
        <v>14.55</v>
      </c>
      <c r="CE940" s="1">
        <v>44888</v>
      </c>
      <c r="CF940" s="1">
        <v>13.85</v>
      </c>
      <c r="CG940" s="1">
        <v>44888</v>
      </c>
      <c r="CH940" s="1">
        <v>13.35</v>
      </c>
      <c r="CI940" s="1">
        <v>44888</v>
      </c>
      <c r="CJ940" s="1">
        <v>11.9</v>
      </c>
      <c r="CK940" s="1">
        <v>44888</v>
      </c>
      <c r="CL940" s="1">
        <v>11.2</v>
      </c>
      <c r="CM940" s="1">
        <v>44888</v>
      </c>
      <c r="CN940" s="1">
        <v>9.64</v>
      </c>
      <c r="CO940" s="1">
        <v>44880</v>
      </c>
      <c r="CP940" s="1">
        <v>9.69</v>
      </c>
      <c r="CQ940" s="1">
        <v>44880</v>
      </c>
      <c r="CR940" s="1">
        <v>8.5150000000000006</v>
      </c>
      <c r="CS940" s="1">
        <v>44880</v>
      </c>
      <c r="CT940" s="1">
        <v>8.3000000000000007</v>
      </c>
    </row>
    <row r="941" spans="31:98" x14ac:dyDescent="0.2">
      <c r="AE941" s="1">
        <v>44879</v>
      </c>
      <c r="AF941" s="1">
        <v>6.75</v>
      </c>
      <c r="AG941" s="1">
        <v>44833</v>
      </c>
      <c r="AH941" s="1">
        <v>7.18</v>
      </c>
      <c r="AI941" s="1">
        <v>44887</v>
      </c>
      <c r="AJ941" s="1">
        <v>7.29</v>
      </c>
      <c r="AK941" s="1">
        <v>44887</v>
      </c>
      <c r="AL941" s="1">
        <v>7.29</v>
      </c>
      <c r="AM941" s="1">
        <v>44887</v>
      </c>
      <c r="AN941" s="1">
        <v>7.29</v>
      </c>
      <c r="AO941" s="1">
        <v>44887</v>
      </c>
      <c r="AP941" s="1">
        <v>7.31</v>
      </c>
      <c r="AQ941" s="1">
        <v>44887</v>
      </c>
      <c r="AR941" s="1">
        <v>7.0449999999999999</v>
      </c>
      <c r="AS941" s="1">
        <v>44887</v>
      </c>
      <c r="AT941" s="1">
        <v>6.6749999999999998</v>
      </c>
      <c r="AU941" s="1">
        <v>44887</v>
      </c>
      <c r="AV941" s="1">
        <v>6.415</v>
      </c>
      <c r="AW941" s="1">
        <v>44887</v>
      </c>
      <c r="AX941" s="2">
        <v>6.13</v>
      </c>
      <c r="AY941" s="1">
        <v>44887</v>
      </c>
      <c r="AZ941" s="2">
        <v>5.86</v>
      </c>
      <c r="BB941" s="1">
        <v>44816</v>
      </c>
      <c r="BC941" s="1">
        <v>7</v>
      </c>
      <c r="BD941" s="1">
        <v>44833</v>
      </c>
      <c r="BE941" s="1">
        <v>7.25</v>
      </c>
      <c r="BF941" s="1">
        <v>44887</v>
      </c>
      <c r="BG941" s="1">
        <v>7.2</v>
      </c>
      <c r="BH941" s="1">
        <v>44887</v>
      </c>
      <c r="BI941" s="1">
        <v>7.14</v>
      </c>
      <c r="BJ941" s="1">
        <v>44887</v>
      </c>
      <c r="BK941" s="1">
        <v>7.08</v>
      </c>
      <c r="BL941" s="1">
        <v>44887</v>
      </c>
      <c r="BM941" s="1">
        <v>6.79</v>
      </c>
      <c r="BN941" s="1">
        <v>44887</v>
      </c>
      <c r="BO941" s="1">
        <v>6.41</v>
      </c>
      <c r="BP941" s="1">
        <v>44887</v>
      </c>
      <c r="BQ941" s="1">
        <v>5.915</v>
      </c>
      <c r="BR941" s="1">
        <v>44887</v>
      </c>
      <c r="BS941" s="1">
        <v>5.2549999999999999</v>
      </c>
      <c r="BT941" s="1">
        <v>44887</v>
      </c>
      <c r="BU941" s="1">
        <v>4.5979999999999999</v>
      </c>
      <c r="BV941" s="1">
        <v>44887</v>
      </c>
      <c r="BW941" s="1">
        <v>4.01</v>
      </c>
      <c r="BY941" s="1">
        <v>44820</v>
      </c>
      <c r="BZ941" s="1">
        <v>11.75</v>
      </c>
      <c r="CA941" s="1">
        <v>44825</v>
      </c>
      <c r="CB941" s="1">
        <v>12.92</v>
      </c>
      <c r="CC941" s="1">
        <v>44887</v>
      </c>
      <c r="CD941" s="1">
        <v>14.55</v>
      </c>
      <c r="CE941" s="1">
        <v>44887</v>
      </c>
      <c r="CF941" s="1">
        <v>13.72</v>
      </c>
      <c r="CG941" s="1">
        <v>44887</v>
      </c>
      <c r="CH941" s="1">
        <v>13.1</v>
      </c>
      <c r="CI941" s="1">
        <v>44887</v>
      </c>
      <c r="CJ941" s="1">
        <v>11.7</v>
      </c>
      <c r="CK941" s="1">
        <v>44887</v>
      </c>
      <c r="CL941" s="1">
        <v>11</v>
      </c>
      <c r="CM941" s="1">
        <v>44887</v>
      </c>
      <c r="CN941" s="1">
        <v>9.3800000000000008</v>
      </c>
      <c r="CO941" s="1">
        <v>44879</v>
      </c>
      <c r="CP941" s="1">
        <v>9.7899999999999991</v>
      </c>
      <c r="CQ941" s="1">
        <v>44879</v>
      </c>
      <c r="CR941" s="1">
        <v>8.6150000000000002</v>
      </c>
      <c r="CS941" s="1">
        <v>44879</v>
      </c>
      <c r="CT941" s="1">
        <v>8.4</v>
      </c>
    </row>
    <row r="942" spans="31:98" x14ac:dyDescent="0.2">
      <c r="AE942" s="1">
        <v>44876</v>
      </c>
      <c r="AF942" s="1">
        <v>6.75</v>
      </c>
      <c r="AG942" s="1">
        <v>44832</v>
      </c>
      <c r="AH942" s="1">
        <v>7.17</v>
      </c>
      <c r="AI942" s="1">
        <v>44886</v>
      </c>
      <c r="AJ942" s="1">
        <v>7.3449999999999998</v>
      </c>
      <c r="AK942" s="1">
        <v>44886</v>
      </c>
      <c r="AL942" s="1">
        <v>7.3550000000000004</v>
      </c>
      <c r="AM942" s="1">
        <v>44886</v>
      </c>
      <c r="AN942" s="1">
        <v>7.3650000000000002</v>
      </c>
      <c r="AO942" s="1">
        <v>44886</v>
      </c>
      <c r="AP942" s="1">
        <v>7.39</v>
      </c>
      <c r="AQ942" s="1">
        <v>44886</v>
      </c>
      <c r="AR942" s="1">
        <v>7.1749999999999998</v>
      </c>
      <c r="AS942" s="1">
        <v>44886</v>
      </c>
      <c r="AT942" s="1">
        <v>6.81</v>
      </c>
      <c r="AU942" s="1">
        <v>44886</v>
      </c>
      <c r="AV942" s="1">
        <v>6.58</v>
      </c>
      <c r="AW942" s="1">
        <v>44886</v>
      </c>
      <c r="AX942" s="2">
        <v>6.3150000000000004</v>
      </c>
      <c r="AY942" s="1">
        <v>44886</v>
      </c>
      <c r="AZ942" s="2">
        <v>6.06</v>
      </c>
      <c r="BB942" s="1">
        <v>44813</v>
      </c>
      <c r="BC942" s="1">
        <v>7</v>
      </c>
      <c r="BD942" s="1">
        <v>44831</v>
      </c>
      <c r="BE942" s="1">
        <v>7.24</v>
      </c>
      <c r="BF942" s="1">
        <v>44886</v>
      </c>
      <c r="BG942" s="1">
        <v>7.2</v>
      </c>
      <c r="BH942" s="1">
        <v>44886</v>
      </c>
      <c r="BI942" s="1">
        <v>7.1550000000000002</v>
      </c>
      <c r="BJ942" s="1">
        <v>44886</v>
      </c>
      <c r="BK942" s="1">
        <v>7.08</v>
      </c>
      <c r="BL942" s="1">
        <v>44886</v>
      </c>
      <c r="BM942" s="1">
        <v>6.81</v>
      </c>
      <c r="BN942" s="1">
        <v>44886</v>
      </c>
      <c r="BO942" s="1">
        <v>6.5</v>
      </c>
      <c r="BP942" s="1">
        <v>44886</v>
      </c>
      <c r="BQ942" s="1">
        <v>6.06</v>
      </c>
      <c r="BR942" s="1">
        <v>44886</v>
      </c>
      <c r="BS942" s="1">
        <v>5.37</v>
      </c>
      <c r="BT942" s="1">
        <v>44886</v>
      </c>
      <c r="BU942" s="1">
        <v>4.7699999999999996</v>
      </c>
      <c r="BV942" s="1">
        <v>44886</v>
      </c>
      <c r="BW942" s="1">
        <v>4.17</v>
      </c>
      <c r="BY942" s="1">
        <v>44819</v>
      </c>
      <c r="BZ942" s="1">
        <v>11.75</v>
      </c>
      <c r="CA942" s="1">
        <v>44824</v>
      </c>
      <c r="CB942" s="1">
        <v>12.91</v>
      </c>
      <c r="CC942" s="1">
        <v>44886</v>
      </c>
      <c r="CD942" s="1">
        <v>14.6</v>
      </c>
      <c r="CE942" s="1">
        <v>44886</v>
      </c>
      <c r="CF942" s="1">
        <v>13.95</v>
      </c>
      <c r="CG942" s="1">
        <v>44886</v>
      </c>
      <c r="CH942" s="1">
        <v>13.3</v>
      </c>
      <c r="CI942" s="1">
        <v>44886</v>
      </c>
      <c r="CJ942" s="1">
        <v>11.9</v>
      </c>
      <c r="CK942" s="1">
        <v>44886</v>
      </c>
      <c r="CL942" s="1">
        <v>11.2</v>
      </c>
      <c r="CM942" s="1">
        <v>44886</v>
      </c>
      <c r="CN942" s="1">
        <v>9.5500000000000007</v>
      </c>
      <c r="CO942" s="1">
        <v>44876</v>
      </c>
      <c r="CP942" s="1">
        <v>9.75</v>
      </c>
      <c r="CQ942" s="1">
        <v>44876</v>
      </c>
      <c r="CR942" s="1">
        <v>8.6150000000000002</v>
      </c>
      <c r="CS942" s="1">
        <v>44876</v>
      </c>
      <c r="CT942" s="1">
        <v>8.4</v>
      </c>
    </row>
    <row r="943" spans="31:98" x14ac:dyDescent="0.2">
      <c r="AE943" s="1">
        <v>44875</v>
      </c>
      <c r="AF943" s="1">
        <v>6.75</v>
      </c>
      <c r="AG943" s="1">
        <v>44831</v>
      </c>
      <c r="AH943" s="1">
        <v>7.16</v>
      </c>
      <c r="AI943" s="1">
        <v>44883</v>
      </c>
      <c r="AJ943" s="1">
        <v>7.38</v>
      </c>
      <c r="AK943" s="1">
        <v>44883</v>
      </c>
      <c r="AL943" s="1">
        <v>7.38</v>
      </c>
      <c r="AM943" s="1">
        <v>44883</v>
      </c>
      <c r="AN943" s="1">
        <v>7.4</v>
      </c>
      <c r="AO943" s="1">
        <v>44883</v>
      </c>
      <c r="AP943" s="1">
        <v>7.4550000000000001</v>
      </c>
      <c r="AQ943" s="1">
        <v>44883</v>
      </c>
      <c r="AR943" s="1">
        <v>7.2649999999999997</v>
      </c>
      <c r="AS943" s="1">
        <v>44883</v>
      </c>
      <c r="AT943" s="1">
        <v>6.9649999999999999</v>
      </c>
      <c r="AU943" s="1">
        <v>44883</v>
      </c>
      <c r="AV943" s="1">
        <v>6.6950000000000003</v>
      </c>
      <c r="AW943" s="1">
        <v>44883</v>
      </c>
      <c r="AX943" s="2">
        <v>6.43</v>
      </c>
      <c r="AY943" s="1">
        <v>44883</v>
      </c>
      <c r="AZ943" s="2">
        <v>6.1849999999999996</v>
      </c>
      <c r="BB943" s="1">
        <v>44812</v>
      </c>
      <c r="BC943" s="1">
        <v>7</v>
      </c>
      <c r="BD943" s="1">
        <v>44830</v>
      </c>
      <c r="BE943" s="1">
        <v>7.24</v>
      </c>
      <c r="BF943" s="1">
        <v>44883</v>
      </c>
      <c r="BG943" s="1">
        <v>7.2050000000000001</v>
      </c>
      <c r="BH943" s="1">
        <v>44883</v>
      </c>
      <c r="BI943" s="1">
        <v>7.1749999999999998</v>
      </c>
      <c r="BJ943" s="1">
        <v>44883</v>
      </c>
      <c r="BK943" s="1">
        <v>7.11</v>
      </c>
      <c r="BL943" s="1">
        <v>44883</v>
      </c>
      <c r="BM943" s="1">
        <v>6.9029999999999996</v>
      </c>
      <c r="BN943" s="1">
        <v>44883</v>
      </c>
      <c r="BO943" s="1">
        <v>6.5730000000000004</v>
      </c>
      <c r="BP943" s="1">
        <v>44883</v>
      </c>
      <c r="BQ943" s="1">
        <v>6.1829999999999998</v>
      </c>
      <c r="BR943" s="1">
        <v>44883</v>
      </c>
      <c r="BS943" s="1">
        <v>5.5149999999999997</v>
      </c>
      <c r="BT943" s="1">
        <v>44883</v>
      </c>
      <c r="BU943" s="1">
        <v>4.93</v>
      </c>
      <c r="BV943" s="1">
        <v>44883</v>
      </c>
      <c r="BW943" s="1">
        <v>4.3730000000000002</v>
      </c>
      <c r="BY943" s="1">
        <v>44818</v>
      </c>
      <c r="BZ943" s="1">
        <v>11.75</v>
      </c>
      <c r="CA943" s="1">
        <v>44823</v>
      </c>
      <c r="CB943" s="1">
        <v>12.91</v>
      </c>
      <c r="CC943" s="1">
        <v>44883</v>
      </c>
      <c r="CD943" s="1">
        <v>15.06</v>
      </c>
      <c r="CE943" s="1">
        <v>44883</v>
      </c>
      <c r="CF943" s="1">
        <v>14.335000000000001</v>
      </c>
      <c r="CG943" s="1">
        <v>44883</v>
      </c>
      <c r="CH943" s="1">
        <v>13.72</v>
      </c>
      <c r="CI943" s="1">
        <v>44883</v>
      </c>
      <c r="CJ943" s="1">
        <v>12.87</v>
      </c>
      <c r="CK943" s="1">
        <v>44883</v>
      </c>
      <c r="CL943" s="1">
        <v>11.97</v>
      </c>
      <c r="CM943" s="1">
        <v>44883</v>
      </c>
      <c r="CN943" s="1">
        <v>11.01</v>
      </c>
      <c r="CO943" s="1">
        <v>44875</v>
      </c>
      <c r="CP943" s="1">
        <v>10.445</v>
      </c>
      <c r="CQ943" s="1">
        <v>44875</v>
      </c>
      <c r="CR943" s="1">
        <v>9.3149999999999995</v>
      </c>
      <c r="CS943" s="1">
        <v>44875</v>
      </c>
      <c r="CT943" s="1">
        <v>9.19</v>
      </c>
    </row>
    <row r="944" spans="31:98" x14ac:dyDescent="0.2">
      <c r="AE944" s="1">
        <v>44874</v>
      </c>
      <c r="AF944" s="1">
        <v>6.75</v>
      </c>
      <c r="AG944" s="1">
        <v>44830</v>
      </c>
      <c r="AH944" s="1">
        <v>7.16</v>
      </c>
      <c r="AI944" s="1">
        <v>44882</v>
      </c>
      <c r="AJ944" s="1">
        <v>7.3780000000000001</v>
      </c>
      <c r="AK944" s="1">
        <v>44882</v>
      </c>
      <c r="AL944" s="1">
        <v>7.45</v>
      </c>
      <c r="AM944" s="1">
        <v>44882</v>
      </c>
      <c r="AN944" s="1">
        <v>7.4749999999999996</v>
      </c>
      <c r="AO944" s="1">
        <v>44882</v>
      </c>
      <c r="AP944" s="1">
        <v>7.5250000000000004</v>
      </c>
      <c r="AQ944" s="1">
        <v>44882</v>
      </c>
      <c r="AR944" s="1">
        <v>7.32</v>
      </c>
      <c r="AS944" s="1">
        <v>44882</v>
      </c>
      <c r="AT944" s="1">
        <v>7.07</v>
      </c>
      <c r="AU944" s="1">
        <v>44882</v>
      </c>
      <c r="AV944" s="1">
        <v>6.81</v>
      </c>
      <c r="AW944" s="1">
        <v>44882</v>
      </c>
      <c r="AX944" s="2">
        <v>6.56</v>
      </c>
      <c r="AY944" s="1">
        <v>44882</v>
      </c>
      <c r="AZ944" s="2">
        <v>6.33</v>
      </c>
      <c r="BB944" s="1">
        <v>44811</v>
      </c>
      <c r="BC944" s="1">
        <v>7</v>
      </c>
      <c r="BD944" s="1">
        <v>44827</v>
      </c>
      <c r="BE944" s="1">
        <v>7.24</v>
      </c>
      <c r="BF944" s="1">
        <v>44882</v>
      </c>
      <c r="BG944" s="1">
        <v>7.1950000000000003</v>
      </c>
      <c r="BH944" s="1">
        <v>44882</v>
      </c>
      <c r="BI944" s="1">
        <v>7.15</v>
      </c>
      <c r="BJ944" s="1">
        <v>44882</v>
      </c>
      <c r="BK944" s="1">
        <v>7.0949999999999998</v>
      </c>
      <c r="BL944" s="1">
        <v>44882</v>
      </c>
      <c r="BM944" s="1">
        <v>6.8630000000000004</v>
      </c>
      <c r="BN944" s="1">
        <v>44882</v>
      </c>
      <c r="BO944" s="1">
        <v>6.5129999999999999</v>
      </c>
      <c r="BP944" s="1">
        <v>44882</v>
      </c>
      <c r="BQ944" s="1">
        <v>6.1050000000000004</v>
      </c>
      <c r="BR944" s="1">
        <v>44882</v>
      </c>
      <c r="BS944" s="1">
        <v>5.3579999999999997</v>
      </c>
      <c r="BT944" s="1">
        <v>44882</v>
      </c>
      <c r="BU944" s="1">
        <v>4.7649999999999997</v>
      </c>
      <c r="BV944" s="1">
        <v>44882</v>
      </c>
      <c r="BW944" s="1">
        <v>4.1779999999999999</v>
      </c>
      <c r="BY944" s="1">
        <v>44817</v>
      </c>
      <c r="BZ944" s="1">
        <v>11.75</v>
      </c>
      <c r="CA944" s="1">
        <v>44820</v>
      </c>
      <c r="CB944" s="1">
        <v>12.9</v>
      </c>
      <c r="CC944" s="1">
        <v>44882</v>
      </c>
      <c r="CD944" s="1">
        <v>15.413</v>
      </c>
      <c r="CE944" s="1">
        <v>44882</v>
      </c>
      <c r="CF944" s="1">
        <v>14.948</v>
      </c>
      <c r="CG944" s="1">
        <v>44882</v>
      </c>
      <c r="CH944" s="1">
        <v>14.45</v>
      </c>
      <c r="CI944" s="1">
        <v>44882</v>
      </c>
      <c r="CJ944" s="1">
        <v>13.6</v>
      </c>
      <c r="CK944" s="1">
        <v>44882</v>
      </c>
      <c r="CL944" s="1">
        <v>12.7</v>
      </c>
      <c r="CM944" s="1">
        <v>44882</v>
      </c>
      <c r="CN944" s="1">
        <v>11.69</v>
      </c>
      <c r="CO944" s="1">
        <v>44874</v>
      </c>
      <c r="CP944" s="1">
        <v>11.585000000000001</v>
      </c>
      <c r="CQ944" s="1">
        <v>44874</v>
      </c>
      <c r="CR944" s="1">
        <v>10.595000000000001</v>
      </c>
      <c r="CS944" s="1">
        <v>44874</v>
      </c>
      <c r="CT944" s="1">
        <v>10.37</v>
      </c>
    </row>
    <row r="945" spans="31:98" x14ac:dyDescent="0.2">
      <c r="AE945" s="1">
        <v>44873</v>
      </c>
      <c r="AF945" s="1">
        <v>6.75</v>
      </c>
      <c r="AG945" s="1">
        <v>44827</v>
      </c>
      <c r="AH945" s="1">
        <v>7.15</v>
      </c>
      <c r="AI945" s="1">
        <v>44881</v>
      </c>
      <c r="AJ945" s="1">
        <v>7.31</v>
      </c>
      <c r="AK945" s="1">
        <v>44881</v>
      </c>
      <c r="AL945" s="1">
        <v>7.34</v>
      </c>
      <c r="AM945" s="1">
        <v>44881</v>
      </c>
      <c r="AN945" s="1">
        <v>7.35</v>
      </c>
      <c r="AO945" s="1">
        <v>44881</v>
      </c>
      <c r="AP945" s="1">
        <v>7.3650000000000002</v>
      </c>
      <c r="AQ945" s="1">
        <v>44881</v>
      </c>
      <c r="AR945" s="1">
        <v>7.1449999999999996</v>
      </c>
      <c r="AS945" s="1">
        <v>44881</v>
      </c>
      <c r="AT945" s="1">
        <v>6.78</v>
      </c>
      <c r="AU945" s="1">
        <v>44881</v>
      </c>
      <c r="AV945" s="1">
        <v>6.4649999999999999</v>
      </c>
      <c r="AW945" s="1">
        <v>44881</v>
      </c>
      <c r="AX945" s="2">
        <v>6.19</v>
      </c>
      <c r="AY945" s="1">
        <v>44881</v>
      </c>
      <c r="AZ945" s="2">
        <v>5.98</v>
      </c>
      <c r="BB945" s="1">
        <v>44810</v>
      </c>
      <c r="BC945" s="1">
        <v>7</v>
      </c>
      <c r="BD945" s="1">
        <v>44826</v>
      </c>
      <c r="BE945" s="1">
        <v>7.24</v>
      </c>
      <c r="BF945" s="1">
        <v>44881</v>
      </c>
      <c r="BG945" s="1">
        <v>7.2</v>
      </c>
      <c r="BH945" s="1">
        <v>44881</v>
      </c>
      <c r="BI945" s="1">
        <v>7.15</v>
      </c>
      <c r="BJ945" s="1">
        <v>44881</v>
      </c>
      <c r="BK945" s="1">
        <v>7.0949999999999998</v>
      </c>
      <c r="BL945" s="1">
        <v>44881</v>
      </c>
      <c r="BM945" s="1">
        <v>6.8630000000000004</v>
      </c>
      <c r="BN945" s="1">
        <v>44881</v>
      </c>
      <c r="BO945" s="1">
        <v>6.5129999999999999</v>
      </c>
      <c r="BP945" s="1">
        <v>44881</v>
      </c>
      <c r="BQ945" s="1">
        <v>6.1050000000000004</v>
      </c>
      <c r="BR945" s="1">
        <v>44881</v>
      </c>
      <c r="BS945" s="1">
        <v>5.3579999999999997</v>
      </c>
      <c r="BT945" s="1">
        <v>44881</v>
      </c>
      <c r="BU945" s="1">
        <v>4.7649999999999997</v>
      </c>
      <c r="BV945" s="1">
        <v>44881</v>
      </c>
      <c r="BW945" s="1">
        <v>4.1779999999999999</v>
      </c>
      <c r="BY945" s="1">
        <v>44816</v>
      </c>
      <c r="BZ945" s="1">
        <v>11.75</v>
      </c>
      <c r="CA945" s="1">
        <v>44819</v>
      </c>
      <c r="CB945" s="1">
        <v>12.9</v>
      </c>
      <c r="CC945" s="1">
        <v>44881</v>
      </c>
      <c r="CD945" s="1">
        <v>15.09</v>
      </c>
      <c r="CE945" s="1">
        <v>44881</v>
      </c>
      <c r="CF945" s="1">
        <v>14.438000000000001</v>
      </c>
      <c r="CG945" s="1">
        <v>44881</v>
      </c>
      <c r="CH945" s="1">
        <v>13.8</v>
      </c>
      <c r="CI945" s="1">
        <v>44881</v>
      </c>
      <c r="CJ945" s="1">
        <v>12.9</v>
      </c>
      <c r="CK945" s="1">
        <v>44881</v>
      </c>
      <c r="CL945" s="1">
        <v>12.05</v>
      </c>
      <c r="CM945" s="1">
        <v>44881</v>
      </c>
      <c r="CN945" s="1">
        <v>10.94</v>
      </c>
      <c r="CO945" s="1">
        <v>44873</v>
      </c>
      <c r="CP945" s="1">
        <v>11.845000000000001</v>
      </c>
      <c r="CQ945" s="1">
        <v>44873</v>
      </c>
      <c r="CR945" s="1">
        <v>10.855</v>
      </c>
      <c r="CS945" s="1">
        <v>44873</v>
      </c>
      <c r="CT945" s="1">
        <v>10.63</v>
      </c>
    </row>
    <row r="946" spans="31:98" x14ac:dyDescent="0.2">
      <c r="AE946" s="1">
        <v>44872</v>
      </c>
      <c r="AF946" s="1">
        <v>6.75</v>
      </c>
      <c r="AG946" s="1">
        <v>44826</v>
      </c>
      <c r="AH946" s="1">
        <v>7.14</v>
      </c>
      <c r="AI946" s="1">
        <v>44880</v>
      </c>
      <c r="AJ946" s="1">
        <v>7.26</v>
      </c>
      <c r="AK946" s="1">
        <v>44880</v>
      </c>
      <c r="AL946" s="1">
        <v>7.25</v>
      </c>
      <c r="AM946" s="1">
        <v>44880</v>
      </c>
      <c r="AN946" s="1">
        <v>7.22</v>
      </c>
      <c r="AO946" s="1">
        <v>44880</v>
      </c>
      <c r="AP946" s="1">
        <v>7.17</v>
      </c>
      <c r="AQ946" s="1">
        <v>44880</v>
      </c>
      <c r="AR946" s="1">
        <v>6.9450000000000003</v>
      </c>
      <c r="AS946" s="1">
        <v>44880</v>
      </c>
      <c r="AT946" s="1">
        <v>6.61</v>
      </c>
      <c r="AU946" s="1">
        <v>44880</v>
      </c>
      <c r="AV946" s="1">
        <v>6.3150000000000004</v>
      </c>
      <c r="AW946" s="1">
        <v>44880</v>
      </c>
      <c r="AX946" s="2">
        <v>6.0250000000000004</v>
      </c>
      <c r="AY946" s="1">
        <v>44880</v>
      </c>
      <c r="AZ946" s="2">
        <v>5.7850000000000001</v>
      </c>
      <c r="BB946" s="1">
        <v>44809</v>
      </c>
      <c r="BC946" s="1">
        <v>7</v>
      </c>
      <c r="BD946" s="1">
        <v>44825</v>
      </c>
      <c r="BE946" s="1">
        <v>7.24</v>
      </c>
      <c r="BF946" s="1">
        <v>44880</v>
      </c>
      <c r="BG946" s="1">
        <v>7.19</v>
      </c>
      <c r="BH946" s="1">
        <v>44880</v>
      </c>
      <c r="BI946" s="1">
        <v>7.15</v>
      </c>
      <c r="BJ946" s="1">
        <v>44880</v>
      </c>
      <c r="BK946" s="1">
        <v>7.11</v>
      </c>
      <c r="BL946" s="1">
        <v>44880</v>
      </c>
      <c r="BM946" s="1">
        <v>6.875</v>
      </c>
      <c r="BN946" s="1">
        <v>44880</v>
      </c>
      <c r="BO946" s="1">
        <v>6.5449999999999999</v>
      </c>
      <c r="BP946" s="1">
        <v>44880</v>
      </c>
      <c r="BQ946" s="1">
        <v>6.1379999999999999</v>
      </c>
      <c r="BR946" s="1">
        <v>44880</v>
      </c>
      <c r="BS946" s="1">
        <v>5.3949999999999996</v>
      </c>
      <c r="BT946" s="1">
        <v>44880</v>
      </c>
      <c r="BU946" s="1">
        <v>4.7930000000000001</v>
      </c>
      <c r="BV946" s="1">
        <v>44880</v>
      </c>
      <c r="BW946" s="1">
        <v>4.2</v>
      </c>
      <c r="BY946" s="1">
        <v>44813</v>
      </c>
      <c r="BZ946" s="1">
        <v>11.75</v>
      </c>
      <c r="CA946" s="1">
        <v>44818</v>
      </c>
      <c r="CB946" s="1">
        <v>12.87</v>
      </c>
      <c r="CC946" s="1">
        <v>44880</v>
      </c>
      <c r="CD946" s="1">
        <v>14.89</v>
      </c>
      <c r="CE946" s="1">
        <v>44880</v>
      </c>
      <c r="CF946" s="1">
        <v>14.116</v>
      </c>
      <c r="CG946" s="1">
        <v>44880</v>
      </c>
      <c r="CH946" s="1">
        <v>13.5</v>
      </c>
      <c r="CI946" s="1">
        <v>44880</v>
      </c>
      <c r="CJ946" s="1">
        <v>12.6</v>
      </c>
      <c r="CK946" s="1">
        <v>44880</v>
      </c>
      <c r="CL946" s="1">
        <v>11.75</v>
      </c>
      <c r="CM946" s="1">
        <v>44880</v>
      </c>
      <c r="CN946" s="1">
        <v>10.68</v>
      </c>
      <c r="CO946" s="1">
        <v>44872</v>
      </c>
      <c r="CP946" s="1">
        <v>12.225</v>
      </c>
      <c r="CQ946" s="1">
        <v>44872</v>
      </c>
      <c r="CR946" s="1">
        <v>11.205</v>
      </c>
      <c r="CS946" s="1">
        <v>44872</v>
      </c>
      <c r="CT946" s="1">
        <v>11.01</v>
      </c>
    </row>
    <row r="947" spans="31:98" x14ac:dyDescent="0.2">
      <c r="AE947" s="1">
        <v>44869</v>
      </c>
      <c r="AF947" s="1">
        <v>6.75</v>
      </c>
      <c r="AG947" s="1">
        <v>44825</v>
      </c>
      <c r="AH947" s="1">
        <v>7.15</v>
      </c>
      <c r="AI947" s="1">
        <v>44879</v>
      </c>
      <c r="AJ947" s="1">
        <v>7.19</v>
      </c>
      <c r="AK947" s="1">
        <v>44879</v>
      </c>
      <c r="AL947" s="1">
        <v>7.2649999999999997</v>
      </c>
      <c r="AM947" s="1">
        <v>44879</v>
      </c>
      <c r="AN947" s="1">
        <v>7.2750000000000004</v>
      </c>
      <c r="AO947" s="1">
        <v>44879</v>
      </c>
      <c r="AP947" s="1">
        <v>7.28</v>
      </c>
      <c r="AQ947" s="1">
        <v>44879</v>
      </c>
      <c r="AR947" s="1">
        <v>7.0949999999999998</v>
      </c>
      <c r="AS947" s="1">
        <v>44879</v>
      </c>
      <c r="AT947" s="1">
        <v>6.9649999999999999</v>
      </c>
      <c r="AU947" s="1">
        <v>44879</v>
      </c>
      <c r="AV947" s="1">
        <v>6.78</v>
      </c>
      <c r="AW947" s="1">
        <v>44879</v>
      </c>
      <c r="AX947" s="2">
        <v>6.57</v>
      </c>
      <c r="AY947" s="1">
        <v>44879</v>
      </c>
      <c r="AZ947" s="2">
        <v>6.36</v>
      </c>
      <c r="BB947" s="1">
        <v>44806</v>
      </c>
      <c r="BC947" s="1">
        <v>7</v>
      </c>
      <c r="BD947" s="1">
        <v>44824</v>
      </c>
      <c r="BE947" s="1">
        <v>7.24</v>
      </c>
      <c r="BF947" s="1">
        <v>44879</v>
      </c>
      <c r="BG947" s="1">
        <v>7.19</v>
      </c>
      <c r="BH947" s="1">
        <v>44879</v>
      </c>
      <c r="BI947" s="1">
        <v>7.1680000000000001</v>
      </c>
      <c r="BJ947" s="1">
        <v>44879</v>
      </c>
      <c r="BK947" s="1">
        <v>7.14</v>
      </c>
      <c r="BL947" s="1">
        <v>44879</v>
      </c>
      <c r="BM947" s="1">
        <v>6.93</v>
      </c>
      <c r="BN947" s="1">
        <v>44879</v>
      </c>
      <c r="BO947" s="1">
        <v>6.6349999999999998</v>
      </c>
      <c r="BP947" s="1">
        <v>44879</v>
      </c>
      <c r="BQ947" s="1">
        <v>6.25</v>
      </c>
      <c r="BR947" s="1">
        <v>44879</v>
      </c>
      <c r="BS947" s="1">
        <v>5.54</v>
      </c>
      <c r="BT947" s="1">
        <v>44879</v>
      </c>
      <c r="BU947" s="1">
        <v>4.9550000000000001</v>
      </c>
      <c r="BV947" s="1">
        <v>44879</v>
      </c>
      <c r="BW947" s="1">
        <v>4.383</v>
      </c>
      <c r="BY947" s="1">
        <v>44812</v>
      </c>
      <c r="BZ947" s="1">
        <v>11.75</v>
      </c>
      <c r="CA947" s="1">
        <v>44817</v>
      </c>
      <c r="CB947" s="1">
        <v>12.84</v>
      </c>
      <c r="CC947" s="1">
        <v>44879</v>
      </c>
      <c r="CD947" s="1">
        <v>14.983000000000001</v>
      </c>
      <c r="CE947" s="1">
        <v>44879</v>
      </c>
      <c r="CF947" s="1">
        <v>14.215999999999999</v>
      </c>
      <c r="CG947" s="1">
        <v>44879</v>
      </c>
      <c r="CH947" s="1">
        <v>13.6</v>
      </c>
      <c r="CI947" s="1">
        <v>44879</v>
      </c>
      <c r="CJ947" s="1">
        <v>12.7</v>
      </c>
      <c r="CK947" s="1">
        <v>44879</v>
      </c>
      <c r="CL947" s="1">
        <v>11.85</v>
      </c>
      <c r="CM947" s="1">
        <v>44879</v>
      </c>
      <c r="CN947" s="1">
        <v>10.78</v>
      </c>
      <c r="CO947" s="1">
        <v>44869</v>
      </c>
      <c r="CP947" s="1">
        <v>12.82</v>
      </c>
      <c r="CQ947" s="1">
        <v>44869</v>
      </c>
      <c r="CR947" s="1">
        <v>11.7575</v>
      </c>
      <c r="CS947" s="1">
        <v>44869</v>
      </c>
      <c r="CT947" s="1">
        <v>11.54</v>
      </c>
    </row>
    <row r="948" spans="31:98" x14ac:dyDescent="0.2">
      <c r="AE948" s="1">
        <v>44868</v>
      </c>
      <c r="AF948" s="1">
        <v>6.75</v>
      </c>
      <c r="AG948" s="1">
        <v>44824</v>
      </c>
      <c r="AH948" s="1">
        <v>7.14</v>
      </c>
      <c r="AI948" s="1">
        <v>44876</v>
      </c>
      <c r="AJ948" s="1">
        <v>7.2</v>
      </c>
      <c r="AK948" s="1">
        <v>44876</v>
      </c>
      <c r="AL948" s="1">
        <v>7.1849999999999996</v>
      </c>
      <c r="AM948" s="1">
        <v>44876</v>
      </c>
      <c r="AN948" s="1">
        <v>7.2</v>
      </c>
      <c r="AO948" s="1">
        <v>44876</v>
      </c>
      <c r="AP948" s="1">
        <v>7.2</v>
      </c>
      <c r="AQ948" s="1">
        <v>44876</v>
      </c>
      <c r="AR948" s="1">
        <v>7.05</v>
      </c>
      <c r="AS948" s="1">
        <v>44876</v>
      </c>
      <c r="AT948" s="1">
        <v>6.93</v>
      </c>
      <c r="AU948" s="1">
        <v>44876</v>
      </c>
      <c r="AV948" s="1">
        <v>6.76</v>
      </c>
      <c r="AW948" s="1">
        <v>44876</v>
      </c>
      <c r="AX948" s="2">
        <v>6.5750000000000002</v>
      </c>
      <c r="AY948" s="1">
        <v>44876</v>
      </c>
      <c r="AZ948" s="2">
        <v>6.38</v>
      </c>
      <c r="BB948" s="1">
        <v>44805</v>
      </c>
      <c r="BC948" s="1">
        <v>7</v>
      </c>
      <c r="BD948" s="1">
        <v>44823</v>
      </c>
      <c r="BE948" s="1">
        <v>7.24</v>
      </c>
      <c r="BF948" s="1">
        <v>44876</v>
      </c>
      <c r="BG948" s="1">
        <v>7.18</v>
      </c>
      <c r="BH948" s="1">
        <v>44876</v>
      </c>
      <c r="BI948" s="1">
        <v>7.1349999999999998</v>
      </c>
      <c r="BJ948" s="1">
        <v>44876</v>
      </c>
      <c r="BK948" s="1">
        <v>7.1029999999999998</v>
      </c>
      <c r="BL948" s="1">
        <v>44876</v>
      </c>
      <c r="BM948" s="1">
        <v>6.8529999999999998</v>
      </c>
      <c r="BN948" s="1">
        <v>44876</v>
      </c>
      <c r="BO948" s="1">
        <v>6.52</v>
      </c>
      <c r="BP948" s="1">
        <v>44876</v>
      </c>
      <c r="BQ948" s="1">
        <v>6.09</v>
      </c>
      <c r="BR948" s="1">
        <v>44876</v>
      </c>
      <c r="BS948" s="1">
        <v>5.35</v>
      </c>
      <c r="BT948" s="1">
        <v>44876</v>
      </c>
      <c r="BU948" s="1">
        <v>4.7249999999999996</v>
      </c>
      <c r="BV948" s="1">
        <v>44876</v>
      </c>
      <c r="BW948" s="1">
        <v>4.133</v>
      </c>
      <c r="BY948" s="1">
        <v>44811</v>
      </c>
      <c r="BZ948" s="1">
        <v>11.75</v>
      </c>
      <c r="CA948" s="1">
        <v>44816</v>
      </c>
      <c r="CB948" s="1">
        <v>12.85</v>
      </c>
      <c r="CC948" s="1">
        <v>44876</v>
      </c>
      <c r="CD948" s="1">
        <v>15.18</v>
      </c>
      <c r="CE948" s="1">
        <v>44876</v>
      </c>
      <c r="CF948" s="1">
        <v>14.292</v>
      </c>
      <c r="CG948" s="1">
        <v>44876</v>
      </c>
      <c r="CH948" s="1">
        <v>13.6</v>
      </c>
      <c r="CI948" s="1">
        <v>44876</v>
      </c>
      <c r="CJ948" s="1">
        <v>12.7</v>
      </c>
      <c r="CK948" s="1">
        <v>44876</v>
      </c>
      <c r="CL948" s="1">
        <v>11.85</v>
      </c>
      <c r="CM948" s="1">
        <v>44876</v>
      </c>
      <c r="CN948" s="1">
        <v>10.7</v>
      </c>
      <c r="CO948" s="1">
        <v>44868</v>
      </c>
      <c r="CP948" s="1">
        <v>13.32</v>
      </c>
      <c r="CQ948" s="1">
        <v>44868</v>
      </c>
      <c r="CR948" s="1">
        <v>12.2575</v>
      </c>
      <c r="CS948" s="1">
        <v>44868</v>
      </c>
      <c r="CT948" s="1">
        <v>12.04</v>
      </c>
    </row>
    <row r="949" spans="31:98" x14ac:dyDescent="0.2">
      <c r="AE949" s="1">
        <v>44867</v>
      </c>
      <c r="AF949" s="1">
        <v>6.75</v>
      </c>
      <c r="AG949" s="1">
        <v>44823</v>
      </c>
      <c r="AH949" s="1">
        <v>7.15</v>
      </c>
      <c r="AI949" s="1">
        <v>44875</v>
      </c>
      <c r="AJ949" s="1">
        <v>7.2</v>
      </c>
      <c r="AK949" s="1">
        <v>44875</v>
      </c>
      <c r="AL949" s="1">
        <v>7.1849999999999996</v>
      </c>
      <c r="AM949" s="1">
        <v>44875</v>
      </c>
      <c r="AN949" s="1">
        <v>7.2</v>
      </c>
      <c r="AO949" s="1">
        <v>44875</v>
      </c>
      <c r="AP949" s="1">
        <v>7.2</v>
      </c>
      <c r="AQ949" s="1">
        <v>44875</v>
      </c>
      <c r="AR949" s="1">
        <v>7.05</v>
      </c>
      <c r="AS949" s="1">
        <v>44875</v>
      </c>
      <c r="AT949" s="1">
        <v>6.93</v>
      </c>
      <c r="AU949" s="1">
        <v>44875</v>
      </c>
      <c r="AV949" s="1">
        <v>6.76</v>
      </c>
      <c r="AW949" s="1">
        <v>44875</v>
      </c>
      <c r="AX949" s="2">
        <v>6.5750000000000002</v>
      </c>
      <c r="AY949" s="1">
        <v>44875</v>
      </c>
      <c r="AZ949" s="2">
        <v>6.38</v>
      </c>
      <c r="BB949" s="1">
        <v>44804</v>
      </c>
      <c r="BC949" s="1">
        <v>7</v>
      </c>
      <c r="BD949" s="1">
        <v>44820</v>
      </c>
      <c r="BE949" s="1">
        <v>7.24</v>
      </c>
      <c r="BF949" s="1">
        <v>44875</v>
      </c>
      <c r="BG949" s="1">
        <v>7.23</v>
      </c>
      <c r="BH949" s="1">
        <v>44875</v>
      </c>
      <c r="BI949" s="1">
        <v>7.12</v>
      </c>
      <c r="BJ949" s="1">
        <v>44875</v>
      </c>
      <c r="BK949" s="1">
        <v>7.0949999999999998</v>
      </c>
      <c r="BL949" s="1">
        <v>44875</v>
      </c>
      <c r="BM949" s="1">
        <v>6.843</v>
      </c>
      <c r="BN949" s="1">
        <v>44875</v>
      </c>
      <c r="BO949" s="1">
        <v>6.48</v>
      </c>
      <c r="BP949" s="1">
        <v>44875</v>
      </c>
      <c r="BQ949" s="1">
        <v>6.11</v>
      </c>
      <c r="BR949" s="1">
        <v>44875</v>
      </c>
      <c r="BS949" s="1">
        <v>5.1950000000000003</v>
      </c>
      <c r="BT949" s="1">
        <v>44875</v>
      </c>
      <c r="BU949" s="1">
        <v>4.6050000000000004</v>
      </c>
      <c r="BV949" s="1">
        <v>44875</v>
      </c>
      <c r="BW949" s="1">
        <v>4.03</v>
      </c>
      <c r="BY949" s="1">
        <v>44810</v>
      </c>
      <c r="BZ949" s="1">
        <v>11.75</v>
      </c>
      <c r="CA949" s="1">
        <v>44813</v>
      </c>
      <c r="CB949" s="1">
        <v>12.85</v>
      </c>
      <c r="CC949" s="1">
        <v>44875</v>
      </c>
      <c r="CD949" s="1">
        <v>15.552</v>
      </c>
      <c r="CE949" s="1">
        <v>44875</v>
      </c>
      <c r="CF949" s="1">
        <v>14.787000000000001</v>
      </c>
      <c r="CG949" s="1">
        <v>44875</v>
      </c>
      <c r="CH949" s="1">
        <v>14.2</v>
      </c>
      <c r="CI949" s="1">
        <v>44875</v>
      </c>
      <c r="CJ949" s="1">
        <v>13.3</v>
      </c>
      <c r="CK949" s="1">
        <v>44875</v>
      </c>
      <c r="CL949" s="1">
        <v>12.4</v>
      </c>
      <c r="CM949" s="1">
        <v>44875</v>
      </c>
      <c r="CN949" s="1">
        <v>11.375</v>
      </c>
      <c r="CO949" s="1">
        <v>44867</v>
      </c>
      <c r="CP949" s="1">
        <v>13.26</v>
      </c>
      <c r="CQ949" s="1">
        <v>44867</v>
      </c>
      <c r="CR949" s="1">
        <v>12.0975</v>
      </c>
      <c r="CS949" s="1">
        <v>44867</v>
      </c>
      <c r="CT949" s="1">
        <v>11.4</v>
      </c>
    </row>
    <row r="950" spans="31:98" x14ac:dyDescent="0.2">
      <c r="AE950" s="1">
        <v>44866</v>
      </c>
      <c r="AF950" s="1">
        <v>6.75</v>
      </c>
      <c r="AG950" s="1">
        <v>44820</v>
      </c>
      <c r="AH950" s="1">
        <v>7.15</v>
      </c>
      <c r="AI950" s="1">
        <v>44874</v>
      </c>
      <c r="AJ950" s="1">
        <v>7.48</v>
      </c>
      <c r="AK950" s="1">
        <v>44874</v>
      </c>
      <c r="AL950" s="1">
        <v>7.58</v>
      </c>
      <c r="AM950" s="1">
        <v>44874</v>
      </c>
      <c r="AN950" s="1">
        <v>7.63</v>
      </c>
      <c r="AO950" s="1">
        <v>44874</v>
      </c>
      <c r="AP950" s="1">
        <v>7.73</v>
      </c>
      <c r="AQ950" s="1">
        <v>44874</v>
      </c>
      <c r="AR950" s="1">
        <v>7.69</v>
      </c>
      <c r="AS950" s="1">
        <v>44874</v>
      </c>
      <c r="AT950" s="1">
        <v>7.58</v>
      </c>
      <c r="AU950" s="1">
        <v>44874</v>
      </c>
      <c r="AV950" s="1">
        <v>7.44</v>
      </c>
      <c r="AW950" s="1">
        <v>44874</v>
      </c>
      <c r="AX950" s="2">
        <v>7.27</v>
      </c>
      <c r="AY950" s="1">
        <v>44874</v>
      </c>
      <c r="AZ950" s="2">
        <v>7.0750000000000002</v>
      </c>
      <c r="BB950" s="1">
        <v>44803</v>
      </c>
      <c r="BC950" s="1">
        <v>7</v>
      </c>
      <c r="BD950" s="1">
        <v>44819</v>
      </c>
      <c r="BE950" s="1">
        <v>7.24</v>
      </c>
      <c r="BF950" s="1">
        <v>44874</v>
      </c>
      <c r="BG950" s="1">
        <v>7.28</v>
      </c>
      <c r="BH950" s="1">
        <v>44874</v>
      </c>
      <c r="BI950" s="1">
        <v>7.2779999999999996</v>
      </c>
      <c r="BJ950" s="1">
        <v>44874</v>
      </c>
      <c r="BK950" s="1">
        <v>7.2830000000000004</v>
      </c>
      <c r="BL950" s="1">
        <v>44874</v>
      </c>
      <c r="BM950" s="1">
        <v>7.125</v>
      </c>
      <c r="BN950" s="1">
        <v>44874</v>
      </c>
      <c r="BO950" s="1">
        <v>6.83</v>
      </c>
      <c r="BP950" s="1">
        <v>44874</v>
      </c>
      <c r="BQ950" s="1">
        <v>6.5</v>
      </c>
      <c r="BR950" s="1">
        <v>44874</v>
      </c>
      <c r="BS950" s="1">
        <v>5.9429999999999996</v>
      </c>
      <c r="BT950" s="1">
        <v>44874</v>
      </c>
      <c r="BU950" s="1">
        <v>5.4829999999999997</v>
      </c>
      <c r="BV950" s="1">
        <v>44874</v>
      </c>
      <c r="BW950" s="1">
        <v>5.0229999999999997</v>
      </c>
      <c r="BY950" s="1">
        <v>44809</v>
      </c>
      <c r="BZ950" s="1">
        <v>11.75</v>
      </c>
      <c r="CA950" s="1">
        <v>44812</v>
      </c>
      <c r="CB950" s="1">
        <v>12.84</v>
      </c>
      <c r="CC950" s="1">
        <v>44874</v>
      </c>
      <c r="CD950" s="1">
        <v>16.02</v>
      </c>
      <c r="CE950" s="1">
        <v>44874</v>
      </c>
      <c r="CF950" s="1">
        <v>15.61</v>
      </c>
      <c r="CG950" s="1">
        <v>44874</v>
      </c>
      <c r="CH950" s="1">
        <v>15.25</v>
      </c>
      <c r="CI950" s="1">
        <v>44874</v>
      </c>
      <c r="CJ950" s="1">
        <v>14.25</v>
      </c>
      <c r="CK950" s="1">
        <v>44874</v>
      </c>
      <c r="CL950" s="1">
        <v>13.35</v>
      </c>
      <c r="CM950" s="1">
        <v>44874</v>
      </c>
      <c r="CN950" s="1">
        <v>12.515000000000001</v>
      </c>
      <c r="CO950" s="1">
        <v>44866</v>
      </c>
      <c r="CP950" s="1">
        <v>13.26</v>
      </c>
      <c r="CQ950" s="1">
        <v>44866</v>
      </c>
      <c r="CR950" s="1">
        <v>12.0975</v>
      </c>
      <c r="CS950" s="1">
        <v>44866</v>
      </c>
      <c r="CT950" s="1">
        <v>11.4</v>
      </c>
    </row>
    <row r="951" spans="31:98" x14ac:dyDescent="0.2">
      <c r="AE951" s="1">
        <v>44865</v>
      </c>
      <c r="AF951" s="1">
        <v>6.75</v>
      </c>
      <c r="AG951" s="1">
        <v>44819</v>
      </c>
      <c r="AH951" s="1">
        <v>7.15</v>
      </c>
      <c r="AI951" s="1">
        <v>44873</v>
      </c>
      <c r="AJ951" s="1">
        <v>7.5670000000000002</v>
      </c>
      <c r="AK951" s="1">
        <v>44873</v>
      </c>
      <c r="AL951" s="1">
        <v>7.5575000000000001</v>
      </c>
      <c r="AM951" s="1">
        <v>44873</v>
      </c>
      <c r="AN951" s="1">
        <v>7.57</v>
      </c>
      <c r="AO951" s="1">
        <v>44873</v>
      </c>
      <c r="AP951" s="1">
        <v>7.82</v>
      </c>
      <c r="AQ951" s="1">
        <v>44873</v>
      </c>
      <c r="AR951" s="1">
        <v>7.78</v>
      </c>
      <c r="AS951" s="1">
        <v>44873</v>
      </c>
      <c r="AT951" s="1">
        <v>7.68</v>
      </c>
      <c r="AU951" s="1">
        <v>44873</v>
      </c>
      <c r="AV951" s="1">
        <v>7.53</v>
      </c>
      <c r="AW951" s="1">
        <v>44873</v>
      </c>
      <c r="AX951" s="2">
        <v>7.37</v>
      </c>
      <c r="AY951" s="1">
        <v>44873</v>
      </c>
      <c r="AZ951" s="2">
        <v>7.1749999999999998</v>
      </c>
      <c r="BB951" s="1">
        <v>44802</v>
      </c>
      <c r="BC951" s="1">
        <v>7</v>
      </c>
      <c r="BD951" s="1">
        <v>44818</v>
      </c>
      <c r="BE951" s="1">
        <v>7.25</v>
      </c>
      <c r="BF951" s="1">
        <v>44873</v>
      </c>
      <c r="BG951" s="1">
        <v>7.28</v>
      </c>
      <c r="BH951" s="1">
        <v>44873</v>
      </c>
      <c r="BI951" s="1">
        <v>7.2830000000000004</v>
      </c>
      <c r="BJ951" s="1">
        <v>44873</v>
      </c>
      <c r="BK951" s="1">
        <v>7.28</v>
      </c>
      <c r="BL951" s="1">
        <v>44873</v>
      </c>
      <c r="BM951" s="1">
        <v>7.15</v>
      </c>
      <c r="BN951" s="1">
        <v>44873</v>
      </c>
      <c r="BO951" s="1">
        <v>6.8780000000000001</v>
      </c>
      <c r="BP951" s="1">
        <v>44873</v>
      </c>
      <c r="BQ951" s="1">
        <v>6.5750000000000002</v>
      </c>
      <c r="BR951" s="1">
        <v>44873</v>
      </c>
      <c r="BS951" s="1">
        <v>6.0780000000000003</v>
      </c>
      <c r="BT951" s="1">
        <v>44873</v>
      </c>
      <c r="BU951" s="1">
        <v>5.66</v>
      </c>
      <c r="BV951" s="1">
        <v>44873</v>
      </c>
      <c r="BW951" s="1">
        <v>5.23</v>
      </c>
      <c r="BY951" s="1">
        <v>44806</v>
      </c>
      <c r="BZ951" s="1">
        <v>11.75</v>
      </c>
      <c r="CA951" s="1">
        <v>44811</v>
      </c>
      <c r="CB951" s="1">
        <v>12.84</v>
      </c>
      <c r="CC951" s="1">
        <v>44873</v>
      </c>
      <c r="CD951" s="1">
        <v>16.045000000000002</v>
      </c>
      <c r="CE951" s="1">
        <v>44873</v>
      </c>
      <c r="CF951" s="1">
        <v>15.548999999999999</v>
      </c>
      <c r="CG951" s="1">
        <v>44873</v>
      </c>
      <c r="CH951" s="1">
        <v>15.14</v>
      </c>
      <c r="CI951" s="1">
        <v>44873</v>
      </c>
      <c r="CJ951" s="1">
        <v>14.26</v>
      </c>
      <c r="CK951" s="1">
        <v>44873</v>
      </c>
      <c r="CL951" s="1">
        <v>13.48</v>
      </c>
      <c r="CM951" s="1">
        <v>44873</v>
      </c>
      <c r="CN951" s="1">
        <v>12.755000000000001</v>
      </c>
      <c r="CO951" s="1">
        <v>44865</v>
      </c>
      <c r="CP951" s="1">
        <v>13.47</v>
      </c>
      <c r="CQ951" s="1">
        <v>44865</v>
      </c>
      <c r="CR951" s="1">
        <v>12.3575</v>
      </c>
      <c r="CS951" s="1">
        <v>44865</v>
      </c>
      <c r="CT951" s="1">
        <v>11.7</v>
      </c>
    </row>
    <row r="952" spans="31:98" x14ac:dyDescent="0.2">
      <c r="AE952" s="1">
        <v>44862</v>
      </c>
      <c r="AF952" s="1">
        <v>6.75</v>
      </c>
      <c r="AG952" s="1">
        <v>44818</v>
      </c>
      <c r="AH952" s="1">
        <v>7.15</v>
      </c>
      <c r="AI952" s="1">
        <v>44872</v>
      </c>
      <c r="AJ952" s="1">
        <v>7.6749999999999998</v>
      </c>
      <c r="AK952" s="1">
        <v>44872</v>
      </c>
      <c r="AL952" s="1">
        <v>7.6950000000000003</v>
      </c>
      <c r="AM952" s="1">
        <v>44872</v>
      </c>
      <c r="AN952" s="1">
        <v>7.83</v>
      </c>
      <c r="AO952" s="1">
        <v>44872</v>
      </c>
      <c r="AP952" s="1">
        <v>8.0050000000000008</v>
      </c>
      <c r="AQ952" s="1">
        <v>44872</v>
      </c>
      <c r="AR952" s="1">
        <v>7.97</v>
      </c>
      <c r="AS952" s="1">
        <v>44872</v>
      </c>
      <c r="AT952" s="1">
        <v>7.8449999999999998</v>
      </c>
      <c r="AU952" s="1">
        <v>44872</v>
      </c>
      <c r="AV952" s="1">
        <v>7.7</v>
      </c>
      <c r="AW952" s="1">
        <v>44872</v>
      </c>
      <c r="AX952" s="2">
        <v>7.5449999999999999</v>
      </c>
      <c r="AY952" s="1">
        <v>44872</v>
      </c>
      <c r="AZ952" s="2">
        <v>7.3550000000000004</v>
      </c>
      <c r="BB952" s="1">
        <v>44799</v>
      </c>
      <c r="BC952" s="1">
        <v>7</v>
      </c>
      <c r="BD952" s="1">
        <v>44817</v>
      </c>
      <c r="BE952" s="1">
        <v>7.25</v>
      </c>
      <c r="BF952" s="1">
        <v>44872</v>
      </c>
      <c r="BG952" s="1">
        <v>7.31</v>
      </c>
      <c r="BH952" s="1">
        <v>44872</v>
      </c>
      <c r="BI952" s="1">
        <v>7.32</v>
      </c>
      <c r="BJ952" s="1">
        <v>44872</v>
      </c>
      <c r="BK952" s="1">
        <v>7.3529999999999998</v>
      </c>
      <c r="BL952" s="1">
        <v>44872</v>
      </c>
      <c r="BM952" s="1">
        <v>7.2949999999999999</v>
      </c>
      <c r="BN952" s="1">
        <v>44872</v>
      </c>
      <c r="BO952" s="1">
        <v>7.0549999999999997</v>
      </c>
      <c r="BP952" s="1">
        <v>44872</v>
      </c>
      <c r="BQ952" s="1">
        <v>6.76</v>
      </c>
      <c r="BR952" s="1">
        <v>44872</v>
      </c>
      <c r="BS952" s="1">
        <v>6.36</v>
      </c>
      <c r="BT952" s="1">
        <v>44872</v>
      </c>
      <c r="BU952" s="1">
        <v>5.9850000000000003</v>
      </c>
      <c r="BV952" s="1">
        <v>44872</v>
      </c>
      <c r="BW952" s="1">
        <v>5.5579999999999998</v>
      </c>
      <c r="BY952" s="1">
        <v>44805</v>
      </c>
      <c r="BZ952" s="1">
        <v>11.75</v>
      </c>
      <c r="CA952" s="1">
        <v>44810</v>
      </c>
      <c r="CB952" s="1">
        <v>12.83</v>
      </c>
      <c r="CC952" s="1">
        <v>44872</v>
      </c>
      <c r="CD952" s="1">
        <v>16.149999999999999</v>
      </c>
      <c r="CE952" s="1">
        <v>44872</v>
      </c>
      <c r="CF952" s="1">
        <v>15.680999999999999</v>
      </c>
      <c r="CG952" s="1">
        <v>44872</v>
      </c>
      <c r="CH952" s="1">
        <v>15.3</v>
      </c>
      <c r="CI952" s="1">
        <v>44872</v>
      </c>
      <c r="CJ952" s="1">
        <v>14.45</v>
      </c>
      <c r="CK952" s="1">
        <v>44872</v>
      </c>
      <c r="CL952" s="1">
        <v>13.7</v>
      </c>
      <c r="CM952" s="1">
        <v>44872</v>
      </c>
      <c r="CN952" s="1">
        <v>12.945</v>
      </c>
      <c r="CO952" s="1">
        <v>44862</v>
      </c>
      <c r="CP952" s="1">
        <v>13.355</v>
      </c>
      <c r="CQ952" s="1">
        <v>44862</v>
      </c>
      <c r="CR952" s="1">
        <v>12.2225</v>
      </c>
      <c r="CS952" s="1">
        <v>44862</v>
      </c>
      <c r="CT952" s="1">
        <v>11.565</v>
      </c>
    </row>
    <row r="953" spans="31:98" x14ac:dyDescent="0.2">
      <c r="AE953" s="1">
        <v>44861</v>
      </c>
      <c r="AF953" s="1">
        <v>6.75</v>
      </c>
      <c r="AG953" s="1">
        <v>44817</v>
      </c>
      <c r="AH953" s="1">
        <v>7.15</v>
      </c>
      <c r="AI953" s="1">
        <v>44869</v>
      </c>
      <c r="AJ953" s="1">
        <v>7.62</v>
      </c>
      <c r="AK953" s="1">
        <v>44869</v>
      </c>
      <c r="AL953" s="1">
        <v>7.76</v>
      </c>
      <c r="AM953" s="1">
        <v>44869</v>
      </c>
      <c r="AN953" s="1">
        <v>7.9</v>
      </c>
      <c r="AO953" s="1">
        <v>44869</v>
      </c>
      <c r="AP953" s="1">
        <v>8.0950000000000006</v>
      </c>
      <c r="AQ953" s="1">
        <v>44869</v>
      </c>
      <c r="AR953" s="1">
        <v>8.0649999999999995</v>
      </c>
      <c r="AS953" s="1">
        <v>44869</v>
      </c>
      <c r="AT953" s="1">
        <v>7.9450000000000003</v>
      </c>
      <c r="AU953" s="1">
        <v>44869</v>
      </c>
      <c r="AV953" s="1">
        <v>7.8150000000000004</v>
      </c>
      <c r="AW953" s="1">
        <v>44869</v>
      </c>
      <c r="AX953" s="2">
        <v>7.67</v>
      </c>
      <c r="AY953" s="1">
        <v>44869</v>
      </c>
      <c r="AZ953" s="2">
        <v>7.4950000000000001</v>
      </c>
      <c r="BB953" s="1">
        <v>44798</v>
      </c>
      <c r="BC953" s="1">
        <v>7</v>
      </c>
      <c r="BD953" s="1">
        <v>44816</v>
      </c>
      <c r="BE953" s="1">
        <v>7.26</v>
      </c>
      <c r="BF953" s="1">
        <v>44869</v>
      </c>
      <c r="BG953" s="1">
        <v>7.32</v>
      </c>
      <c r="BH953" s="1">
        <v>44869</v>
      </c>
      <c r="BI953" s="1">
        <v>7.34</v>
      </c>
      <c r="BJ953" s="1">
        <v>44869</v>
      </c>
      <c r="BK953" s="1">
        <v>7.39</v>
      </c>
      <c r="BL953" s="1">
        <v>44869</v>
      </c>
      <c r="BM953" s="1">
        <v>7.37</v>
      </c>
      <c r="BN953" s="1">
        <v>44869</v>
      </c>
      <c r="BO953" s="1">
        <v>7.15</v>
      </c>
      <c r="BP953" s="1">
        <v>44869</v>
      </c>
      <c r="BQ953" s="1">
        <v>6.875</v>
      </c>
      <c r="BR953" s="1">
        <v>44869</v>
      </c>
      <c r="BS953" s="1">
        <v>6.4880000000000004</v>
      </c>
      <c r="BT953" s="1">
        <v>44869</v>
      </c>
      <c r="BU953" s="1">
        <v>6.12</v>
      </c>
      <c r="BV953" s="1">
        <v>44869</v>
      </c>
      <c r="BW953" s="1">
        <v>5.69</v>
      </c>
      <c r="BY953" s="1">
        <v>44804</v>
      </c>
      <c r="BZ953" s="1">
        <v>11.75</v>
      </c>
      <c r="CA953" s="1">
        <v>44809</v>
      </c>
      <c r="CB953" s="1">
        <v>12.81</v>
      </c>
      <c r="CC953" s="1">
        <v>44869</v>
      </c>
      <c r="CD953" s="1">
        <v>16.57</v>
      </c>
      <c r="CE953" s="1">
        <v>44869</v>
      </c>
      <c r="CF953" s="1">
        <v>16.25</v>
      </c>
      <c r="CG953" s="1">
        <v>44869</v>
      </c>
      <c r="CH953" s="1">
        <v>15.85</v>
      </c>
      <c r="CI953" s="1">
        <v>44869</v>
      </c>
      <c r="CJ953" s="1">
        <v>15</v>
      </c>
      <c r="CK953" s="1">
        <v>44869</v>
      </c>
      <c r="CL953" s="1">
        <v>14.25</v>
      </c>
      <c r="CM953" s="1">
        <v>44869</v>
      </c>
      <c r="CN953" s="1">
        <v>13.56</v>
      </c>
      <c r="CO953" s="1">
        <v>44861</v>
      </c>
      <c r="CP953" s="1">
        <v>13.33</v>
      </c>
      <c r="CQ953" s="1">
        <v>44861</v>
      </c>
      <c r="CR953" s="1">
        <v>12.1975</v>
      </c>
      <c r="CS953" s="1">
        <v>44861</v>
      </c>
      <c r="CT953" s="1">
        <v>11.54</v>
      </c>
    </row>
    <row r="954" spans="31:98" x14ac:dyDescent="0.2">
      <c r="AE954" s="1">
        <v>44860</v>
      </c>
      <c r="AF954" s="1">
        <v>6.75</v>
      </c>
      <c r="AG954" s="1">
        <v>44816</v>
      </c>
      <c r="AH954" s="1">
        <v>7.15</v>
      </c>
      <c r="AI954" s="1">
        <v>44868</v>
      </c>
      <c r="AJ954" s="1">
        <v>7.66</v>
      </c>
      <c r="AK954" s="1">
        <v>44868</v>
      </c>
      <c r="AL954" s="1">
        <v>7.8</v>
      </c>
      <c r="AM954" s="1">
        <v>44868</v>
      </c>
      <c r="AN954" s="1">
        <v>7.93</v>
      </c>
      <c r="AO954" s="1">
        <v>44868</v>
      </c>
      <c r="AP954" s="1">
        <v>8.1549999999999994</v>
      </c>
      <c r="AQ954" s="1">
        <v>44868</v>
      </c>
      <c r="AR954" s="1">
        <v>8.1150000000000002</v>
      </c>
      <c r="AS954" s="1">
        <v>44868</v>
      </c>
      <c r="AT954" s="1">
        <v>7.9850000000000003</v>
      </c>
      <c r="AU954" s="1">
        <v>44868</v>
      </c>
      <c r="AV954" s="1">
        <v>7.84</v>
      </c>
      <c r="AW954" s="1">
        <v>44868</v>
      </c>
      <c r="AX954" s="2">
        <v>7.6849999999999996</v>
      </c>
      <c r="AY954" s="1">
        <v>44868</v>
      </c>
      <c r="AZ954" s="2">
        <v>7.5049999999999999</v>
      </c>
      <c r="BB954" s="1">
        <v>44797</v>
      </c>
      <c r="BC954" s="1">
        <v>7</v>
      </c>
      <c r="BD954" s="1">
        <v>44813</v>
      </c>
      <c r="BE954" s="1">
        <v>7.26</v>
      </c>
      <c r="BF954" s="1">
        <v>44868</v>
      </c>
      <c r="BG954" s="1">
        <v>7.35</v>
      </c>
      <c r="BH954" s="1">
        <v>44868</v>
      </c>
      <c r="BI954" s="1">
        <v>7.38</v>
      </c>
      <c r="BJ954" s="1">
        <v>44868</v>
      </c>
      <c r="BK954" s="1">
        <v>7.42</v>
      </c>
      <c r="BL954" s="1">
        <v>44868</v>
      </c>
      <c r="BM954" s="1">
        <v>7.38</v>
      </c>
      <c r="BN954" s="1">
        <v>44868</v>
      </c>
      <c r="BO954" s="1">
        <v>7.21</v>
      </c>
      <c r="BP954" s="1">
        <v>44868</v>
      </c>
      <c r="BQ954" s="1">
        <v>6.92</v>
      </c>
      <c r="BR954" s="1">
        <v>44868</v>
      </c>
      <c r="BS954" s="1">
        <v>6.5179999999999998</v>
      </c>
      <c r="BT954" s="1">
        <v>44868</v>
      </c>
      <c r="BU954" s="1">
        <v>6.0979999999999999</v>
      </c>
      <c r="BV954" s="1">
        <v>44868</v>
      </c>
      <c r="BW954" s="1">
        <v>5.6779999999999999</v>
      </c>
      <c r="BY954" s="1">
        <v>44803</v>
      </c>
      <c r="BZ954" s="1">
        <v>10.75</v>
      </c>
      <c r="CA954" s="1">
        <v>44806</v>
      </c>
      <c r="CB954" s="1">
        <v>12.8</v>
      </c>
      <c r="CC954" s="1">
        <v>44868</v>
      </c>
      <c r="CD954" s="1">
        <v>16.844999999999999</v>
      </c>
      <c r="CE954" s="1">
        <v>44868</v>
      </c>
      <c r="CF954" s="1">
        <v>16.757999999999999</v>
      </c>
      <c r="CG954" s="1">
        <v>44868</v>
      </c>
      <c r="CH954" s="1">
        <v>16.5</v>
      </c>
      <c r="CI954" s="1">
        <v>44868</v>
      </c>
      <c r="CJ954" s="1">
        <v>15.67</v>
      </c>
      <c r="CK954" s="1">
        <v>44868</v>
      </c>
      <c r="CL954" s="1">
        <v>14.9</v>
      </c>
      <c r="CM954" s="1">
        <v>44868</v>
      </c>
      <c r="CN954" s="1">
        <v>14.06</v>
      </c>
      <c r="CO954" s="1">
        <v>44860</v>
      </c>
      <c r="CP954" s="1">
        <v>13.47</v>
      </c>
      <c r="CQ954" s="1">
        <v>44860</v>
      </c>
      <c r="CR954" s="1">
        <v>12.3575</v>
      </c>
      <c r="CS954" s="1">
        <v>44860</v>
      </c>
      <c r="CT954" s="1">
        <v>11.7</v>
      </c>
    </row>
    <row r="955" spans="31:98" x14ac:dyDescent="0.2">
      <c r="AE955" s="1">
        <v>44859</v>
      </c>
      <c r="AF955" s="1">
        <v>6.75</v>
      </c>
      <c r="AG955" s="1">
        <v>44813</v>
      </c>
      <c r="AH955" s="1">
        <v>7.15</v>
      </c>
      <c r="AI955" s="1">
        <v>44867</v>
      </c>
      <c r="AJ955" s="1">
        <v>7.63</v>
      </c>
      <c r="AK955" s="1">
        <v>44867</v>
      </c>
      <c r="AL955" s="1">
        <v>7.73</v>
      </c>
      <c r="AM955" s="1">
        <v>44867</v>
      </c>
      <c r="AN955" s="1">
        <v>7.8825000000000003</v>
      </c>
      <c r="AO955" s="1">
        <v>44867</v>
      </c>
      <c r="AP955" s="1">
        <v>8.1050000000000004</v>
      </c>
      <c r="AQ955" s="1">
        <v>44867</v>
      </c>
      <c r="AR955" s="1">
        <v>8.0850000000000009</v>
      </c>
      <c r="AS955" s="1">
        <v>44867</v>
      </c>
      <c r="AT955" s="1">
        <v>7.88</v>
      </c>
      <c r="AU955" s="1">
        <v>44867</v>
      </c>
      <c r="AV955" s="1">
        <v>7.6849999999999996</v>
      </c>
      <c r="AW955" s="1">
        <v>44867</v>
      </c>
      <c r="AX955" s="2">
        <v>7.4950000000000001</v>
      </c>
      <c r="AY955" s="1">
        <v>44867</v>
      </c>
      <c r="AZ955" s="2">
        <v>7.3049999999999997</v>
      </c>
      <c r="BB955" s="1">
        <v>44796</v>
      </c>
      <c r="BC955" s="1">
        <v>7</v>
      </c>
      <c r="BD955" s="1">
        <v>44812</v>
      </c>
      <c r="BE955" s="1">
        <v>7.26</v>
      </c>
      <c r="BF955" s="1">
        <v>44867</v>
      </c>
      <c r="BG955" s="1">
        <v>7.33</v>
      </c>
      <c r="BH955" s="1">
        <v>44867</v>
      </c>
      <c r="BI955" s="1">
        <v>7.35</v>
      </c>
      <c r="BJ955" s="1">
        <v>44867</v>
      </c>
      <c r="BK955" s="1">
        <v>7.375</v>
      </c>
      <c r="BL955" s="1">
        <v>44867</v>
      </c>
      <c r="BM955" s="1">
        <v>7.3179999999999996</v>
      </c>
      <c r="BN955" s="1">
        <v>44867</v>
      </c>
      <c r="BO955" s="1">
        <v>7.0949999999999998</v>
      </c>
      <c r="BP955" s="1">
        <v>44867</v>
      </c>
      <c r="BQ955" s="1">
        <v>6.78</v>
      </c>
      <c r="BR955" s="1">
        <v>44867</v>
      </c>
      <c r="BS955" s="1">
        <v>6.25</v>
      </c>
      <c r="BT955" s="1">
        <v>44867</v>
      </c>
      <c r="BU955" s="1">
        <v>5.77</v>
      </c>
      <c r="BV955" s="1">
        <v>44867</v>
      </c>
      <c r="BW955" s="1">
        <v>5.4</v>
      </c>
      <c r="BY955" s="1">
        <v>44802</v>
      </c>
      <c r="BZ955" s="1">
        <v>10.75</v>
      </c>
      <c r="CA955" s="1">
        <v>44805</v>
      </c>
      <c r="CB955" s="1">
        <v>12.79</v>
      </c>
      <c r="CC955" s="1">
        <v>44867</v>
      </c>
      <c r="CD955" s="1">
        <v>16.965</v>
      </c>
      <c r="CE955" s="1">
        <v>44867</v>
      </c>
      <c r="CF955" s="1">
        <v>16.86</v>
      </c>
      <c r="CG955" s="1">
        <v>44867</v>
      </c>
      <c r="CH955" s="1">
        <v>16.600000000000001</v>
      </c>
      <c r="CI955" s="1">
        <v>44867</v>
      </c>
      <c r="CJ955" s="1">
        <v>15.77</v>
      </c>
      <c r="CK955" s="1">
        <v>44867</v>
      </c>
      <c r="CL955" s="1">
        <v>14.95</v>
      </c>
      <c r="CM955" s="1">
        <v>44867</v>
      </c>
      <c r="CN955" s="1">
        <v>14.24</v>
      </c>
      <c r="CO955" s="1">
        <v>44859</v>
      </c>
      <c r="CP955" s="1">
        <v>13.72</v>
      </c>
      <c r="CQ955" s="1">
        <v>44859</v>
      </c>
      <c r="CR955" s="1">
        <v>12.6075</v>
      </c>
      <c r="CS955" s="1">
        <v>44859</v>
      </c>
      <c r="CT955" s="1">
        <v>11.95</v>
      </c>
    </row>
    <row r="956" spans="31:98" x14ac:dyDescent="0.2">
      <c r="AE956" s="1">
        <v>44858</v>
      </c>
      <c r="AF956" s="1">
        <v>6.75</v>
      </c>
      <c r="AG956" s="1">
        <v>44812</v>
      </c>
      <c r="AH956" s="1">
        <v>7.16</v>
      </c>
      <c r="AI956" s="1">
        <v>44866</v>
      </c>
      <c r="AJ956" s="1">
        <v>7.68</v>
      </c>
      <c r="AK956" s="1">
        <v>44866</v>
      </c>
      <c r="AL956" s="1">
        <v>7.86</v>
      </c>
      <c r="AM956" s="1">
        <v>44866</v>
      </c>
      <c r="AN956" s="1">
        <v>7.9950000000000001</v>
      </c>
      <c r="AO956" s="1">
        <v>44866</v>
      </c>
      <c r="AP956" s="1">
        <v>8.25</v>
      </c>
      <c r="AQ956" s="1">
        <v>44866</v>
      </c>
      <c r="AR956" s="1">
        <v>8.23</v>
      </c>
      <c r="AS956" s="1">
        <v>44866</v>
      </c>
      <c r="AT956" s="1">
        <v>8.11</v>
      </c>
      <c r="AU956" s="1">
        <v>44866</v>
      </c>
      <c r="AV956" s="1">
        <v>7.9050000000000002</v>
      </c>
      <c r="AW956" s="1">
        <v>44866</v>
      </c>
      <c r="AX956" s="2">
        <v>7.7</v>
      </c>
      <c r="AY956" s="1">
        <v>44866</v>
      </c>
      <c r="AZ956" s="2">
        <v>7.51</v>
      </c>
      <c r="BB956" s="1">
        <v>44795</v>
      </c>
      <c r="BC956" s="1">
        <v>7</v>
      </c>
      <c r="BD956" s="1">
        <v>44811</v>
      </c>
      <c r="BE956" s="1">
        <v>7.26</v>
      </c>
      <c r="BF956" s="1">
        <v>44866</v>
      </c>
      <c r="BG956" s="1">
        <v>7.32</v>
      </c>
      <c r="BH956" s="1">
        <v>44866</v>
      </c>
      <c r="BI956" s="1">
        <v>7.3630000000000004</v>
      </c>
      <c r="BJ956" s="1">
        <v>44866</v>
      </c>
      <c r="BK956" s="1">
        <v>7.3949999999999996</v>
      </c>
      <c r="BL956" s="1">
        <v>44866</v>
      </c>
      <c r="BM956" s="1">
        <v>7.3449999999999998</v>
      </c>
      <c r="BN956" s="1">
        <v>44866</v>
      </c>
      <c r="BO956" s="1">
        <v>7.15</v>
      </c>
      <c r="BP956" s="1">
        <v>44866</v>
      </c>
      <c r="BQ956" s="1">
        <v>6.835</v>
      </c>
      <c r="BR956" s="1">
        <v>44866</v>
      </c>
      <c r="BS956" s="1">
        <v>6.33</v>
      </c>
      <c r="BT956" s="1">
        <v>44866</v>
      </c>
      <c r="BU956" s="1">
        <v>5.87</v>
      </c>
      <c r="BV956" s="1">
        <v>44866</v>
      </c>
      <c r="BW956" s="1">
        <v>5.415</v>
      </c>
      <c r="BY956" s="1">
        <v>44799</v>
      </c>
      <c r="BZ956" s="1">
        <v>10.75</v>
      </c>
      <c r="CA956" s="1">
        <v>44804</v>
      </c>
      <c r="CB956" s="1">
        <v>12.76</v>
      </c>
      <c r="CC956" s="1">
        <v>44866</v>
      </c>
      <c r="CD956" s="1">
        <v>17.170000000000002</v>
      </c>
      <c r="CE956" s="1">
        <v>44866</v>
      </c>
      <c r="CF956" s="1">
        <v>17.09</v>
      </c>
      <c r="CG956" s="1">
        <v>44866</v>
      </c>
      <c r="CH956" s="1">
        <v>16.829999999999998</v>
      </c>
      <c r="CI956" s="1">
        <v>44866</v>
      </c>
      <c r="CJ956" s="1">
        <v>16.03</v>
      </c>
      <c r="CK956" s="1">
        <v>44866</v>
      </c>
      <c r="CL956" s="1">
        <v>15.18</v>
      </c>
      <c r="CM956" s="1">
        <v>44866</v>
      </c>
      <c r="CN956" s="1">
        <v>14.24</v>
      </c>
      <c r="CO956" s="1">
        <v>44858</v>
      </c>
      <c r="CP956" s="1">
        <v>14.14</v>
      </c>
      <c r="CQ956" s="1">
        <v>44858</v>
      </c>
      <c r="CR956" s="1">
        <v>13.0175</v>
      </c>
      <c r="CS956" s="1">
        <v>44858</v>
      </c>
      <c r="CT956" s="1">
        <v>12.29</v>
      </c>
    </row>
    <row r="957" spans="31:98" x14ac:dyDescent="0.2">
      <c r="AE957" s="1">
        <v>44855</v>
      </c>
      <c r="AF957" s="1">
        <v>6.75</v>
      </c>
      <c r="AG957" s="1">
        <v>44811</v>
      </c>
      <c r="AH957" s="1">
        <v>7.16</v>
      </c>
      <c r="AI957" s="1">
        <v>44865</v>
      </c>
      <c r="AJ957" s="1">
        <v>7.6849999999999996</v>
      </c>
      <c r="AK957" s="1">
        <v>44865</v>
      </c>
      <c r="AL957" s="1">
        <v>7.8239999999999998</v>
      </c>
      <c r="AM957" s="1">
        <v>44865</v>
      </c>
      <c r="AN957" s="1">
        <v>7.96</v>
      </c>
      <c r="AO957" s="1">
        <v>44865</v>
      </c>
      <c r="AP957" s="1">
        <v>8.18</v>
      </c>
      <c r="AQ957" s="1">
        <v>44865</v>
      </c>
      <c r="AR957" s="1">
        <v>8.15</v>
      </c>
      <c r="AS957" s="1">
        <v>44865</v>
      </c>
      <c r="AT957" s="1">
        <v>8.06</v>
      </c>
      <c r="AU957" s="1">
        <v>44865</v>
      </c>
      <c r="AV957" s="1">
        <v>7.8550000000000004</v>
      </c>
      <c r="AW957" s="1">
        <v>44865</v>
      </c>
      <c r="AX957" s="2">
        <v>7.65</v>
      </c>
      <c r="AY957" s="1">
        <v>44865</v>
      </c>
      <c r="AZ957" s="2">
        <v>7.46</v>
      </c>
      <c r="BB957" s="1">
        <v>44792</v>
      </c>
      <c r="BC957" s="1">
        <v>7</v>
      </c>
      <c r="BD957" s="1">
        <v>44810</v>
      </c>
      <c r="BE957" s="1">
        <v>7.26</v>
      </c>
      <c r="BF957" s="1">
        <v>44865</v>
      </c>
      <c r="BG957" s="1">
        <v>7.3849999999999998</v>
      </c>
      <c r="BH957" s="1">
        <v>44865</v>
      </c>
      <c r="BI957" s="1">
        <v>7.42</v>
      </c>
      <c r="BJ957" s="1">
        <v>44865</v>
      </c>
      <c r="BK957" s="1">
        <v>7.4530000000000003</v>
      </c>
      <c r="BL957" s="1">
        <v>44865</v>
      </c>
      <c r="BM957" s="1">
        <v>7.415</v>
      </c>
      <c r="BN957" s="1">
        <v>44865</v>
      </c>
      <c r="BO957" s="1">
        <v>7.21</v>
      </c>
      <c r="BP957" s="1">
        <v>44865</v>
      </c>
      <c r="BQ957" s="1">
        <v>6.915</v>
      </c>
      <c r="BR957" s="1">
        <v>44865</v>
      </c>
      <c r="BS957" s="1">
        <v>6.42</v>
      </c>
      <c r="BT957" s="1">
        <v>44865</v>
      </c>
      <c r="BU957" s="1">
        <v>6.0880000000000001</v>
      </c>
      <c r="BV957" s="1">
        <v>44865</v>
      </c>
      <c r="BW957" s="1">
        <v>5.593</v>
      </c>
      <c r="BY957" s="1">
        <v>44798</v>
      </c>
      <c r="BZ957" s="1">
        <v>10.75</v>
      </c>
      <c r="CA957" s="1">
        <v>44803</v>
      </c>
      <c r="CB957" s="1">
        <v>12.45</v>
      </c>
      <c r="CC957" s="1">
        <v>44865</v>
      </c>
      <c r="CD957" s="1">
        <v>17.170000000000002</v>
      </c>
      <c r="CE957" s="1">
        <v>44865</v>
      </c>
      <c r="CF957" s="1">
        <v>17.09</v>
      </c>
      <c r="CG957" s="1">
        <v>44865</v>
      </c>
      <c r="CH957" s="1">
        <v>16.829999999999998</v>
      </c>
      <c r="CI957" s="1">
        <v>44865</v>
      </c>
      <c r="CJ957" s="1">
        <v>16.03</v>
      </c>
      <c r="CK957" s="1">
        <v>44865</v>
      </c>
      <c r="CL957" s="1">
        <v>15.18</v>
      </c>
      <c r="CM957" s="1">
        <v>44865</v>
      </c>
      <c r="CN957" s="1">
        <v>14.33</v>
      </c>
      <c r="CO957" s="1">
        <v>44855</v>
      </c>
      <c r="CP957" s="1">
        <v>14.24</v>
      </c>
      <c r="CQ957" s="1">
        <v>44855</v>
      </c>
      <c r="CR957" s="1">
        <v>13.1175</v>
      </c>
      <c r="CS957" s="1">
        <v>44855</v>
      </c>
      <c r="CT957" s="1">
        <v>12.39</v>
      </c>
    </row>
    <row r="958" spans="31:98" x14ac:dyDescent="0.2">
      <c r="AE958" s="1">
        <v>44854</v>
      </c>
      <c r="AF958" s="1">
        <v>6.75</v>
      </c>
      <c r="AG958" s="1">
        <v>44810</v>
      </c>
      <c r="AH958" s="1">
        <v>7.16</v>
      </c>
      <c r="AI958" s="1">
        <v>44862</v>
      </c>
      <c r="AJ958" s="1">
        <v>7.65</v>
      </c>
      <c r="AK958" s="1">
        <v>44862</v>
      </c>
      <c r="AL958" s="1">
        <v>7.8250000000000002</v>
      </c>
      <c r="AM958" s="1">
        <v>44862</v>
      </c>
      <c r="AN958" s="1">
        <v>7.9550000000000001</v>
      </c>
      <c r="AO958" s="1">
        <v>44862</v>
      </c>
      <c r="AP958" s="1">
        <v>8.2100000000000009</v>
      </c>
      <c r="AQ958" s="1">
        <v>44862</v>
      </c>
      <c r="AR958" s="1">
        <v>8.1850000000000005</v>
      </c>
      <c r="AS958" s="1">
        <v>44862</v>
      </c>
      <c r="AT958" s="1">
        <v>8.0500000000000007</v>
      </c>
      <c r="AU958" s="1">
        <v>44862</v>
      </c>
      <c r="AV958" s="1">
        <v>7.84</v>
      </c>
      <c r="AW958" s="1">
        <v>44862</v>
      </c>
      <c r="AX958" s="2">
        <v>7.64</v>
      </c>
      <c r="AY958" s="1">
        <v>44862</v>
      </c>
      <c r="AZ958" s="2">
        <v>7.45</v>
      </c>
      <c r="BB958" s="1">
        <v>44791</v>
      </c>
      <c r="BC958" s="1">
        <v>7</v>
      </c>
      <c r="BD958" s="1">
        <v>44809</v>
      </c>
      <c r="BE958" s="1">
        <v>7.26</v>
      </c>
      <c r="BF958" s="1">
        <v>44862</v>
      </c>
      <c r="BG958" s="1">
        <v>7.36</v>
      </c>
      <c r="BH958" s="1">
        <v>44862</v>
      </c>
      <c r="BI958" s="1">
        <v>7.38</v>
      </c>
      <c r="BJ958" s="1">
        <v>44862</v>
      </c>
      <c r="BK958" s="1">
        <v>7.4</v>
      </c>
      <c r="BL958" s="1">
        <v>44862</v>
      </c>
      <c r="BM958" s="1">
        <v>7.3330000000000002</v>
      </c>
      <c r="BN958" s="1">
        <v>44861</v>
      </c>
      <c r="BO958" s="1">
        <v>7.0750000000000002</v>
      </c>
      <c r="BP958" s="1">
        <v>44862</v>
      </c>
      <c r="BQ958" s="1">
        <v>6.75</v>
      </c>
      <c r="BR958" s="1">
        <v>44862</v>
      </c>
      <c r="BS958" s="1">
        <v>6.2350000000000003</v>
      </c>
      <c r="BT958" s="1">
        <v>44862</v>
      </c>
      <c r="BU958" s="1">
        <v>5.81</v>
      </c>
      <c r="BV958" s="1">
        <v>44862</v>
      </c>
      <c r="BW958" s="1">
        <v>5.25</v>
      </c>
      <c r="BY958" s="1">
        <v>44797</v>
      </c>
      <c r="BZ958" s="1">
        <v>10.75</v>
      </c>
      <c r="CA958" s="1">
        <v>44802</v>
      </c>
      <c r="CB958" s="1">
        <v>12.36</v>
      </c>
      <c r="CC958" s="1">
        <v>44862</v>
      </c>
      <c r="CD958" s="1">
        <v>17.170000000000002</v>
      </c>
      <c r="CE958" s="1">
        <v>44862</v>
      </c>
      <c r="CF958" s="1">
        <v>17.09</v>
      </c>
      <c r="CG958" s="1">
        <v>44862</v>
      </c>
      <c r="CH958" s="1">
        <v>16.829999999999998</v>
      </c>
      <c r="CI958" s="1">
        <v>44862</v>
      </c>
      <c r="CJ958" s="1">
        <v>16.03</v>
      </c>
      <c r="CK958" s="1">
        <v>44862</v>
      </c>
      <c r="CL958" s="1">
        <v>15.18</v>
      </c>
      <c r="CM958" s="1">
        <v>44862</v>
      </c>
      <c r="CN958" s="1">
        <v>14.255000000000001</v>
      </c>
      <c r="CO958" s="1">
        <v>44854</v>
      </c>
      <c r="CP958" s="1">
        <v>13.95</v>
      </c>
      <c r="CQ958" s="1">
        <v>44854</v>
      </c>
      <c r="CR958" s="1">
        <v>12.827500000000001</v>
      </c>
      <c r="CS958" s="1">
        <v>44854</v>
      </c>
      <c r="CT958" s="1">
        <v>12.1</v>
      </c>
    </row>
    <row r="959" spans="31:98" x14ac:dyDescent="0.2">
      <c r="AE959" s="1">
        <v>44853</v>
      </c>
      <c r="AF959" s="1">
        <v>6.75</v>
      </c>
      <c r="AG959" s="1">
        <v>44809</v>
      </c>
      <c r="AH959" s="1">
        <v>7.16</v>
      </c>
      <c r="AI959" s="1">
        <v>44861</v>
      </c>
      <c r="AJ959" s="1">
        <v>7.58</v>
      </c>
      <c r="AK959" s="1">
        <v>44861</v>
      </c>
      <c r="AL959" s="1">
        <v>7.79</v>
      </c>
      <c r="AM959" s="1">
        <v>44861</v>
      </c>
      <c r="AN959" s="1">
        <v>7.9050000000000002</v>
      </c>
      <c r="AO959" s="1">
        <v>44861</v>
      </c>
      <c r="AP959" s="1">
        <v>8.1050000000000004</v>
      </c>
      <c r="AQ959" s="1">
        <v>44861</v>
      </c>
      <c r="AR959" s="1">
        <v>8.07</v>
      </c>
      <c r="AS959" s="1">
        <v>44861</v>
      </c>
      <c r="AT959" s="1">
        <v>7.8949999999999996</v>
      </c>
      <c r="AU959" s="1">
        <v>44861</v>
      </c>
      <c r="AV959" s="1">
        <v>7.69</v>
      </c>
      <c r="AW959" s="1">
        <v>44861</v>
      </c>
      <c r="AX959" s="2">
        <v>7.49</v>
      </c>
      <c r="AY959" s="1">
        <v>44861</v>
      </c>
      <c r="AZ959" s="2">
        <v>7.3</v>
      </c>
      <c r="BB959" s="1">
        <v>44790</v>
      </c>
      <c r="BC959" s="1">
        <v>7</v>
      </c>
      <c r="BD959" s="1">
        <v>44806</v>
      </c>
      <c r="BE959" s="1">
        <v>7.26</v>
      </c>
      <c r="BF959" s="1">
        <v>44861</v>
      </c>
      <c r="BG959" s="1">
        <v>7.35</v>
      </c>
      <c r="BH959" s="1">
        <v>44861</v>
      </c>
      <c r="BI959" s="1">
        <v>7.38</v>
      </c>
      <c r="BJ959" s="1">
        <v>44861</v>
      </c>
      <c r="BK959" s="1">
        <v>7.4</v>
      </c>
      <c r="BL959" s="1">
        <v>44861</v>
      </c>
      <c r="BM959" s="1">
        <v>7.3330000000000002</v>
      </c>
      <c r="BN959" s="1">
        <v>44860</v>
      </c>
      <c r="BO959" s="1">
        <v>7.11</v>
      </c>
      <c r="BP959" s="1">
        <v>44861</v>
      </c>
      <c r="BQ959" s="1">
        <v>6.75</v>
      </c>
      <c r="BR959" s="1">
        <v>44861</v>
      </c>
      <c r="BS959" s="1">
        <v>6.2350000000000003</v>
      </c>
      <c r="BT959" s="1">
        <v>44861</v>
      </c>
      <c r="BU959" s="1">
        <v>5.81</v>
      </c>
      <c r="BV959" s="1">
        <v>44861</v>
      </c>
      <c r="BW959" s="1">
        <v>5.25</v>
      </c>
      <c r="BY959" s="1">
        <v>44796</v>
      </c>
      <c r="BZ959" s="1">
        <v>10.75</v>
      </c>
      <c r="CA959" s="1">
        <v>44799</v>
      </c>
      <c r="CB959" s="1">
        <v>12.32</v>
      </c>
      <c r="CC959" s="1">
        <v>44861</v>
      </c>
      <c r="CD959" s="1">
        <v>17.175999999999998</v>
      </c>
      <c r="CE959" s="1">
        <v>44861</v>
      </c>
      <c r="CF959" s="1">
        <v>17.116</v>
      </c>
      <c r="CG959" s="1">
        <v>44861</v>
      </c>
      <c r="CH959" s="1">
        <v>16.850000000000001</v>
      </c>
      <c r="CI959" s="1">
        <v>44861</v>
      </c>
      <c r="CJ959" s="1">
        <v>16.05</v>
      </c>
      <c r="CK959" s="1">
        <v>44861</v>
      </c>
      <c r="CL959" s="1">
        <v>15.25</v>
      </c>
      <c r="CM959" s="1">
        <v>44861</v>
      </c>
      <c r="CN959" s="1">
        <v>14.23</v>
      </c>
      <c r="CO959" s="1">
        <v>44853</v>
      </c>
      <c r="CP959" s="1">
        <v>14.14</v>
      </c>
      <c r="CQ959" s="1">
        <v>44853</v>
      </c>
      <c r="CR959" s="1">
        <v>13.0175</v>
      </c>
      <c r="CS959" s="1">
        <v>44853</v>
      </c>
      <c r="CT959" s="1">
        <v>12.29</v>
      </c>
    </row>
    <row r="960" spans="31:98" x14ac:dyDescent="0.2">
      <c r="AE960" s="1">
        <v>44852</v>
      </c>
      <c r="AF960" s="1">
        <v>6.75</v>
      </c>
      <c r="AG960" s="1">
        <v>44806</v>
      </c>
      <c r="AH960" s="1">
        <v>7.15</v>
      </c>
      <c r="AI960" s="1">
        <v>44860</v>
      </c>
      <c r="AJ960" s="1">
        <v>7.57</v>
      </c>
      <c r="AK960" s="1">
        <v>44860</v>
      </c>
      <c r="AL960" s="1">
        <v>7.78</v>
      </c>
      <c r="AM960" s="1">
        <v>44860</v>
      </c>
      <c r="AN960" s="1">
        <v>7.9124999999999996</v>
      </c>
      <c r="AO960" s="1">
        <v>44860</v>
      </c>
      <c r="AP960" s="1">
        <v>8.15</v>
      </c>
      <c r="AQ960" s="1">
        <v>44860</v>
      </c>
      <c r="AR960" s="1">
        <v>8.11</v>
      </c>
      <c r="AS960" s="1">
        <v>44860</v>
      </c>
      <c r="AT960" s="1">
        <v>7.95</v>
      </c>
      <c r="AU960" s="1">
        <v>44860</v>
      </c>
      <c r="AV960" s="1">
        <v>7.7450000000000001</v>
      </c>
      <c r="AW960" s="1">
        <v>44860</v>
      </c>
      <c r="AX960" s="2">
        <v>7.5250000000000004</v>
      </c>
      <c r="AY960" s="1">
        <v>44860</v>
      </c>
      <c r="AZ960" s="2">
        <v>7.3550000000000004</v>
      </c>
      <c r="BB960" s="1">
        <v>44789</v>
      </c>
      <c r="BC960" s="1">
        <v>7</v>
      </c>
      <c r="BD960" s="1">
        <v>44805</v>
      </c>
      <c r="BE960" s="1">
        <v>7.26</v>
      </c>
      <c r="BF960" s="1">
        <v>44860</v>
      </c>
      <c r="BG960" s="1">
        <v>7.3650000000000002</v>
      </c>
      <c r="BH960" s="1">
        <v>44860</v>
      </c>
      <c r="BI960" s="1">
        <v>7.3949999999999996</v>
      </c>
      <c r="BJ960" s="1">
        <v>44860</v>
      </c>
      <c r="BK960" s="1">
        <v>7.42</v>
      </c>
      <c r="BL960" s="1">
        <v>44860</v>
      </c>
      <c r="BM960" s="1">
        <v>7.3550000000000004</v>
      </c>
      <c r="BN960" s="1">
        <v>44859</v>
      </c>
      <c r="BO960" s="1">
        <v>7.1749999999999998</v>
      </c>
      <c r="BP960" s="1">
        <v>44860</v>
      </c>
      <c r="BQ960" s="1">
        <v>6.81</v>
      </c>
      <c r="BR960" s="1">
        <v>44860</v>
      </c>
      <c r="BS960" s="1">
        <v>6.31</v>
      </c>
      <c r="BT960" s="1">
        <v>44860</v>
      </c>
      <c r="BU960" s="1">
        <v>5.8449999999999998</v>
      </c>
      <c r="BV960" s="1">
        <v>44860</v>
      </c>
      <c r="BW960" s="1">
        <v>5.2850000000000001</v>
      </c>
      <c r="BY960" s="1">
        <v>44795</v>
      </c>
      <c r="BZ960" s="1">
        <v>10.75</v>
      </c>
      <c r="CA960" s="1">
        <v>44798</v>
      </c>
      <c r="CB960" s="1">
        <v>12.28</v>
      </c>
      <c r="CC960" s="1">
        <v>44860</v>
      </c>
      <c r="CD960" s="1">
        <v>17.2</v>
      </c>
      <c r="CE960" s="1">
        <v>44860</v>
      </c>
      <c r="CF960" s="1">
        <v>17.183</v>
      </c>
      <c r="CG960" s="1">
        <v>44860</v>
      </c>
      <c r="CH960" s="1">
        <v>16.95</v>
      </c>
      <c r="CI960" s="1">
        <v>44860</v>
      </c>
      <c r="CJ960" s="1">
        <v>16.2</v>
      </c>
      <c r="CK960" s="1">
        <v>44860</v>
      </c>
      <c r="CL960" s="1">
        <v>15.39</v>
      </c>
      <c r="CM960" s="1">
        <v>44860</v>
      </c>
      <c r="CN960" s="1">
        <v>14.33</v>
      </c>
      <c r="CO960" s="1">
        <v>44852</v>
      </c>
      <c r="CP960" s="1">
        <v>14.19</v>
      </c>
      <c r="CQ960" s="1">
        <v>44852</v>
      </c>
      <c r="CR960" s="1">
        <v>13.067500000000001</v>
      </c>
      <c r="CS960" s="1">
        <v>44852</v>
      </c>
      <c r="CT960" s="1">
        <v>12.34</v>
      </c>
    </row>
    <row r="961" spans="31:98" x14ac:dyDescent="0.2">
      <c r="AE961" s="1">
        <v>44851</v>
      </c>
      <c r="AF961" s="1">
        <v>6.75</v>
      </c>
      <c r="AG961" s="1">
        <v>44805</v>
      </c>
      <c r="AH961" s="1">
        <v>7.14</v>
      </c>
      <c r="AI961" s="1">
        <v>44859</v>
      </c>
      <c r="AJ961" s="1">
        <v>7.57</v>
      </c>
      <c r="AK961" s="1">
        <v>44859</v>
      </c>
      <c r="AL961" s="1">
        <v>7.77</v>
      </c>
      <c r="AM961" s="1">
        <v>44859</v>
      </c>
      <c r="AN961" s="1">
        <v>7.8949999999999996</v>
      </c>
      <c r="AO961" s="1">
        <v>44859</v>
      </c>
      <c r="AP961" s="1">
        <v>8.1449999999999996</v>
      </c>
      <c r="AQ961" s="1">
        <v>44859</v>
      </c>
      <c r="AR961" s="1">
        <v>8.0500000000000007</v>
      </c>
      <c r="AS961" s="1">
        <v>44859</v>
      </c>
      <c r="AT961" s="1">
        <v>7.92</v>
      </c>
      <c r="AU961" s="1">
        <v>44859</v>
      </c>
      <c r="AV961" s="1">
        <v>7.77</v>
      </c>
      <c r="AW961" s="1">
        <v>44859</v>
      </c>
      <c r="AX961" s="2">
        <v>7.585</v>
      </c>
      <c r="AY961" s="1">
        <v>44859</v>
      </c>
      <c r="AZ961" s="2">
        <v>7.38</v>
      </c>
      <c r="BB961" s="1">
        <v>44788</v>
      </c>
      <c r="BC961" s="1">
        <v>7</v>
      </c>
      <c r="BD961" s="1">
        <v>44804</v>
      </c>
      <c r="BE961" s="1">
        <v>7.26</v>
      </c>
      <c r="BF961" s="1">
        <v>44859</v>
      </c>
      <c r="BG961" s="1">
        <v>7.38</v>
      </c>
      <c r="BH961" s="1">
        <v>44859</v>
      </c>
      <c r="BI961" s="1">
        <v>7.4349999999999996</v>
      </c>
      <c r="BJ961" s="1">
        <v>44859</v>
      </c>
      <c r="BK961" s="1">
        <v>7.46</v>
      </c>
      <c r="BL961" s="1">
        <v>44859</v>
      </c>
      <c r="BM961" s="1">
        <v>7.3949999999999996</v>
      </c>
      <c r="BN961" s="1">
        <v>44858</v>
      </c>
      <c r="BO961" s="1">
        <v>7.2249999999999996</v>
      </c>
      <c r="BP961" s="1">
        <v>44859</v>
      </c>
      <c r="BQ961" s="1">
        <v>6.9</v>
      </c>
      <c r="BR961" s="1">
        <v>44859</v>
      </c>
      <c r="BS961" s="1">
        <v>6.41</v>
      </c>
      <c r="BT961" s="1">
        <v>44859</v>
      </c>
      <c r="BU961" s="1">
        <v>5.92</v>
      </c>
      <c r="BV961" s="1">
        <v>44859</v>
      </c>
      <c r="BW961" s="1">
        <v>5.3449999999999998</v>
      </c>
      <c r="BY961" s="1">
        <v>44792</v>
      </c>
      <c r="BZ961" s="1">
        <v>10.75</v>
      </c>
      <c r="CA961" s="1">
        <v>44797</v>
      </c>
      <c r="CB961" s="1">
        <v>12.23</v>
      </c>
      <c r="CC961" s="1">
        <v>44859</v>
      </c>
      <c r="CD961" s="1">
        <v>17.472000000000001</v>
      </c>
      <c r="CE961" s="1">
        <v>44859</v>
      </c>
      <c r="CF961" s="1">
        <v>17.425999999999998</v>
      </c>
      <c r="CG961" s="1">
        <v>44859</v>
      </c>
      <c r="CH961" s="1">
        <v>17.149999999999999</v>
      </c>
      <c r="CI961" s="1">
        <v>44859</v>
      </c>
      <c r="CJ961" s="1">
        <v>16.399999999999999</v>
      </c>
      <c r="CK961" s="1">
        <v>44859</v>
      </c>
      <c r="CL961" s="1">
        <v>15.65</v>
      </c>
      <c r="CM961" s="1">
        <v>44859</v>
      </c>
      <c r="CN961" s="1">
        <v>14.59</v>
      </c>
      <c r="CO961" s="1">
        <v>44851</v>
      </c>
      <c r="CP961" s="1">
        <v>14.1</v>
      </c>
      <c r="CQ961" s="1">
        <v>44851</v>
      </c>
      <c r="CR961" s="1">
        <v>12.9975</v>
      </c>
      <c r="CS961" s="1">
        <v>44851</v>
      </c>
      <c r="CT961" s="1">
        <v>12.26</v>
      </c>
    </row>
    <row r="962" spans="31:98" x14ac:dyDescent="0.2">
      <c r="AE962" s="1">
        <v>44848</v>
      </c>
      <c r="AF962" s="1">
        <v>6.75</v>
      </c>
      <c r="AG962" s="1">
        <v>44804</v>
      </c>
      <c r="AH962" s="1">
        <v>7.11</v>
      </c>
      <c r="AI962" s="1">
        <v>44858</v>
      </c>
      <c r="AJ962" s="1">
        <v>7.62</v>
      </c>
      <c r="AK962" s="1">
        <v>44858</v>
      </c>
      <c r="AL962" s="1">
        <v>7.8150000000000004</v>
      </c>
      <c r="AM962" s="1">
        <v>44858</v>
      </c>
      <c r="AN962" s="1">
        <v>7.9550000000000001</v>
      </c>
      <c r="AO962" s="1">
        <v>44858</v>
      </c>
      <c r="AP962" s="1">
        <v>8.2100000000000009</v>
      </c>
      <c r="AQ962" s="1">
        <v>44858</v>
      </c>
      <c r="AR962" s="1">
        <v>8.1850000000000005</v>
      </c>
      <c r="AS962" s="1">
        <v>44858</v>
      </c>
      <c r="AT962" s="1">
        <v>8.0399999999999991</v>
      </c>
      <c r="AU962" s="1">
        <v>44858</v>
      </c>
      <c r="AV962" s="1">
        <v>7.9249999999999998</v>
      </c>
      <c r="AW962" s="1">
        <v>44858</v>
      </c>
      <c r="AX962" s="2">
        <v>7.7249999999999996</v>
      </c>
      <c r="AY962" s="1">
        <v>44858</v>
      </c>
      <c r="AZ962" s="2">
        <v>7.5250000000000004</v>
      </c>
      <c r="BB962" s="1">
        <v>44785</v>
      </c>
      <c r="BC962" s="1">
        <v>7</v>
      </c>
      <c r="BD962" s="1">
        <v>44803</v>
      </c>
      <c r="BE962" s="1">
        <v>7.25</v>
      </c>
      <c r="BF962" s="1">
        <v>44858</v>
      </c>
      <c r="BG962" s="1">
        <v>7.375</v>
      </c>
      <c r="BH962" s="1">
        <v>44858</v>
      </c>
      <c r="BI962" s="1">
        <v>7.4130000000000003</v>
      </c>
      <c r="BJ962" s="1">
        <v>44858</v>
      </c>
      <c r="BK962" s="1">
        <v>7.44</v>
      </c>
      <c r="BL962" s="1">
        <v>44858</v>
      </c>
      <c r="BM962" s="1">
        <v>7.41</v>
      </c>
      <c r="BN962" s="1">
        <v>44855</v>
      </c>
      <c r="BO962" s="1">
        <v>7.32</v>
      </c>
      <c r="BP962" s="1">
        <v>44858</v>
      </c>
      <c r="BQ962" s="1">
        <v>6.9950000000000001</v>
      </c>
      <c r="BR962" s="1">
        <v>44858</v>
      </c>
      <c r="BS962" s="1">
        <v>6.53</v>
      </c>
      <c r="BT962" s="1">
        <v>44858</v>
      </c>
      <c r="BU962" s="1">
        <v>6.0229999999999997</v>
      </c>
      <c r="BV962" s="1">
        <v>44858</v>
      </c>
      <c r="BW962" s="1">
        <v>5.5330000000000004</v>
      </c>
      <c r="BY962" s="1">
        <v>44791</v>
      </c>
      <c r="BZ962" s="1">
        <v>10.75</v>
      </c>
      <c r="CA962" s="1">
        <v>44796</v>
      </c>
      <c r="CB962" s="1">
        <v>12.15</v>
      </c>
      <c r="CC962" s="1">
        <v>44858</v>
      </c>
      <c r="CD962" s="1">
        <v>17.82</v>
      </c>
      <c r="CE962" s="1">
        <v>44858</v>
      </c>
      <c r="CF962" s="1">
        <v>17.68</v>
      </c>
      <c r="CG962" s="1">
        <v>44858</v>
      </c>
      <c r="CH962" s="1">
        <v>17.55</v>
      </c>
      <c r="CI962" s="1">
        <v>44858</v>
      </c>
      <c r="CJ962" s="1">
        <v>16.8</v>
      </c>
      <c r="CK962" s="1">
        <v>44858</v>
      </c>
      <c r="CL962" s="1">
        <v>16.05</v>
      </c>
      <c r="CM962" s="1">
        <v>44858</v>
      </c>
      <c r="CN962" s="1">
        <v>15.1</v>
      </c>
      <c r="CO962" s="1">
        <v>44848</v>
      </c>
      <c r="CP962" s="1">
        <v>13.35</v>
      </c>
      <c r="CQ962" s="1">
        <v>44848</v>
      </c>
      <c r="CR962" s="1">
        <v>12.1975</v>
      </c>
      <c r="CS962" s="1">
        <v>44848</v>
      </c>
      <c r="CT962" s="1">
        <v>11.61</v>
      </c>
    </row>
    <row r="963" spans="31:98" x14ac:dyDescent="0.2">
      <c r="AE963" s="1">
        <v>44847</v>
      </c>
      <c r="AF963" s="1">
        <v>6.75</v>
      </c>
      <c r="AG963" s="1">
        <v>44803</v>
      </c>
      <c r="AH963" s="1">
        <v>7.1</v>
      </c>
      <c r="AI963" s="1">
        <v>44855</v>
      </c>
      <c r="AJ963" s="1">
        <v>7.718</v>
      </c>
      <c r="AK963" s="1">
        <v>44855</v>
      </c>
      <c r="AL963" s="1">
        <v>7.95</v>
      </c>
      <c r="AM963" s="1">
        <v>44855</v>
      </c>
      <c r="AN963" s="1">
        <v>8.1050000000000004</v>
      </c>
      <c r="AO963" s="1">
        <v>44855</v>
      </c>
      <c r="AP963" s="1">
        <v>8.3450000000000006</v>
      </c>
      <c r="AQ963" s="1">
        <v>44855</v>
      </c>
      <c r="AR963" s="1">
        <v>8.3350000000000009</v>
      </c>
      <c r="AS963" s="1">
        <v>44855</v>
      </c>
      <c r="AT963" s="1">
        <v>8.2550000000000008</v>
      </c>
      <c r="AU963" s="1">
        <v>44855</v>
      </c>
      <c r="AV963" s="1">
        <v>8.1349999999999998</v>
      </c>
      <c r="AW963" s="1">
        <v>44855</v>
      </c>
      <c r="AX963" s="2">
        <v>7.98</v>
      </c>
      <c r="AY963" s="1">
        <v>44855</v>
      </c>
      <c r="AZ963" s="2">
        <v>7.79</v>
      </c>
      <c r="BB963" s="1">
        <v>44784</v>
      </c>
      <c r="BC963" s="1">
        <v>7</v>
      </c>
      <c r="BD963" s="1">
        <v>44802</v>
      </c>
      <c r="BE963" s="1">
        <v>7.25</v>
      </c>
      <c r="BF963" s="1">
        <v>44855</v>
      </c>
      <c r="BG963" s="1">
        <v>7.37</v>
      </c>
      <c r="BH963" s="1">
        <v>44855</v>
      </c>
      <c r="BI963" s="1">
        <v>7.4379999999999997</v>
      </c>
      <c r="BJ963" s="1">
        <v>44855</v>
      </c>
      <c r="BK963" s="1">
        <v>7.48</v>
      </c>
      <c r="BL963" s="1">
        <v>44855</v>
      </c>
      <c r="BM963" s="1">
        <v>7.4580000000000002</v>
      </c>
      <c r="BN963" s="1">
        <v>44854</v>
      </c>
      <c r="BO963" s="1">
        <v>7.35</v>
      </c>
      <c r="BP963" s="1">
        <v>44855</v>
      </c>
      <c r="BQ963" s="1">
        <v>7.1</v>
      </c>
      <c r="BR963" s="1">
        <v>44855</v>
      </c>
      <c r="BS963" s="1">
        <v>6.6950000000000003</v>
      </c>
      <c r="BT963" s="1">
        <v>44855</v>
      </c>
      <c r="BU963" s="1">
        <v>6.23</v>
      </c>
      <c r="BV963" s="1">
        <v>44855</v>
      </c>
      <c r="BW963" s="1">
        <v>5.6</v>
      </c>
      <c r="BY963" s="1">
        <v>44790</v>
      </c>
      <c r="BZ963" s="1">
        <v>10.75</v>
      </c>
      <c r="CA963" s="1">
        <v>44795</v>
      </c>
      <c r="CB963" s="1">
        <v>12.11</v>
      </c>
      <c r="CC963" s="1">
        <v>44855</v>
      </c>
      <c r="CD963" s="1">
        <v>17.867000000000001</v>
      </c>
      <c r="CE963" s="1">
        <v>44855</v>
      </c>
      <c r="CF963" s="1">
        <v>17.800999999999998</v>
      </c>
      <c r="CG963" s="1">
        <v>44855</v>
      </c>
      <c r="CH963" s="1">
        <v>17.7</v>
      </c>
      <c r="CI963" s="1">
        <v>44855</v>
      </c>
      <c r="CJ963" s="1">
        <v>16.95</v>
      </c>
      <c r="CK963" s="1">
        <v>44855</v>
      </c>
      <c r="CL963" s="1">
        <v>16.149999999999999</v>
      </c>
      <c r="CM963" s="1">
        <v>44855</v>
      </c>
      <c r="CN963" s="1">
        <v>15.2</v>
      </c>
      <c r="CO963" s="1">
        <v>44847</v>
      </c>
      <c r="CP963" s="1">
        <v>13.23</v>
      </c>
      <c r="CQ963" s="1">
        <v>44847</v>
      </c>
      <c r="CR963" s="1">
        <v>11.9475</v>
      </c>
      <c r="CS963" s="1">
        <v>44847</v>
      </c>
      <c r="CT963" s="1">
        <v>11.55</v>
      </c>
    </row>
    <row r="964" spans="31:98" x14ac:dyDescent="0.2">
      <c r="AE964" s="1">
        <v>44846</v>
      </c>
      <c r="AF964" s="1">
        <v>6.75</v>
      </c>
      <c r="AG964" s="1">
        <v>44802</v>
      </c>
      <c r="AH964" s="1">
        <v>7.08</v>
      </c>
      <c r="AI964" s="1">
        <v>44854</v>
      </c>
      <c r="AJ964" s="1">
        <v>7.71</v>
      </c>
      <c r="AK964" s="1">
        <v>44854</v>
      </c>
      <c r="AL964" s="1">
        <v>7.92</v>
      </c>
      <c r="AM964" s="1">
        <v>44854</v>
      </c>
      <c r="AN964" s="1">
        <v>8.08</v>
      </c>
      <c r="AO964" s="1">
        <v>44854</v>
      </c>
      <c r="AP964" s="1">
        <v>8.2074999999999996</v>
      </c>
      <c r="AQ964" s="1">
        <v>44854</v>
      </c>
      <c r="AR964" s="1">
        <v>8.18</v>
      </c>
      <c r="AS964" s="1">
        <v>44854</v>
      </c>
      <c r="AT964" s="1">
        <v>8.1</v>
      </c>
      <c r="AU964" s="1">
        <v>44854</v>
      </c>
      <c r="AV964" s="1">
        <v>8.01</v>
      </c>
      <c r="AW964" s="1">
        <v>44854</v>
      </c>
      <c r="AX964" s="2">
        <v>7.8550000000000004</v>
      </c>
      <c r="AY964" s="1">
        <v>44854</v>
      </c>
      <c r="AZ964" s="2">
        <v>7.7</v>
      </c>
      <c r="BB964" s="1">
        <v>44783</v>
      </c>
      <c r="BC964" s="1">
        <v>7</v>
      </c>
      <c r="BD964" s="1">
        <v>44799</v>
      </c>
      <c r="BE964" s="1">
        <v>7.25</v>
      </c>
      <c r="BF964" s="1">
        <v>44854</v>
      </c>
      <c r="BG964" s="1">
        <v>7.375</v>
      </c>
      <c r="BH964" s="1">
        <v>44854</v>
      </c>
      <c r="BI964" s="1">
        <v>7.42</v>
      </c>
      <c r="BJ964" s="1">
        <v>44854</v>
      </c>
      <c r="BK964" s="1">
        <v>7.47</v>
      </c>
      <c r="BL964" s="1">
        <v>44854</v>
      </c>
      <c r="BM964" s="1">
        <v>7.47</v>
      </c>
      <c r="BN964" s="1">
        <v>44853</v>
      </c>
      <c r="BO964" s="1">
        <v>7.23</v>
      </c>
      <c r="BP964" s="1">
        <v>44854</v>
      </c>
      <c r="BQ964" s="1">
        <v>7.14</v>
      </c>
      <c r="BR964" s="1">
        <v>44854</v>
      </c>
      <c r="BS964" s="1">
        <v>6.665</v>
      </c>
      <c r="BT964" s="1">
        <v>44854</v>
      </c>
      <c r="BU964" s="1">
        <v>6.11</v>
      </c>
      <c r="BV964" s="1">
        <v>44854</v>
      </c>
      <c r="BW964" s="1">
        <v>5.2080000000000002</v>
      </c>
      <c r="BY964" s="1">
        <v>44789</v>
      </c>
      <c r="BZ964" s="1">
        <v>10.75</v>
      </c>
      <c r="CA964" s="1">
        <v>44792</v>
      </c>
      <c r="CB964" s="1">
        <v>12.09</v>
      </c>
      <c r="CC964" s="1">
        <v>44854</v>
      </c>
      <c r="CD964" s="1">
        <v>17.78</v>
      </c>
      <c r="CE964" s="1">
        <v>44854</v>
      </c>
      <c r="CF964" s="1">
        <v>17.61</v>
      </c>
      <c r="CG964" s="1">
        <v>44854</v>
      </c>
      <c r="CH964" s="1">
        <v>17.45</v>
      </c>
      <c r="CI964" s="1">
        <v>44854</v>
      </c>
      <c r="CJ964" s="1">
        <v>16.7</v>
      </c>
      <c r="CK964" s="1">
        <v>44854</v>
      </c>
      <c r="CL964" s="1">
        <v>15.95</v>
      </c>
      <c r="CM964" s="1">
        <v>44854</v>
      </c>
      <c r="CN964" s="1">
        <v>14.91</v>
      </c>
      <c r="CO964" s="1">
        <v>44846</v>
      </c>
      <c r="CP964" s="1">
        <v>13.19</v>
      </c>
      <c r="CQ964" s="1">
        <v>44846</v>
      </c>
      <c r="CR964" s="1">
        <v>11.907500000000001</v>
      </c>
      <c r="CS964" s="1">
        <v>44846</v>
      </c>
      <c r="CT964" s="1">
        <v>11.51</v>
      </c>
    </row>
    <row r="965" spans="31:98" x14ac:dyDescent="0.2">
      <c r="AE965" s="1">
        <v>44845</v>
      </c>
      <c r="AF965" s="1">
        <v>6.75</v>
      </c>
      <c r="AG965" s="1">
        <v>44799</v>
      </c>
      <c r="AH965" s="1">
        <v>7.07</v>
      </c>
      <c r="AI965" s="1">
        <v>44853</v>
      </c>
      <c r="AJ965" s="1">
        <v>7.7350000000000003</v>
      </c>
      <c r="AK965" s="1">
        <v>44853</v>
      </c>
      <c r="AL965" s="1">
        <v>7.875</v>
      </c>
      <c r="AM965" s="1">
        <v>44853</v>
      </c>
      <c r="AN965" s="1">
        <v>8.0150000000000006</v>
      </c>
      <c r="AO965" s="1">
        <v>44853</v>
      </c>
      <c r="AP965" s="1">
        <v>8.11</v>
      </c>
      <c r="AQ965" s="1">
        <v>44853</v>
      </c>
      <c r="AR965" s="1">
        <v>8.08</v>
      </c>
      <c r="AS965" s="1">
        <v>44853</v>
      </c>
      <c r="AT965" s="1">
        <v>8.0500000000000007</v>
      </c>
      <c r="AU965" s="1">
        <v>44853</v>
      </c>
      <c r="AV965" s="1">
        <v>7.8949999999999996</v>
      </c>
      <c r="AW965" s="1">
        <v>44853</v>
      </c>
      <c r="AX965" s="2">
        <v>7.73</v>
      </c>
      <c r="AY965" s="1">
        <v>44853</v>
      </c>
      <c r="AZ965" s="2">
        <v>7.54</v>
      </c>
      <c r="BB965" s="1">
        <v>44782</v>
      </c>
      <c r="BC965" s="1">
        <v>7</v>
      </c>
      <c r="BD965" s="1">
        <v>44798</v>
      </c>
      <c r="BE965" s="1">
        <v>7.25</v>
      </c>
      <c r="BF965" s="1">
        <v>44853</v>
      </c>
      <c r="BG965" s="1">
        <v>7.37</v>
      </c>
      <c r="BH965" s="1">
        <v>44853</v>
      </c>
      <c r="BI965" s="1">
        <v>7.375</v>
      </c>
      <c r="BJ965" s="1">
        <v>44853</v>
      </c>
      <c r="BK965" s="1">
        <v>7.4</v>
      </c>
      <c r="BL965" s="1">
        <v>44853</v>
      </c>
      <c r="BM965" s="1">
        <v>7.39</v>
      </c>
      <c r="BN965" s="1">
        <v>44852</v>
      </c>
      <c r="BO965" s="1">
        <v>7.17</v>
      </c>
      <c r="BP965" s="1">
        <v>44853</v>
      </c>
      <c r="BQ965" s="1">
        <v>6.9950000000000001</v>
      </c>
      <c r="BR965" s="1">
        <v>44853</v>
      </c>
      <c r="BS965" s="1">
        <v>6.4850000000000003</v>
      </c>
      <c r="BT965" s="1">
        <v>44853</v>
      </c>
      <c r="BU965" s="1">
        <v>5.8929999999999998</v>
      </c>
      <c r="BV965" s="1">
        <v>44853</v>
      </c>
      <c r="BW965" s="1">
        <v>4.8979999999999997</v>
      </c>
      <c r="BY965" s="1">
        <v>44784</v>
      </c>
      <c r="BZ965" s="1">
        <v>10.75</v>
      </c>
      <c r="CA965" s="1">
        <v>44791</v>
      </c>
      <c r="CB965" s="1">
        <v>12.04</v>
      </c>
      <c r="CC965" s="1">
        <v>44853</v>
      </c>
      <c r="CD965" s="1">
        <v>17.815000000000001</v>
      </c>
      <c r="CE965" s="1">
        <v>44853</v>
      </c>
      <c r="CF965" s="1">
        <v>17.914000000000001</v>
      </c>
      <c r="CG965" s="1">
        <v>44853</v>
      </c>
      <c r="CH965" s="1">
        <v>17.8</v>
      </c>
      <c r="CI965" s="1">
        <v>44853</v>
      </c>
      <c r="CJ965" s="1">
        <v>16.8</v>
      </c>
      <c r="CK965" s="1">
        <v>44853</v>
      </c>
      <c r="CL965" s="1">
        <v>16.3</v>
      </c>
      <c r="CM965" s="1">
        <v>44853</v>
      </c>
      <c r="CN965" s="1">
        <v>15.1</v>
      </c>
      <c r="CO965" s="1">
        <v>44845</v>
      </c>
      <c r="CP965" s="1">
        <v>12.86</v>
      </c>
      <c r="CQ965" s="1">
        <v>44845</v>
      </c>
      <c r="CR965" s="1">
        <v>11.577500000000001</v>
      </c>
      <c r="CS965" s="1">
        <v>44845</v>
      </c>
      <c r="CT965" s="1">
        <v>11.18</v>
      </c>
    </row>
    <row r="966" spans="31:98" x14ac:dyDescent="0.2">
      <c r="AE966" s="1">
        <v>44844</v>
      </c>
      <c r="AF966" s="1">
        <v>6.75</v>
      </c>
      <c r="AG966" s="1">
        <v>44798</v>
      </c>
      <c r="AH966" s="1">
        <v>7.06</v>
      </c>
      <c r="AI966" s="1">
        <v>44852</v>
      </c>
      <c r="AJ966" s="1">
        <v>7.6970000000000001</v>
      </c>
      <c r="AK966" s="1">
        <v>44852</v>
      </c>
      <c r="AL966" s="1">
        <v>7.86</v>
      </c>
      <c r="AM966" s="1">
        <v>44852</v>
      </c>
      <c r="AN966" s="1">
        <v>7.9749999999999996</v>
      </c>
      <c r="AO966" s="1">
        <v>44852</v>
      </c>
      <c r="AP966" s="1">
        <v>8.06</v>
      </c>
      <c r="AQ966" s="1">
        <v>44852</v>
      </c>
      <c r="AR966" s="1">
        <v>7.9950000000000001</v>
      </c>
      <c r="AS966" s="1">
        <v>44852</v>
      </c>
      <c r="AT966" s="1">
        <v>7.9249999999999998</v>
      </c>
      <c r="AU966" s="1">
        <v>44852</v>
      </c>
      <c r="AV966" s="1">
        <v>7.835</v>
      </c>
      <c r="AW966" s="1">
        <v>44852</v>
      </c>
      <c r="AX966" s="2">
        <v>7.7149999999999999</v>
      </c>
      <c r="AY966" s="1">
        <v>44852</v>
      </c>
      <c r="AZ966" s="2">
        <v>7.43</v>
      </c>
      <c r="BB966" s="1">
        <v>44781</v>
      </c>
      <c r="BC966" s="1">
        <v>7</v>
      </c>
      <c r="BD966" s="1">
        <v>44797</v>
      </c>
      <c r="BE966" s="1">
        <v>7.25</v>
      </c>
      <c r="BF966" s="1">
        <v>44852</v>
      </c>
      <c r="BG966" s="1">
        <v>7.39</v>
      </c>
      <c r="BH966" s="1">
        <v>44852</v>
      </c>
      <c r="BI966" s="1">
        <v>7.38</v>
      </c>
      <c r="BJ966" s="1">
        <v>44852</v>
      </c>
      <c r="BK966" s="1">
        <v>7.4050000000000002</v>
      </c>
      <c r="BL966" s="1">
        <v>44852</v>
      </c>
      <c r="BM966" s="1">
        <v>7.3579999999999997</v>
      </c>
      <c r="BN966" s="1">
        <v>44851</v>
      </c>
      <c r="BO966" s="1">
        <v>7.15</v>
      </c>
      <c r="BP966" s="1">
        <v>44852</v>
      </c>
      <c r="BQ966" s="1">
        <v>6.94</v>
      </c>
      <c r="BR966" s="1">
        <v>44852</v>
      </c>
      <c r="BS966" s="1">
        <v>6.36</v>
      </c>
      <c r="BT966" s="1">
        <v>44852</v>
      </c>
      <c r="BU966" s="1">
        <v>5.7130000000000001</v>
      </c>
      <c r="BV966" s="1">
        <v>44852</v>
      </c>
      <c r="BW966" s="1">
        <v>4.9000000000000004</v>
      </c>
      <c r="BY966" s="1">
        <v>44783</v>
      </c>
      <c r="BZ966" s="1">
        <v>10.75</v>
      </c>
      <c r="CA966" s="1">
        <v>44790</v>
      </c>
      <c r="CB966" s="1">
        <v>12.02</v>
      </c>
      <c r="CC966" s="1">
        <v>44852</v>
      </c>
      <c r="CD966" s="1">
        <v>17.763000000000002</v>
      </c>
      <c r="CE966" s="1">
        <v>44852</v>
      </c>
      <c r="CF966" s="1">
        <v>17.841000000000001</v>
      </c>
      <c r="CG966" s="1">
        <v>44852</v>
      </c>
      <c r="CH966" s="1">
        <v>17.649999999999999</v>
      </c>
      <c r="CI966" s="1">
        <v>44852</v>
      </c>
      <c r="CJ966" s="1">
        <v>16.649999999999999</v>
      </c>
      <c r="CK966" s="1">
        <v>44852</v>
      </c>
      <c r="CL966" s="1">
        <v>16.149999999999999</v>
      </c>
      <c r="CM966" s="1">
        <v>44852</v>
      </c>
      <c r="CN966" s="1">
        <v>15.14</v>
      </c>
      <c r="CO966" s="1">
        <v>44844</v>
      </c>
      <c r="CP966" s="1">
        <v>12.06</v>
      </c>
      <c r="CQ966" s="1">
        <v>44844</v>
      </c>
      <c r="CR966" s="1">
        <v>10.727499999999999</v>
      </c>
      <c r="CS966" s="1">
        <v>44844</v>
      </c>
      <c r="CT966" s="1">
        <v>10.585000000000001</v>
      </c>
    </row>
    <row r="967" spans="31:98" x14ac:dyDescent="0.2">
      <c r="AE967" s="1">
        <v>44841</v>
      </c>
      <c r="AF967" s="1">
        <v>6.75</v>
      </c>
      <c r="AG967" s="1">
        <v>44797</v>
      </c>
      <c r="AH967" s="1">
        <v>7.06</v>
      </c>
      <c r="AI967" s="1">
        <v>44851</v>
      </c>
      <c r="AJ967" s="1">
        <v>7.63</v>
      </c>
      <c r="AK967" s="1">
        <v>44851</v>
      </c>
      <c r="AL967" s="1">
        <v>7.8650000000000002</v>
      </c>
      <c r="AM967" s="1">
        <v>44851</v>
      </c>
      <c r="AN967" s="1">
        <v>8</v>
      </c>
      <c r="AO967" s="1">
        <v>44851</v>
      </c>
      <c r="AP967" s="1">
        <v>8.0399999999999991</v>
      </c>
      <c r="AQ967" s="1">
        <v>44851</v>
      </c>
      <c r="AR967" s="1">
        <v>8.0350000000000001</v>
      </c>
      <c r="AS967" s="1">
        <v>44851</v>
      </c>
      <c r="AT967" s="1">
        <v>7.9</v>
      </c>
      <c r="AU967" s="1">
        <v>44851</v>
      </c>
      <c r="AV967" s="1">
        <v>7.7249999999999996</v>
      </c>
      <c r="AW967" s="1">
        <v>44851</v>
      </c>
      <c r="AX967" s="2">
        <v>7.55</v>
      </c>
      <c r="AY967" s="1">
        <v>44851</v>
      </c>
      <c r="AZ967" s="2">
        <v>7.31</v>
      </c>
      <c r="BB967" s="1">
        <v>44778</v>
      </c>
      <c r="BC967" s="1">
        <v>7</v>
      </c>
      <c r="BD967" s="1">
        <v>44796</v>
      </c>
      <c r="BE967" s="1">
        <v>7.25</v>
      </c>
      <c r="BF967" s="1">
        <v>44851</v>
      </c>
      <c r="BG967" s="1">
        <v>7.39</v>
      </c>
      <c r="BH967" s="1">
        <v>44851</v>
      </c>
      <c r="BI967" s="1">
        <v>7.38</v>
      </c>
      <c r="BJ967" s="1">
        <v>44851</v>
      </c>
      <c r="BK967" s="1">
        <v>7.4</v>
      </c>
      <c r="BL967" s="1">
        <v>44851</v>
      </c>
      <c r="BM967" s="1">
        <v>7.35</v>
      </c>
      <c r="BN967" s="1">
        <v>44848</v>
      </c>
      <c r="BO967" s="1">
        <v>7.1230000000000002</v>
      </c>
      <c r="BP967" s="1">
        <v>44851</v>
      </c>
      <c r="BQ967" s="1">
        <v>6.93</v>
      </c>
      <c r="BR967" s="1">
        <v>44851</v>
      </c>
      <c r="BS967" s="1">
        <v>6.2750000000000004</v>
      </c>
      <c r="BT967" s="1">
        <v>44851</v>
      </c>
      <c r="BU967" s="1">
        <v>5.5549999999999997</v>
      </c>
      <c r="BV967" s="1">
        <v>44851</v>
      </c>
      <c r="BW967" s="1">
        <v>4.78</v>
      </c>
      <c r="BY967" s="1">
        <v>44782</v>
      </c>
      <c r="BZ967" s="1">
        <v>10.75</v>
      </c>
      <c r="CA967" s="1">
        <v>44789</v>
      </c>
      <c r="CB967" s="1">
        <v>12.01</v>
      </c>
      <c r="CC967" s="1">
        <v>44851</v>
      </c>
      <c r="CD967" s="1">
        <v>17.800999999999998</v>
      </c>
      <c r="CE967" s="1">
        <v>44851</v>
      </c>
      <c r="CF967" s="1">
        <v>18.001000000000001</v>
      </c>
      <c r="CG967" s="1">
        <v>44851</v>
      </c>
      <c r="CH967" s="1">
        <v>17.8</v>
      </c>
      <c r="CI967" s="1">
        <v>44851</v>
      </c>
      <c r="CJ967" s="1">
        <v>16.7</v>
      </c>
      <c r="CK967" s="1">
        <v>44851</v>
      </c>
      <c r="CL967" s="1">
        <v>16.3</v>
      </c>
      <c r="CM967" s="1">
        <v>44851</v>
      </c>
      <c r="CN967" s="1">
        <v>15.09</v>
      </c>
      <c r="CO967" s="1">
        <v>44841</v>
      </c>
      <c r="CP967" s="1">
        <v>11.86</v>
      </c>
      <c r="CQ967" s="1">
        <v>44841</v>
      </c>
      <c r="CR967" s="1">
        <v>10.547499999999999</v>
      </c>
      <c r="CS967" s="1">
        <v>44841</v>
      </c>
      <c r="CT967" s="1">
        <v>10.425000000000001</v>
      </c>
    </row>
    <row r="968" spans="31:98" x14ac:dyDescent="0.2">
      <c r="AE968" s="1">
        <v>44840</v>
      </c>
      <c r="AF968" s="1">
        <v>6.75</v>
      </c>
      <c r="AG968" s="1">
        <v>44796</v>
      </c>
      <c r="AH968" s="1">
        <v>7.05</v>
      </c>
      <c r="AI968" s="1">
        <v>44848</v>
      </c>
      <c r="AJ968" s="1">
        <v>7.6</v>
      </c>
      <c r="AK968" s="1">
        <v>44848</v>
      </c>
      <c r="AL968" s="1">
        <v>7.8150000000000004</v>
      </c>
      <c r="AM968" s="1">
        <v>44848</v>
      </c>
      <c r="AN968" s="1">
        <v>7.915</v>
      </c>
      <c r="AO968" s="1">
        <v>44848</v>
      </c>
      <c r="AP968" s="1">
        <v>7.91</v>
      </c>
      <c r="AQ968" s="1">
        <v>44848</v>
      </c>
      <c r="AR968" s="1">
        <v>7.9</v>
      </c>
      <c r="AS968" s="1">
        <v>44848</v>
      </c>
      <c r="AT968" s="1">
        <v>7.7149999999999999</v>
      </c>
      <c r="AU968" s="1">
        <v>44848</v>
      </c>
      <c r="AV968" s="1">
        <v>7.5149999999999997</v>
      </c>
      <c r="AW968" s="1">
        <v>44848</v>
      </c>
      <c r="AX968" s="2">
        <v>7.3250000000000002</v>
      </c>
      <c r="AY968" s="1">
        <v>44848</v>
      </c>
      <c r="AZ968" s="2">
        <v>7.06</v>
      </c>
      <c r="BB968" s="1">
        <v>44777</v>
      </c>
      <c r="BC968" s="1">
        <v>7</v>
      </c>
      <c r="BD968" s="1">
        <v>44795</v>
      </c>
      <c r="BE968" s="1">
        <v>7.25</v>
      </c>
      <c r="BF968" s="1">
        <v>44848</v>
      </c>
      <c r="BG968" s="1">
        <v>7.38</v>
      </c>
      <c r="BH968" s="1">
        <v>44848</v>
      </c>
      <c r="BI968" s="1">
        <v>7.37</v>
      </c>
      <c r="BJ968" s="1">
        <v>44848</v>
      </c>
      <c r="BK968" s="1">
        <v>7.3879999999999999</v>
      </c>
      <c r="BL968" s="1">
        <v>44848</v>
      </c>
      <c r="BM968" s="1">
        <v>7.2930000000000001</v>
      </c>
      <c r="BN968" s="1">
        <v>44847</v>
      </c>
      <c r="BO968" s="1">
        <v>7.0549999999999997</v>
      </c>
      <c r="BP968" s="1">
        <v>44848</v>
      </c>
      <c r="BQ968" s="1">
        <v>6.91</v>
      </c>
      <c r="BR968" s="1">
        <v>44848</v>
      </c>
      <c r="BS968" s="1">
        <v>6.2729999999999997</v>
      </c>
      <c r="BT968" s="1">
        <v>44848</v>
      </c>
      <c r="BU968" s="1">
        <v>5.6029999999999998</v>
      </c>
      <c r="BV968" s="1">
        <v>44848</v>
      </c>
      <c r="BW968" s="1">
        <v>5.0129999999999999</v>
      </c>
      <c r="BY968" s="1">
        <v>44781</v>
      </c>
      <c r="BZ968" s="1">
        <v>10.75</v>
      </c>
      <c r="CA968" s="1">
        <v>44788</v>
      </c>
      <c r="CB968" s="1">
        <v>12.01</v>
      </c>
      <c r="CC968" s="1">
        <v>44848</v>
      </c>
      <c r="CD968" s="1">
        <v>17.059999999999999</v>
      </c>
      <c r="CE968" s="1">
        <v>44848</v>
      </c>
      <c r="CF968" s="1">
        <v>16.93</v>
      </c>
      <c r="CG968" s="1">
        <v>44848</v>
      </c>
      <c r="CH968" s="1">
        <v>16.75</v>
      </c>
      <c r="CI968" s="1">
        <v>44848</v>
      </c>
      <c r="CJ968" s="1">
        <v>15.75</v>
      </c>
      <c r="CK968" s="1">
        <v>44848</v>
      </c>
      <c r="CL968" s="1">
        <v>15.2</v>
      </c>
      <c r="CM968" s="1">
        <v>44848</v>
      </c>
      <c r="CN968" s="1">
        <v>14.36</v>
      </c>
      <c r="CO968" s="1">
        <v>44840</v>
      </c>
      <c r="CP968" s="1">
        <v>11.65</v>
      </c>
      <c r="CQ968" s="1">
        <v>44840</v>
      </c>
      <c r="CR968" s="1">
        <v>10.3375</v>
      </c>
      <c r="CS968" s="1">
        <v>44840</v>
      </c>
      <c r="CT968" s="1">
        <v>10.215</v>
      </c>
    </row>
    <row r="969" spans="31:98" x14ac:dyDescent="0.2">
      <c r="AE969" s="1">
        <v>44839</v>
      </c>
      <c r="AF969" s="1">
        <v>6.75</v>
      </c>
      <c r="AG969" s="1">
        <v>44795</v>
      </c>
      <c r="AH969" s="1">
        <v>7.06</v>
      </c>
      <c r="AI969" s="1">
        <v>44847</v>
      </c>
      <c r="AJ969" s="1">
        <v>7.415</v>
      </c>
      <c r="AK969" s="1">
        <v>44847</v>
      </c>
      <c r="AL969" s="1">
        <v>7.66</v>
      </c>
      <c r="AM969" s="1">
        <v>44847</v>
      </c>
      <c r="AN969" s="1">
        <v>7.7649999999999997</v>
      </c>
      <c r="AO969" s="1">
        <v>44847</v>
      </c>
      <c r="AP969" s="1">
        <v>7.8250000000000002</v>
      </c>
      <c r="AQ969" s="1">
        <v>44847</v>
      </c>
      <c r="AR969" s="1">
        <v>7.82</v>
      </c>
      <c r="AS969" s="1">
        <v>44847</v>
      </c>
      <c r="AT969" s="1">
        <v>7.56</v>
      </c>
      <c r="AU969" s="1">
        <v>44847</v>
      </c>
      <c r="AV969" s="1">
        <v>7.4</v>
      </c>
      <c r="AW969" s="1">
        <v>44847</v>
      </c>
      <c r="AX969" s="2">
        <v>7.2450000000000001</v>
      </c>
      <c r="AY969" s="1">
        <v>44847</v>
      </c>
      <c r="AZ969" s="2">
        <v>7.03</v>
      </c>
      <c r="BB969" s="1">
        <v>44776</v>
      </c>
      <c r="BC969" s="1">
        <v>7</v>
      </c>
      <c r="BD969" s="1">
        <v>44792</v>
      </c>
      <c r="BE969" s="1">
        <v>7.25</v>
      </c>
      <c r="BF969" s="1">
        <v>44847</v>
      </c>
      <c r="BG969" s="1">
        <v>7.31</v>
      </c>
      <c r="BH969" s="1">
        <v>44847</v>
      </c>
      <c r="BI969" s="1">
        <v>7.3049999999999997</v>
      </c>
      <c r="BJ969" s="1">
        <v>44847</v>
      </c>
      <c r="BK969" s="1">
        <v>7.3150000000000004</v>
      </c>
      <c r="BL969" s="1">
        <v>44847</v>
      </c>
      <c r="BM969" s="1">
        <v>7.26</v>
      </c>
      <c r="BN969" s="1">
        <v>44846</v>
      </c>
      <c r="BO969" s="1">
        <v>7.085</v>
      </c>
      <c r="BP969" s="1">
        <v>44847</v>
      </c>
      <c r="BQ969" s="1">
        <v>6.8</v>
      </c>
      <c r="BR969" s="1">
        <v>44847</v>
      </c>
      <c r="BS969" s="1">
        <v>6.24</v>
      </c>
      <c r="BT969" s="1">
        <v>44847</v>
      </c>
      <c r="BU969" s="1">
        <v>5.64</v>
      </c>
      <c r="BV969" s="1">
        <v>44847</v>
      </c>
      <c r="BW969" s="1">
        <v>5.12</v>
      </c>
      <c r="BY969" s="1">
        <v>44778</v>
      </c>
      <c r="BZ969" s="1">
        <v>10.75</v>
      </c>
      <c r="CA969" s="1">
        <v>44785</v>
      </c>
      <c r="CB969" s="1">
        <v>12.01</v>
      </c>
      <c r="CC969" s="1">
        <v>44847</v>
      </c>
      <c r="CD969" s="1">
        <v>14.590999999999999</v>
      </c>
      <c r="CE969" s="1">
        <v>44847</v>
      </c>
      <c r="CF969" s="1">
        <v>14.944000000000001</v>
      </c>
      <c r="CG969" s="1">
        <v>44847</v>
      </c>
      <c r="CH969" s="1">
        <v>15.2</v>
      </c>
      <c r="CI969" s="1">
        <v>44847</v>
      </c>
      <c r="CJ969" s="1">
        <v>15.1</v>
      </c>
      <c r="CK969" s="1">
        <v>44847</v>
      </c>
      <c r="CL969" s="1">
        <v>14.65</v>
      </c>
      <c r="CM969" s="1">
        <v>44847</v>
      </c>
      <c r="CN969" s="1">
        <v>14.3</v>
      </c>
      <c r="CO969" s="1">
        <v>44839</v>
      </c>
      <c r="CP969" s="1">
        <v>11.52</v>
      </c>
      <c r="CQ969" s="1">
        <v>44839</v>
      </c>
      <c r="CR969" s="1">
        <v>10.2875</v>
      </c>
      <c r="CS969" s="1">
        <v>44839</v>
      </c>
      <c r="CT969" s="1">
        <v>10.074999999999999</v>
      </c>
    </row>
    <row r="970" spans="31:98" x14ac:dyDescent="0.2">
      <c r="AE970" s="1">
        <v>44838</v>
      </c>
      <c r="AF970" s="1">
        <v>6.75</v>
      </c>
      <c r="AG970" s="1">
        <v>44792</v>
      </c>
      <c r="AH970" s="1">
        <v>7.04</v>
      </c>
      <c r="AI970" s="1">
        <v>44846</v>
      </c>
      <c r="AJ970" s="1">
        <v>7.5</v>
      </c>
      <c r="AK970" s="1">
        <v>44846</v>
      </c>
      <c r="AL970" s="1">
        <v>7.7249999999999996</v>
      </c>
      <c r="AM970" s="1">
        <v>44846</v>
      </c>
      <c r="AN970" s="1">
        <v>7.86</v>
      </c>
      <c r="AO970" s="1">
        <v>44846</v>
      </c>
      <c r="AP970" s="1">
        <v>7.9450000000000003</v>
      </c>
      <c r="AQ970" s="1">
        <v>44846</v>
      </c>
      <c r="AR970" s="1">
        <v>7.9349999999999996</v>
      </c>
      <c r="AS970" s="1">
        <v>44846</v>
      </c>
      <c r="AT970" s="1">
        <v>7.7350000000000003</v>
      </c>
      <c r="AU970" s="1">
        <v>44846</v>
      </c>
      <c r="AV970" s="1">
        <v>7.59</v>
      </c>
      <c r="AW970" s="1">
        <v>44846</v>
      </c>
      <c r="AX970" s="2">
        <v>7.4450000000000003</v>
      </c>
      <c r="AY970" s="1">
        <v>44846</v>
      </c>
      <c r="AZ970" s="2">
        <v>7.1950000000000003</v>
      </c>
      <c r="BB970" s="1">
        <v>44775</v>
      </c>
      <c r="BC970" s="1">
        <v>7</v>
      </c>
      <c r="BD970" s="1">
        <v>44791</v>
      </c>
      <c r="BE970" s="1">
        <v>7.25</v>
      </c>
      <c r="BF970" s="1">
        <v>44846</v>
      </c>
      <c r="BG970" s="1">
        <v>7.33</v>
      </c>
      <c r="BH970" s="1">
        <v>44846</v>
      </c>
      <c r="BI970" s="1">
        <v>7.3150000000000004</v>
      </c>
      <c r="BJ970" s="1">
        <v>44846</v>
      </c>
      <c r="BK970" s="1">
        <v>7.34</v>
      </c>
      <c r="BL970" s="1">
        <v>44846</v>
      </c>
      <c r="BM970" s="1">
        <v>7.27</v>
      </c>
      <c r="BN970" s="1">
        <v>44845</v>
      </c>
      <c r="BO970" s="1">
        <v>7.0780000000000003</v>
      </c>
      <c r="BP970" s="1">
        <v>44846</v>
      </c>
      <c r="BQ970" s="1">
        <v>6.86</v>
      </c>
      <c r="BR970" s="1">
        <v>44846</v>
      </c>
      <c r="BS970" s="1">
        <v>6.3179999999999996</v>
      </c>
      <c r="BT970" s="1">
        <v>44846</v>
      </c>
      <c r="BU970" s="1">
        <v>5.7350000000000003</v>
      </c>
      <c r="BV970" s="1">
        <v>44846</v>
      </c>
      <c r="BW970" s="1">
        <v>5.1449999999999996</v>
      </c>
      <c r="BY970" s="1">
        <v>44777</v>
      </c>
      <c r="BZ970" s="1">
        <v>10.75</v>
      </c>
      <c r="CA970" s="1">
        <v>44784</v>
      </c>
      <c r="CB970" s="1">
        <v>12.02</v>
      </c>
      <c r="CC970" s="1">
        <v>44846</v>
      </c>
      <c r="CD970" s="1">
        <v>14.553000000000001</v>
      </c>
      <c r="CE970" s="1">
        <v>44846</v>
      </c>
      <c r="CF970" s="1">
        <v>14.896000000000001</v>
      </c>
      <c r="CG970" s="1">
        <v>44846</v>
      </c>
      <c r="CH970" s="1">
        <v>15.2</v>
      </c>
      <c r="CI970" s="1">
        <v>44846</v>
      </c>
      <c r="CJ970" s="1">
        <v>15.12</v>
      </c>
      <c r="CK970" s="1">
        <v>44846</v>
      </c>
      <c r="CL970" s="1">
        <v>14.65</v>
      </c>
      <c r="CM970" s="1">
        <v>44846</v>
      </c>
      <c r="CN970" s="1">
        <v>14.26</v>
      </c>
      <c r="CO970" s="1">
        <v>44838</v>
      </c>
      <c r="CP970" s="1">
        <v>11.4</v>
      </c>
      <c r="CQ970" s="1">
        <v>44838</v>
      </c>
      <c r="CR970" s="1">
        <v>10.1675</v>
      </c>
      <c r="CS970" s="1">
        <v>44838</v>
      </c>
      <c r="CT970" s="1">
        <v>9.9550000000000001</v>
      </c>
    </row>
    <row r="971" spans="31:98" x14ac:dyDescent="0.2">
      <c r="AE971" s="1">
        <v>44837</v>
      </c>
      <c r="AF971" s="1">
        <v>6.75</v>
      </c>
      <c r="AG971" s="1">
        <v>44791</v>
      </c>
      <c r="AH971" s="1">
        <v>7.04</v>
      </c>
      <c r="AI971" s="1">
        <v>44845</v>
      </c>
      <c r="AJ971" s="1">
        <v>7.3</v>
      </c>
      <c r="AK971" s="1">
        <v>44845</v>
      </c>
      <c r="AL971" s="1">
        <v>7.63</v>
      </c>
      <c r="AM971" s="1">
        <v>44845</v>
      </c>
      <c r="AN971" s="1">
        <v>7.75</v>
      </c>
      <c r="AO971" s="1">
        <v>44845</v>
      </c>
      <c r="AP971" s="1">
        <v>7.82</v>
      </c>
      <c r="AQ971" s="1">
        <v>44845</v>
      </c>
      <c r="AR971" s="1">
        <v>7.8</v>
      </c>
      <c r="AS971" s="1">
        <v>44845</v>
      </c>
      <c r="AT971" s="1">
        <v>7.53</v>
      </c>
      <c r="AU971" s="1">
        <v>44845</v>
      </c>
      <c r="AV971" s="1">
        <v>7.36</v>
      </c>
      <c r="AW971" s="1">
        <v>44845</v>
      </c>
      <c r="AX971" s="2">
        <v>7.18</v>
      </c>
      <c r="AY971" s="1">
        <v>44845</v>
      </c>
      <c r="AZ971" s="2">
        <v>6.9850000000000003</v>
      </c>
      <c r="BB971" s="1">
        <v>44774</v>
      </c>
      <c r="BC971" s="1">
        <v>7</v>
      </c>
      <c r="BD971" s="1">
        <v>44790</v>
      </c>
      <c r="BE971" s="1">
        <v>7.25</v>
      </c>
      <c r="BF971" s="1">
        <v>44845</v>
      </c>
      <c r="BG971" s="1">
        <v>7.335</v>
      </c>
      <c r="BH971" s="1">
        <v>44845</v>
      </c>
      <c r="BI971" s="1">
        <v>7.3330000000000002</v>
      </c>
      <c r="BJ971" s="1">
        <v>44845</v>
      </c>
      <c r="BK971" s="1">
        <v>7.35</v>
      </c>
      <c r="BL971" s="1">
        <v>44845</v>
      </c>
      <c r="BM971" s="1">
        <v>7.26</v>
      </c>
      <c r="BN971" s="1">
        <v>44844</v>
      </c>
      <c r="BO971" s="1">
        <v>6.8650000000000002</v>
      </c>
      <c r="BP971" s="1">
        <v>44845</v>
      </c>
      <c r="BQ971" s="1">
        <v>6.8550000000000004</v>
      </c>
      <c r="BR971" s="1">
        <v>44845</v>
      </c>
      <c r="BS971" s="1">
        <v>6.25</v>
      </c>
      <c r="BT971" s="1">
        <v>44845</v>
      </c>
      <c r="BU971" s="1">
        <v>5.6079999999999997</v>
      </c>
      <c r="BV971" s="1">
        <v>44845</v>
      </c>
      <c r="BW971" s="1">
        <v>5.0579999999999998</v>
      </c>
      <c r="BY971" s="1">
        <v>44776</v>
      </c>
      <c r="BZ971" s="1">
        <v>10.75</v>
      </c>
      <c r="CA971" s="1">
        <v>44783</v>
      </c>
      <c r="CB971" s="1">
        <v>12.02</v>
      </c>
      <c r="CC971" s="1">
        <v>44845</v>
      </c>
      <c r="CD971" s="1">
        <v>14.442</v>
      </c>
      <c r="CE971" s="1">
        <v>44845</v>
      </c>
      <c r="CF971" s="1">
        <v>14.692</v>
      </c>
      <c r="CG971" s="1">
        <v>44845</v>
      </c>
      <c r="CH971" s="1">
        <v>14.94</v>
      </c>
      <c r="CI971" s="1">
        <v>44845</v>
      </c>
      <c r="CJ971" s="1">
        <v>14.86</v>
      </c>
      <c r="CK971" s="1">
        <v>44845</v>
      </c>
      <c r="CL971" s="1">
        <v>14.34</v>
      </c>
      <c r="CM971" s="1">
        <v>44845</v>
      </c>
      <c r="CN971" s="1">
        <v>13.93</v>
      </c>
      <c r="CO971" s="1">
        <v>44837</v>
      </c>
      <c r="CP971" s="1">
        <v>11.58</v>
      </c>
      <c r="CQ971" s="1">
        <v>44837</v>
      </c>
      <c r="CR971" s="1">
        <v>10.3475</v>
      </c>
      <c r="CS971" s="1">
        <v>44837</v>
      </c>
      <c r="CT971" s="1">
        <v>10.135</v>
      </c>
    </row>
    <row r="972" spans="31:98" x14ac:dyDescent="0.2">
      <c r="AE972" s="1">
        <v>44834</v>
      </c>
      <c r="AF972" s="1">
        <v>6.75</v>
      </c>
      <c r="AG972" s="1">
        <v>44790</v>
      </c>
      <c r="AH972" s="1">
        <v>7.03</v>
      </c>
      <c r="AI972" s="1">
        <v>44844</v>
      </c>
      <c r="AJ972" s="1">
        <v>7.27</v>
      </c>
      <c r="AK972" s="1">
        <v>44844</v>
      </c>
      <c r="AL972" s="1">
        <v>7.41</v>
      </c>
      <c r="AM972" s="1">
        <v>44844</v>
      </c>
      <c r="AN972" s="1">
        <v>7.4824999999999999</v>
      </c>
      <c r="AO972" s="1">
        <v>44844</v>
      </c>
      <c r="AP972" s="1">
        <v>7.585</v>
      </c>
      <c r="AQ972" s="1">
        <v>44844</v>
      </c>
      <c r="AR972" s="1">
        <v>7.5449999999999999</v>
      </c>
      <c r="AS972" s="1">
        <v>44844</v>
      </c>
      <c r="AT972" s="1">
        <v>7.26</v>
      </c>
      <c r="AU972" s="1">
        <v>44844</v>
      </c>
      <c r="AV972" s="1">
        <v>7.08</v>
      </c>
      <c r="AW972" s="1">
        <v>44844</v>
      </c>
      <c r="AX972" s="2">
        <v>6.87</v>
      </c>
      <c r="AY972" s="1">
        <v>44844</v>
      </c>
      <c r="AZ972" s="2">
        <v>6.6449999999999996</v>
      </c>
      <c r="BB972" s="1">
        <v>44771</v>
      </c>
      <c r="BC972" s="1">
        <v>7</v>
      </c>
      <c r="BD972" s="1">
        <v>44789</v>
      </c>
      <c r="BE972" s="1">
        <v>7.25</v>
      </c>
      <c r="BF972" s="1">
        <v>44844</v>
      </c>
      <c r="BG972" s="1">
        <v>7.2949999999999999</v>
      </c>
      <c r="BH972" s="1">
        <v>44844</v>
      </c>
      <c r="BI972" s="1">
        <v>7.2949999999999999</v>
      </c>
      <c r="BJ972" s="1">
        <v>44844</v>
      </c>
      <c r="BK972" s="1">
        <v>7.3049999999999997</v>
      </c>
      <c r="BL972" s="1">
        <v>44844</v>
      </c>
      <c r="BM972" s="1">
        <v>7.173</v>
      </c>
      <c r="BN972" s="1">
        <v>44841</v>
      </c>
      <c r="BO972" s="1">
        <v>6.8179999999999996</v>
      </c>
      <c r="BP972" s="1">
        <v>44844</v>
      </c>
      <c r="BQ972" s="1">
        <v>6.585</v>
      </c>
      <c r="BR972" s="1">
        <v>44844</v>
      </c>
      <c r="BS972" s="1">
        <v>5.9930000000000003</v>
      </c>
      <c r="BT972" s="1">
        <v>44844</v>
      </c>
      <c r="BU972" s="1">
        <v>5.5380000000000003</v>
      </c>
      <c r="BV972" s="1">
        <v>44844</v>
      </c>
      <c r="BW972" s="1">
        <v>5.0780000000000003</v>
      </c>
      <c r="BY972" s="1">
        <v>44775</v>
      </c>
      <c r="BZ972" s="1">
        <v>10.75</v>
      </c>
      <c r="CA972" s="1">
        <v>44782</v>
      </c>
      <c r="CB972" s="1">
        <v>12</v>
      </c>
      <c r="CC972" s="1">
        <v>44844</v>
      </c>
      <c r="CD972" s="1">
        <v>14.295</v>
      </c>
      <c r="CE972" s="1">
        <v>44844</v>
      </c>
      <c r="CF972" s="1">
        <v>14.461</v>
      </c>
      <c r="CG972" s="1">
        <v>44844</v>
      </c>
      <c r="CH972" s="1">
        <v>14.64</v>
      </c>
      <c r="CI972" s="1">
        <v>44844</v>
      </c>
      <c r="CJ972" s="1">
        <v>14.54</v>
      </c>
      <c r="CK972" s="1">
        <v>44844</v>
      </c>
      <c r="CL972" s="1">
        <v>13.99</v>
      </c>
      <c r="CM972" s="1">
        <v>44844</v>
      </c>
      <c r="CN972" s="1">
        <v>13.11</v>
      </c>
      <c r="CO972" s="1">
        <v>44834</v>
      </c>
      <c r="CP972" s="1">
        <v>11.53</v>
      </c>
      <c r="CQ972" s="1">
        <v>44834</v>
      </c>
      <c r="CR972" s="1">
        <v>10.297499999999999</v>
      </c>
      <c r="CS972" s="1">
        <v>44834</v>
      </c>
      <c r="CT972" s="1">
        <v>10.085000000000001</v>
      </c>
    </row>
    <row r="973" spans="31:98" x14ac:dyDescent="0.2">
      <c r="AE973" s="1">
        <v>44833</v>
      </c>
      <c r="AF973" s="1">
        <v>6.75</v>
      </c>
      <c r="AG973" s="1">
        <v>44789</v>
      </c>
      <c r="AH973" s="1">
        <v>7.02</v>
      </c>
      <c r="AI973" s="1">
        <v>44841</v>
      </c>
      <c r="AJ973" s="1">
        <v>7.218</v>
      </c>
      <c r="AK973" s="1">
        <v>44841</v>
      </c>
      <c r="AL973" s="1">
        <v>7.335</v>
      </c>
      <c r="AM973" s="1">
        <v>44841</v>
      </c>
      <c r="AN973" s="1">
        <v>7.4450000000000003</v>
      </c>
      <c r="AO973" s="1">
        <v>44841</v>
      </c>
      <c r="AP973" s="1">
        <v>7.5250000000000004</v>
      </c>
      <c r="AQ973" s="1">
        <v>44841</v>
      </c>
      <c r="AR973" s="1">
        <v>7.4850000000000003</v>
      </c>
      <c r="AS973" s="1">
        <v>44841</v>
      </c>
      <c r="AT973" s="1">
        <v>7.17</v>
      </c>
      <c r="AU973" s="1">
        <v>44841</v>
      </c>
      <c r="AV973" s="1">
        <v>6.98</v>
      </c>
      <c r="AW973" s="1">
        <v>44841</v>
      </c>
      <c r="AX973" s="2">
        <v>6.7850000000000001</v>
      </c>
      <c r="AY973" s="1">
        <v>44841</v>
      </c>
      <c r="AZ973" s="2">
        <v>6.7</v>
      </c>
      <c r="BB973" s="1">
        <v>44770</v>
      </c>
      <c r="BC973" s="1">
        <v>7</v>
      </c>
      <c r="BD973" s="1">
        <v>44788</v>
      </c>
      <c r="BE973" s="1">
        <v>7.25</v>
      </c>
      <c r="BF973" s="1">
        <v>44841</v>
      </c>
      <c r="BG973" s="1">
        <v>7.2850000000000001</v>
      </c>
      <c r="BH973" s="1">
        <v>44841</v>
      </c>
      <c r="BI973" s="1">
        <v>7.2850000000000001</v>
      </c>
      <c r="BJ973" s="1">
        <v>44841</v>
      </c>
      <c r="BK973" s="1">
        <v>7.298</v>
      </c>
      <c r="BL973" s="1">
        <v>44841</v>
      </c>
      <c r="BM973" s="1">
        <v>7.15</v>
      </c>
      <c r="BN973" s="1">
        <v>44840</v>
      </c>
      <c r="BO973" s="1">
        <v>6.74</v>
      </c>
      <c r="BP973" s="1">
        <v>44841</v>
      </c>
      <c r="BQ973" s="1">
        <v>6.5</v>
      </c>
      <c r="BR973" s="1">
        <v>44841</v>
      </c>
      <c r="BS973" s="1">
        <v>5.9</v>
      </c>
      <c r="BT973" s="1">
        <v>44841</v>
      </c>
      <c r="BU973" s="1">
        <v>5.3550000000000004</v>
      </c>
      <c r="BV973" s="1">
        <v>44841</v>
      </c>
      <c r="BW973" s="1">
        <v>4.8129999999999997</v>
      </c>
      <c r="BY973" s="1">
        <v>44774</v>
      </c>
      <c r="BZ973" s="1">
        <v>10.75</v>
      </c>
      <c r="CA973" s="1">
        <v>44781</v>
      </c>
      <c r="CB973" s="1">
        <v>11.98</v>
      </c>
      <c r="CC973" s="1">
        <v>44841</v>
      </c>
      <c r="CD973" s="1">
        <v>14.179</v>
      </c>
      <c r="CE973" s="1">
        <v>44841</v>
      </c>
      <c r="CF973" s="1">
        <v>14.266999999999999</v>
      </c>
      <c r="CG973" s="1">
        <v>44841</v>
      </c>
      <c r="CH973" s="1">
        <v>14.38</v>
      </c>
      <c r="CI973" s="1">
        <v>44841</v>
      </c>
      <c r="CJ973" s="1">
        <v>14.23</v>
      </c>
      <c r="CK973" s="1">
        <v>44841</v>
      </c>
      <c r="CL973" s="1">
        <v>13.63</v>
      </c>
      <c r="CM973" s="1">
        <v>44841</v>
      </c>
      <c r="CN973" s="1">
        <v>12.9</v>
      </c>
      <c r="CO973" s="1">
        <v>44833</v>
      </c>
      <c r="CP973" s="1">
        <v>11.39</v>
      </c>
      <c r="CQ973" s="1">
        <v>44833</v>
      </c>
      <c r="CR973" s="1">
        <v>10.157500000000001</v>
      </c>
      <c r="CS973" s="1">
        <v>44833</v>
      </c>
      <c r="CT973" s="1">
        <v>9.9450000000000003</v>
      </c>
    </row>
    <row r="974" spans="31:98" x14ac:dyDescent="0.2">
      <c r="AE974" s="1">
        <v>44832</v>
      </c>
      <c r="AF974" s="1">
        <v>6.75</v>
      </c>
      <c r="AG974" s="1">
        <v>44785</v>
      </c>
      <c r="AH974" s="1">
        <v>7.03</v>
      </c>
      <c r="AI974" s="1">
        <v>44840</v>
      </c>
      <c r="AJ974" s="1">
        <v>7.35</v>
      </c>
      <c r="AK974" s="1">
        <v>44840</v>
      </c>
      <c r="AL974" s="1">
        <v>7.3449999999999998</v>
      </c>
      <c r="AM974" s="1">
        <v>44840</v>
      </c>
      <c r="AN974" s="1">
        <v>7.4175000000000004</v>
      </c>
      <c r="AO974" s="1">
        <v>44840</v>
      </c>
      <c r="AP974" s="1">
        <v>7.52</v>
      </c>
      <c r="AQ974" s="1">
        <v>44840</v>
      </c>
      <c r="AR974" s="1">
        <v>7.4550000000000001</v>
      </c>
      <c r="AS974" s="1">
        <v>44840</v>
      </c>
      <c r="AT974" s="1">
        <v>7.085</v>
      </c>
      <c r="AU974" s="1">
        <v>44840</v>
      </c>
      <c r="AV974" s="1">
        <v>6.96</v>
      </c>
      <c r="AW974" s="1">
        <v>44840</v>
      </c>
      <c r="AX974" s="2">
        <v>6.76</v>
      </c>
      <c r="AY974" s="1">
        <v>44840</v>
      </c>
      <c r="AZ974" s="2">
        <v>6.53</v>
      </c>
      <c r="BB974" s="1">
        <v>44769</v>
      </c>
      <c r="BC974" s="1">
        <v>7</v>
      </c>
      <c r="BD974" s="1">
        <v>44785</v>
      </c>
      <c r="BE974" s="1">
        <v>7.26</v>
      </c>
      <c r="BF974" s="1">
        <v>44840</v>
      </c>
      <c r="BG974" s="1">
        <v>7.28</v>
      </c>
      <c r="BH974" s="1">
        <v>44840</v>
      </c>
      <c r="BI974" s="1">
        <v>7.2779999999999996</v>
      </c>
      <c r="BJ974" s="1">
        <v>44840</v>
      </c>
      <c r="BK974" s="1">
        <v>7.28</v>
      </c>
      <c r="BL974" s="1">
        <v>44840</v>
      </c>
      <c r="BM974" s="1">
        <v>7.1180000000000003</v>
      </c>
      <c r="BN974" s="1">
        <v>44839</v>
      </c>
      <c r="BO974" s="1">
        <v>6.7350000000000003</v>
      </c>
      <c r="BP974" s="1">
        <v>44840</v>
      </c>
      <c r="BQ974" s="1">
        <v>6.41</v>
      </c>
      <c r="BR974" s="1">
        <v>44840</v>
      </c>
      <c r="BS974" s="1">
        <v>5.72</v>
      </c>
      <c r="BT974" s="1">
        <v>44840</v>
      </c>
      <c r="BU974" s="1">
        <v>5.2329999999999997</v>
      </c>
      <c r="BV974" s="1">
        <v>44840</v>
      </c>
      <c r="BW974" s="1">
        <v>4.7679999999999998</v>
      </c>
      <c r="BY974" s="1">
        <v>44771</v>
      </c>
      <c r="BZ974" s="1">
        <v>10.75</v>
      </c>
      <c r="CA974" s="1">
        <v>44778</v>
      </c>
      <c r="CB974" s="1">
        <v>11.99</v>
      </c>
      <c r="CC974" s="1">
        <v>44840</v>
      </c>
      <c r="CD974" s="1">
        <v>14.109</v>
      </c>
      <c r="CE974" s="1">
        <v>44840</v>
      </c>
      <c r="CF974" s="1">
        <v>14.154999999999999</v>
      </c>
      <c r="CG974" s="1">
        <v>44840</v>
      </c>
      <c r="CH974" s="1">
        <v>14.25</v>
      </c>
      <c r="CI974" s="1">
        <v>44840</v>
      </c>
      <c r="CJ974" s="1">
        <v>14.1</v>
      </c>
      <c r="CK974" s="1">
        <v>44840</v>
      </c>
      <c r="CL974" s="1">
        <v>13.45</v>
      </c>
      <c r="CM974" s="1">
        <v>44840</v>
      </c>
      <c r="CN974" s="1">
        <v>12.69</v>
      </c>
      <c r="CO974" s="1">
        <v>44832</v>
      </c>
      <c r="CP974" s="1">
        <v>10.96</v>
      </c>
      <c r="CQ974" s="1">
        <v>44832</v>
      </c>
      <c r="CR974" s="1">
        <v>9.7274999999999991</v>
      </c>
      <c r="CS974" s="1">
        <v>44832</v>
      </c>
      <c r="CT974" s="1">
        <v>9.5150000000000006</v>
      </c>
    </row>
    <row r="975" spans="31:98" x14ac:dyDescent="0.2">
      <c r="AE975" s="1">
        <v>44831</v>
      </c>
      <c r="AF975" s="1">
        <v>6.75</v>
      </c>
      <c r="AG975" s="1">
        <v>44784</v>
      </c>
      <c r="AH975" s="1">
        <v>7.03</v>
      </c>
      <c r="AI975" s="1">
        <v>44839</v>
      </c>
      <c r="AJ975" s="1">
        <v>7.33</v>
      </c>
      <c r="AK975" s="1">
        <v>44839</v>
      </c>
      <c r="AL975" s="1">
        <v>7.4</v>
      </c>
      <c r="AM975" s="1">
        <v>44839</v>
      </c>
      <c r="AN975" s="1">
        <v>7.42</v>
      </c>
      <c r="AO975" s="1">
        <v>44839</v>
      </c>
      <c r="AP975" s="1">
        <v>7.52</v>
      </c>
      <c r="AQ975" s="1">
        <v>44839</v>
      </c>
      <c r="AR975" s="1">
        <v>7.42</v>
      </c>
      <c r="AS975" s="1">
        <v>44839</v>
      </c>
      <c r="AT975" s="1">
        <v>7.15</v>
      </c>
      <c r="AU975" s="1">
        <v>44839</v>
      </c>
      <c r="AV975" s="1">
        <v>6.9</v>
      </c>
      <c r="AW975" s="1">
        <v>44839</v>
      </c>
      <c r="AX975" s="2">
        <v>6.6449999999999996</v>
      </c>
      <c r="AY975" s="1">
        <v>44839</v>
      </c>
      <c r="AZ975" s="2">
        <v>6.43</v>
      </c>
      <c r="BB975" s="1">
        <v>44768</v>
      </c>
      <c r="BC975" s="1">
        <v>7</v>
      </c>
      <c r="BD975" s="1">
        <v>44784</v>
      </c>
      <c r="BE975" s="1">
        <v>7.27</v>
      </c>
      <c r="BF975" s="1">
        <v>44839</v>
      </c>
      <c r="BG975" s="1">
        <v>7.28</v>
      </c>
      <c r="BH975" s="1">
        <v>44839</v>
      </c>
      <c r="BI975" s="1">
        <v>7.2750000000000004</v>
      </c>
      <c r="BJ975" s="1">
        <v>44839</v>
      </c>
      <c r="BK975" s="1">
        <v>7.28</v>
      </c>
      <c r="BL975" s="1">
        <v>44839</v>
      </c>
      <c r="BM975" s="1">
        <v>7.12</v>
      </c>
      <c r="BN975" s="1">
        <v>44838</v>
      </c>
      <c r="BO975" s="1">
        <v>6.61</v>
      </c>
      <c r="BP975" s="1">
        <v>44839</v>
      </c>
      <c r="BQ975" s="1">
        <v>6.39</v>
      </c>
      <c r="BR975" s="1">
        <v>44839</v>
      </c>
      <c r="BS975" s="1">
        <v>5.7350000000000003</v>
      </c>
      <c r="BT975" s="1">
        <v>44839</v>
      </c>
      <c r="BU975" s="1">
        <v>5.2229999999999999</v>
      </c>
      <c r="BV975" s="1">
        <v>44839</v>
      </c>
      <c r="BW975" s="1">
        <v>4.8730000000000002</v>
      </c>
      <c r="BY975" s="1">
        <v>44770</v>
      </c>
      <c r="BZ975" s="1">
        <v>10.75</v>
      </c>
      <c r="CA975" s="1">
        <v>44777</v>
      </c>
      <c r="CB975" s="1">
        <v>12.03</v>
      </c>
      <c r="CC975" s="1">
        <v>44839</v>
      </c>
      <c r="CD975" s="1">
        <v>14.071999999999999</v>
      </c>
      <c r="CE975" s="1">
        <v>44839</v>
      </c>
      <c r="CF975" s="1">
        <v>14.103</v>
      </c>
      <c r="CG975" s="1">
        <v>44839</v>
      </c>
      <c r="CH975" s="1">
        <v>14.2</v>
      </c>
      <c r="CI975" s="1">
        <v>44839</v>
      </c>
      <c r="CJ975" s="1">
        <v>14</v>
      </c>
      <c r="CK975" s="1">
        <v>44839</v>
      </c>
      <c r="CL975" s="1">
        <v>13.5</v>
      </c>
      <c r="CM975" s="1">
        <v>44839</v>
      </c>
      <c r="CN975" s="1">
        <v>12.67</v>
      </c>
      <c r="CO975" s="1">
        <v>44831</v>
      </c>
      <c r="CP975" s="1">
        <v>11.01</v>
      </c>
      <c r="CQ975" s="1">
        <v>44831</v>
      </c>
      <c r="CR975" s="1">
        <v>9.8074999999999992</v>
      </c>
      <c r="CS975" s="1">
        <v>44831</v>
      </c>
      <c r="CT975" s="1">
        <v>9.6150000000000002</v>
      </c>
    </row>
    <row r="976" spans="31:98" x14ac:dyDescent="0.2">
      <c r="AE976" s="1">
        <v>44830</v>
      </c>
      <c r="AF976" s="1">
        <v>6.75</v>
      </c>
      <c r="AG976" s="1">
        <v>44783</v>
      </c>
      <c r="AH976" s="1">
        <v>7.03</v>
      </c>
      <c r="AI976" s="1">
        <v>44838</v>
      </c>
      <c r="AJ976" s="1">
        <v>7.4379999999999997</v>
      </c>
      <c r="AK976" s="1">
        <v>44838</v>
      </c>
      <c r="AL976" s="1">
        <v>7.53</v>
      </c>
      <c r="AM976" s="1">
        <v>44838</v>
      </c>
      <c r="AN976" s="1">
        <v>7.66</v>
      </c>
      <c r="AO976" s="1">
        <v>44838</v>
      </c>
      <c r="AP976" s="1">
        <v>7.73</v>
      </c>
      <c r="AQ976" s="1">
        <v>44838</v>
      </c>
      <c r="AR976" s="1">
        <v>7.59</v>
      </c>
      <c r="AS976" s="1">
        <v>44838</v>
      </c>
      <c r="AT976" s="1">
        <v>7.36</v>
      </c>
      <c r="AU976" s="1">
        <v>44838</v>
      </c>
      <c r="AV976" s="1">
        <v>7.0049999999999999</v>
      </c>
      <c r="AW976" s="1">
        <v>44838</v>
      </c>
      <c r="AX976" s="2">
        <v>6.66</v>
      </c>
      <c r="AY976" s="1">
        <v>44838</v>
      </c>
      <c r="AZ976" s="2">
        <v>6.375</v>
      </c>
      <c r="BB976" s="1">
        <v>44767</v>
      </c>
      <c r="BC976" s="1">
        <v>7</v>
      </c>
      <c r="BD976" s="1">
        <v>44783</v>
      </c>
      <c r="BE976" s="1">
        <v>7.28</v>
      </c>
      <c r="BF976" s="1">
        <v>44838</v>
      </c>
      <c r="BG976" s="1">
        <v>7.24</v>
      </c>
      <c r="BH976" s="1">
        <v>44838</v>
      </c>
      <c r="BI976" s="1">
        <v>7.2549999999999999</v>
      </c>
      <c r="BJ976" s="1">
        <v>44838</v>
      </c>
      <c r="BK976" s="1">
        <v>7.2549999999999999</v>
      </c>
      <c r="BL976" s="1">
        <v>44838</v>
      </c>
      <c r="BM976" s="1">
        <v>7.04</v>
      </c>
      <c r="BN976" s="1">
        <v>44837</v>
      </c>
      <c r="BO976" s="1">
        <v>6.55</v>
      </c>
      <c r="BP976" s="1">
        <v>44838</v>
      </c>
      <c r="BQ976" s="1">
        <v>6.26</v>
      </c>
      <c r="BR976" s="1">
        <v>44838</v>
      </c>
      <c r="BS976" s="1">
        <v>5.5350000000000001</v>
      </c>
      <c r="BT976" s="1">
        <v>44838</v>
      </c>
      <c r="BU976" s="1">
        <v>5.01</v>
      </c>
      <c r="BV976" s="1">
        <v>44838</v>
      </c>
      <c r="BW976" s="1">
        <v>4.6280000000000001</v>
      </c>
      <c r="BY976" s="1">
        <v>44769</v>
      </c>
      <c r="BZ976" s="1">
        <v>10.75</v>
      </c>
      <c r="CA976" s="1">
        <v>44776</v>
      </c>
      <c r="CB976" s="1">
        <v>12.05</v>
      </c>
      <c r="CC976" s="1">
        <v>44838</v>
      </c>
      <c r="CD976" s="1">
        <v>13.875999999999999</v>
      </c>
      <c r="CE976" s="1">
        <v>44838</v>
      </c>
      <c r="CF976" s="1">
        <v>13.936</v>
      </c>
      <c r="CG976" s="1">
        <v>44838</v>
      </c>
      <c r="CH976" s="1">
        <v>13.93</v>
      </c>
      <c r="CI976" s="1">
        <v>44838</v>
      </c>
      <c r="CJ976" s="1">
        <v>13.62</v>
      </c>
      <c r="CK976" s="1">
        <v>44838</v>
      </c>
      <c r="CL976" s="1">
        <v>13.24</v>
      </c>
      <c r="CM976" s="1">
        <v>44838</v>
      </c>
      <c r="CN976" s="1">
        <v>12.37</v>
      </c>
      <c r="CO976" s="1">
        <v>44830</v>
      </c>
      <c r="CP976" s="1">
        <v>11.79</v>
      </c>
      <c r="CQ976" s="1">
        <v>44830</v>
      </c>
      <c r="CR976" s="1">
        <v>10.6075</v>
      </c>
      <c r="CS976" s="1">
        <v>44830</v>
      </c>
      <c r="CT976" s="1">
        <v>10.365</v>
      </c>
    </row>
    <row r="977" spans="31:98" x14ac:dyDescent="0.2">
      <c r="AE977" s="1">
        <v>44827</v>
      </c>
      <c r="AF977" s="1">
        <v>6.75</v>
      </c>
      <c r="AG977" s="1">
        <v>44782</v>
      </c>
      <c r="AH977" s="1">
        <v>7.03</v>
      </c>
      <c r="AI977" s="1">
        <v>44837</v>
      </c>
      <c r="AJ977" s="1">
        <v>7.4870000000000001</v>
      </c>
      <c r="AK977" s="1">
        <v>44837</v>
      </c>
      <c r="AL977" s="1">
        <v>7.6150000000000002</v>
      </c>
      <c r="AM977" s="1">
        <v>44837</v>
      </c>
      <c r="AN977" s="1">
        <v>7.73</v>
      </c>
      <c r="AO977" s="1">
        <v>44837</v>
      </c>
      <c r="AP977" s="1">
        <v>7.83</v>
      </c>
      <c r="AQ977" s="1">
        <v>44837</v>
      </c>
      <c r="AR977" s="1">
        <v>7.7350000000000003</v>
      </c>
      <c r="AS977" s="1">
        <v>44837</v>
      </c>
      <c r="AT977" s="1">
        <v>7.4749999999999996</v>
      </c>
      <c r="AU977" s="1">
        <v>44837</v>
      </c>
      <c r="AV977" s="1">
        <v>7.2050000000000001</v>
      </c>
      <c r="AW977" s="1">
        <v>44837</v>
      </c>
      <c r="AX977" s="2">
        <v>6.91</v>
      </c>
      <c r="AY977" s="1">
        <v>44837</v>
      </c>
      <c r="AZ977" s="2">
        <v>6.6</v>
      </c>
      <c r="BB977" s="1">
        <v>44764</v>
      </c>
      <c r="BC977" s="1">
        <v>7</v>
      </c>
      <c r="BD977" s="1">
        <v>44782</v>
      </c>
      <c r="BE977" s="1">
        <v>7.29</v>
      </c>
      <c r="BF977" s="1">
        <v>44837</v>
      </c>
      <c r="BG977" s="1">
        <v>7.24</v>
      </c>
      <c r="BH977" s="1">
        <v>44837</v>
      </c>
      <c r="BI977" s="1">
        <v>7.2450000000000001</v>
      </c>
      <c r="BJ977" s="1">
        <v>44837</v>
      </c>
      <c r="BK977" s="1">
        <v>7.24</v>
      </c>
      <c r="BL977" s="1">
        <v>44837</v>
      </c>
      <c r="BM977" s="1">
        <v>7.02</v>
      </c>
      <c r="BN977" s="1">
        <v>44834</v>
      </c>
      <c r="BO977" s="1">
        <v>6.843</v>
      </c>
      <c r="BP977" s="1">
        <v>44837</v>
      </c>
      <c r="BQ977" s="1">
        <v>6.24</v>
      </c>
      <c r="BR977" s="1">
        <v>44837</v>
      </c>
      <c r="BS977" s="1">
        <v>5.633</v>
      </c>
      <c r="BT977" s="1">
        <v>44837</v>
      </c>
      <c r="BU977" s="1">
        <v>5.1680000000000001</v>
      </c>
      <c r="BV977" s="1">
        <v>44837</v>
      </c>
      <c r="BW977" s="1">
        <v>4.7080000000000002</v>
      </c>
      <c r="BY977" s="1">
        <v>44768</v>
      </c>
      <c r="BZ977" s="1">
        <v>9.75</v>
      </c>
      <c r="CA977" s="1">
        <v>44775</v>
      </c>
      <c r="CB977" s="1">
        <v>12.04</v>
      </c>
      <c r="CC977" s="1">
        <v>44837</v>
      </c>
      <c r="CD977" s="1">
        <v>13.87</v>
      </c>
      <c r="CE977" s="1">
        <v>44837</v>
      </c>
      <c r="CF977" s="1">
        <v>13.958</v>
      </c>
      <c r="CG977" s="1">
        <v>44837</v>
      </c>
      <c r="CH977" s="1">
        <v>14</v>
      </c>
      <c r="CI977" s="1">
        <v>44837</v>
      </c>
      <c r="CJ977" s="1">
        <v>13.75</v>
      </c>
      <c r="CK977" s="1">
        <v>44837</v>
      </c>
      <c r="CL977" s="1">
        <v>13.3</v>
      </c>
      <c r="CM977" s="1">
        <v>44837</v>
      </c>
      <c r="CN977" s="1">
        <v>12.55</v>
      </c>
      <c r="CO977" s="1">
        <v>44827</v>
      </c>
      <c r="CP977" s="1">
        <v>11.62</v>
      </c>
      <c r="CQ977" s="1">
        <v>44827</v>
      </c>
      <c r="CR977" s="1">
        <v>10.477499999999999</v>
      </c>
      <c r="CS977" s="1">
        <v>44827</v>
      </c>
      <c r="CT977" s="1">
        <v>10.154999999999999</v>
      </c>
    </row>
    <row r="978" spans="31:98" x14ac:dyDescent="0.2">
      <c r="AE978" s="1">
        <v>44826</v>
      </c>
      <c r="AF978" s="1">
        <v>6.75</v>
      </c>
      <c r="AG978" s="1">
        <v>44781</v>
      </c>
      <c r="AH978" s="1">
        <v>7.03</v>
      </c>
      <c r="AI978" s="1">
        <v>44834</v>
      </c>
      <c r="AJ978" s="1">
        <v>7.41</v>
      </c>
      <c r="AK978" s="1">
        <v>44834</v>
      </c>
      <c r="AL978" s="1">
        <v>7.6050000000000004</v>
      </c>
      <c r="AM978" s="1">
        <v>44834</v>
      </c>
      <c r="AN978" s="1">
        <v>7.7149999999999999</v>
      </c>
      <c r="AO978" s="1">
        <v>44834</v>
      </c>
      <c r="AP978" s="1">
        <v>7.7949999999999999</v>
      </c>
      <c r="AQ978" s="1">
        <v>44834</v>
      </c>
      <c r="AR978" s="1">
        <v>7.7050000000000001</v>
      </c>
      <c r="AS978" s="1">
        <v>44834</v>
      </c>
      <c r="AT978" s="1">
        <v>7.3949999999999996</v>
      </c>
      <c r="AU978" s="1">
        <v>44834</v>
      </c>
      <c r="AV978" s="1">
        <v>7.16</v>
      </c>
      <c r="AW978" s="1">
        <v>44834</v>
      </c>
      <c r="AX978" s="2">
        <v>6.89</v>
      </c>
      <c r="AY978" s="1">
        <v>44834</v>
      </c>
      <c r="AZ978" s="2">
        <v>6.6</v>
      </c>
      <c r="BB978" s="1">
        <v>44763</v>
      </c>
      <c r="BC978" s="1">
        <v>7</v>
      </c>
      <c r="BD978" s="1">
        <v>44781</v>
      </c>
      <c r="BE978" s="1">
        <v>7.3</v>
      </c>
      <c r="BF978" s="1">
        <v>44834</v>
      </c>
      <c r="BG978" s="1">
        <v>7.25</v>
      </c>
      <c r="BH978" s="1">
        <v>44834</v>
      </c>
      <c r="BI978" s="1">
        <v>7.26</v>
      </c>
      <c r="BJ978" s="1">
        <v>44834</v>
      </c>
      <c r="BK978" s="1">
        <v>7.26</v>
      </c>
      <c r="BL978" s="1">
        <v>44834</v>
      </c>
      <c r="BM978" s="1">
        <v>7.19</v>
      </c>
      <c r="BN978" s="1">
        <v>44833</v>
      </c>
      <c r="BO978" s="1">
        <v>6.98</v>
      </c>
      <c r="BP978" s="1">
        <v>44834</v>
      </c>
      <c r="BQ978" s="1">
        <v>6.53</v>
      </c>
      <c r="BR978" s="1">
        <v>44834</v>
      </c>
      <c r="BS978" s="1">
        <v>5.9630000000000001</v>
      </c>
      <c r="BT978" s="1">
        <v>44834</v>
      </c>
      <c r="BU978" s="1">
        <v>5.4779999999999998</v>
      </c>
      <c r="BV978" s="1">
        <v>44834</v>
      </c>
      <c r="BW978" s="1">
        <v>5.008</v>
      </c>
      <c r="BY978" s="1">
        <v>44767</v>
      </c>
      <c r="BZ978" s="1">
        <v>9.75</v>
      </c>
      <c r="CA978" s="1">
        <v>44774</v>
      </c>
      <c r="CB978" s="1">
        <v>12.02</v>
      </c>
      <c r="CC978" s="1">
        <v>44834</v>
      </c>
      <c r="CD978" s="1">
        <v>13.768000000000001</v>
      </c>
      <c r="CE978" s="1">
        <v>44834</v>
      </c>
      <c r="CF978" s="1">
        <v>13.853999999999999</v>
      </c>
      <c r="CG978" s="1">
        <v>44834</v>
      </c>
      <c r="CH978" s="1">
        <v>13.9</v>
      </c>
      <c r="CI978" s="1">
        <v>44834</v>
      </c>
      <c r="CJ978" s="1">
        <v>13.7</v>
      </c>
      <c r="CK978" s="1">
        <v>44834</v>
      </c>
      <c r="CL978" s="1">
        <v>13.25</v>
      </c>
      <c r="CM978" s="1">
        <v>44834</v>
      </c>
      <c r="CN978" s="1">
        <v>12.5</v>
      </c>
      <c r="CO978" s="1">
        <v>44826</v>
      </c>
      <c r="CP978" s="1">
        <v>11.7</v>
      </c>
      <c r="CQ978" s="1">
        <v>44826</v>
      </c>
      <c r="CR978" s="1">
        <v>10.557499999999999</v>
      </c>
      <c r="CS978" s="1">
        <v>44826</v>
      </c>
      <c r="CT978" s="1">
        <v>10.154999999999999</v>
      </c>
    </row>
    <row r="979" spans="31:98" x14ac:dyDescent="0.2">
      <c r="AE979" s="1">
        <v>44825</v>
      </c>
      <c r="AF979" s="1">
        <v>6.75</v>
      </c>
      <c r="AG979" s="1">
        <v>44778</v>
      </c>
      <c r="AH979" s="1">
        <v>7.02</v>
      </c>
      <c r="AI979" s="1">
        <v>44833</v>
      </c>
      <c r="AJ979" s="1">
        <v>7.33</v>
      </c>
      <c r="AK979" s="1">
        <v>44833</v>
      </c>
      <c r="AL979" s="1">
        <v>7.4124999999999996</v>
      </c>
      <c r="AM979" s="1">
        <v>44833</v>
      </c>
      <c r="AN979" s="1">
        <v>7.5625</v>
      </c>
      <c r="AO979" s="1">
        <v>44833</v>
      </c>
      <c r="AP979" s="1">
        <v>7.6375000000000002</v>
      </c>
      <c r="AQ979" s="1">
        <v>44833</v>
      </c>
      <c r="AR979" s="1">
        <v>7.5674999999999999</v>
      </c>
      <c r="AS979" s="1">
        <v>44833</v>
      </c>
      <c r="AT979" s="1">
        <v>7.3475000000000001</v>
      </c>
      <c r="AU979" s="1">
        <v>44833</v>
      </c>
      <c r="AV979" s="1">
        <v>7.1524999999999999</v>
      </c>
      <c r="AW979" s="1">
        <v>44833</v>
      </c>
      <c r="AX979" s="2">
        <v>6.9325000000000001</v>
      </c>
      <c r="AY979" s="1">
        <v>44833</v>
      </c>
      <c r="AZ979" s="2">
        <v>6.6775000000000002</v>
      </c>
      <c r="BB979" s="1">
        <v>44762</v>
      </c>
      <c r="BC979" s="1">
        <v>7</v>
      </c>
      <c r="BD979" s="1">
        <v>44778</v>
      </c>
      <c r="BE979" s="1">
        <v>7.3</v>
      </c>
      <c r="BF979" s="1">
        <v>44833</v>
      </c>
      <c r="BG979" s="1">
        <v>7.26</v>
      </c>
      <c r="BH979" s="1">
        <v>44833</v>
      </c>
      <c r="BI979" s="1">
        <v>7.27</v>
      </c>
      <c r="BJ979" s="1">
        <v>44833</v>
      </c>
      <c r="BK979" s="1">
        <v>7.2850000000000001</v>
      </c>
      <c r="BL979" s="1">
        <v>44833</v>
      </c>
      <c r="BM979" s="1">
        <v>7.28</v>
      </c>
      <c r="BN979" s="1">
        <v>44832</v>
      </c>
      <c r="BO979" s="1">
        <v>6.9</v>
      </c>
      <c r="BP979" s="1">
        <v>44833</v>
      </c>
      <c r="BQ979" s="1">
        <v>6.6849999999999996</v>
      </c>
      <c r="BR979" s="1">
        <v>44833</v>
      </c>
      <c r="BS979" s="1">
        <v>6.125</v>
      </c>
      <c r="BT979" s="1">
        <v>44833</v>
      </c>
      <c r="BU979" s="1">
        <v>5.6749999999999998</v>
      </c>
      <c r="BV979" s="1">
        <v>44833</v>
      </c>
      <c r="BW979" s="1">
        <v>5.2030000000000003</v>
      </c>
      <c r="BY979" s="1">
        <v>44764</v>
      </c>
      <c r="BZ979" s="1">
        <v>9.75</v>
      </c>
      <c r="CA979" s="1">
        <v>44771</v>
      </c>
      <c r="CB979" s="1">
        <v>11.99</v>
      </c>
      <c r="CC979" s="1">
        <v>44833</v>
      </c>
      <c r="CD979" s="1">
        <v>13.670999999999999</v>
      </c>
      <c r="CE979" s="1">
        <v>44833</v>
      </c>
      <c r="CF979" s="1">
        <v>13.708</v>
      </c>
      <c r="CG979" s="1">
        <v>44833</v>
      </c>
      <c r="CH979" s="1">
        <v>13.75</v>
      </c>
      <c r="CI979" s="1">
        <v>44833</v>
      </c>
      <c r="CJ979" s="1">
        <v>13.6</v>
      </c>
      <c r="CK979" s="1">
        <v>44833</v>
      </c>
      <c r="CL979" s="1">
        <v>13.15</v>
      </c>
      <c r="CM979" s="1">
        <v>44833</v>
      </c>
      <c r="CN979" s="1">
        <v>12.36</v>
      </c>
      <c r="CO979" s="1">
        <v>44825</v>
      </c>
      <c r="CP979" s="1">
        <v>12.02</v>
      </c>
      <c r="CQ979" s="1">
        <v>44825</v>
      </c>
      <c r="CR979" s="1">
        <v>10.8775</v>
      </c>
      <c r="CS979" s="1">
        <v>44825</v>
      </c>
      <c r="CT979" s="1">
        <v>10.555</v>
      </c>
    </row>
    <row r="980" spans="31:98" x14ac:dyDescent="0.2">
      <c r="AE980" s="1">
        <v>44824</v>
      </c>
      <c r="AF980" s="1">
        <v>6.75</v>
      </c>
      <c r="AG980" s="1">
        <v>44777</v>
      </c>
      <c r="AH980" s="1">
        <v>7.02</v>
      </c>
      <c r="AI980" s="1">
        <v>44832</v>
      </c>
      <c r="AJ980" s="1">
        <v>7.35</v>
      </c>
      <c r="AK980" s="1">
        <v>44832</v>
      </c>
      <c r="AL980" s="1">
        <v>7.3550000000000004</v>
      </c>
      <c r="AM980" s="1">
        <v>44832</v>
      </c>
      <c r="AN980" s="1">
        <v>7.43</v>
      </c>
      <c r="AO980" s="1">
        <v>44832</v>
      </c>
      <c r="AP980" s="1">
        <v>7.4950000000000001</v>
      </c>
      <c r="AQ980" s="1">
        <v>44832</v>
      </c>
      <c r="AR980" s="1">
        <v>7.3949999999999996</v>
      </c>
      <c r="AS980" s="1">
        <v>44832</v>
      </c>
      <c r="AT980" s="1">
        <v>7.2649999999999997</v>
      </c>
      <c r="AU980" s="1">
        <v>44832</v>
      </c>
      <c r="AV980" s="1">
        <v>6.99</v>
      </c>
      <c r="AW980" s="1">
        <v>44832</v>
      </c>
      <c r="AX980" s="2">
        <v>6.74</v>
      </c>
      <c r="AY980" s="1">
        <v>44832</v>
      </c>
      <c r="AZ980" s="2">
        <v>6.4850000000000003</v>
      </c>
      <c r="BB980" s="1">
        <v>44761</v>
      </c>
      <c r="BC980" s="1">
        <v>7</v>
      </c>
      <c r="BD980" s="1">
        <v>44777</v>
      </c>
      <c r="BE980" s="1">
        <v>7.31</v>
      </c>
      <c r="BF980" s="1">
        <v>44832</v>
      </c>
      <c r="BG980" s="1">
        <v>7.2679999999999998</v>
      </c>
      <c r="BH980" s="1">
        <v>44832</v>
      </c>
      <c r="BI980" s="1">
        <v>7.2679999999999998</v>
      </c>
      <c r="BJ980" s="1">
        <v>44832</v>
      </c>
      <c r="BK980" s="1">
        <v>7.2450000000000001</v>
      </c>
      <c r="BL980" s="1">
        <v>44832</v>
      </c>
      <c r="BM980" s="1">
        <v>7.21</v>
      </c>
      <c r="BN980" s="1">
        <v>44831</v>
      </c>
      <c r="BO980" s="1">
        <v>6.9</v>
      </c>
      <c r="BP980" s="1">
        <v>44832</v>
      </c>
      <c r="BQ980" s="1">
        <v>6.62</v>
      </c>
      <c r="BR980" s="1">
        <v>44832</v>
      </c>
      <c r="BS980" s="1">
        <v>6.0549999999999997</v>
      </c>
      <c r="BT980" s="1">
        <v>44832</v>
      </c>
      <c r="BU980" s="1">
        <v>5.6</v>
      </c>
      <c r="BV980" s="1">
        <v>44832</v>
      </c>
      <c r="BW980" s="1">
        <v>5.0999999999999996</v>
      </c>
      <c r="BY980" s="1">
        <v>44762</v>
      </c>
      <c r="BZ980" s="1">
        <v>9.75</v>
      </c>
      <c r="CA980" s="1">
        <v>44770</v>
      </c>
      <c r="CB980" s="1">
        <v>11.96</v>
      </c>
      <c r="CC980" s="1">
        <v>44832</v>
      </c>
      <c r="CD980" s="1">
        <v>13.443</v>
      </c>
      <c r="CE980" s="1">
        <v>44832</v>
      </c>
      <c r="CF980" s="1">
        <v>13.468</v>
      </c>
      <c r="CG980" s="1">
        <v>44832</v>
      </c>
      <c r="CH980" s="1">
        <v>13.48</v>
      </c>
      <c r="CI980" s="1">
        <v>44832</v>
      </c>
      <c r="CJ980" s="1">
        <v>13.25</v>
      </c>
      <c r="CK980" s="1">
        <v>44832</v>
      </c>
      <c r="CL980" s="1">
        <v>12.8</v>
      </c>
      <c r="CM980" s="1">
        <v>44832</v>
      </c>
      <c r="CN980" s="1">
        <v>11.93</v>
      </c>
      <c r="CO980" s="1">
        <v>44824</v>
      </c>
      <c r="CP980" s="1">
        <v>11.93</v>
      </c>
      <c r="CQ980" s="1">
        <v>44824</v>
      </c>
      <c r="CR980" s="1">
        <v>10.807499999999999</v>
      </c>
      <c r="CS980" s="1">
        <v>44824</v>
      </c>
      <c r="CT980" s="1">
        <v>10.505000000000001</v>
      </c>
    </row>
    <row r="981" spans="31:98" x14ac:dyDescent="0.2">
      <c r="AE981" s="1">
        <v>44823</v>
      </c>
      <c r="AF981" s="1">
        <v>6.75</v>
      </c>
      <c r="AG981" s="1">
        <v>44776</v>
      </c>
      <c r="AH981" s="1">
        <v>7.01</v>
      </c>
      <c r="AI981" s="1">
        <v>44831</v>
      </c>
      <c r="AJ981" s="1">
        <v>7.3</v>
      </c>
      <c r="AK981" s="1">
        <v>44831</v>
      </c>
      <c r="AL981" s="1">
        <v>7.37</v>
      </c>
      <c r="AM981" s="1">
        <v>44831</v>
      </c>
      <c r="AN981" s="1">
        <v>7.4249999999999998</v>
      </c>
      <c r="AO981" s="1">
        <v>44831</v>
      </c>
      <c r="AP981" s="1">
        <v>7.51</v>
      </c>
      <c r="AQ981" s="1">
        <v>44831</v>
      </c>
      <c r="AR981" s="1">
        <v>7.4249999999999998</v>
      </c>
      <c r="AS981" s="1">
        <v>44831</v>
      </c>
      <c r="AT981" s="1">
        <v>7.2</v>
      </c>
      <c r="AU981" s="1">
        <v>44831</v>
      </c>
      <c r="AV981" s="1">
        <v>6.93</v>
      </c>
      <c r="AW981" s="1">
        <v>44831</v>
      </c>
      <c r="AX981" s="2">
        <v>6.67</v>
      </c>
      <c r="AY981" s="1">
        <v>44831</v>
      </c>
      <c r="AZ981" s="2">
        <v>6.41</v>
      </c>
      <c r="BB981" s="1">
        <v>44760</v>
      </c>
      <c r="BC981" s="1">
        <v>7</v>
      </c>
      <c r="BD981" s="1">
        <v>44776</v>
      </c>
      <c r="BE981" s="1">
        <v>7.31</v>
      </c>
      <c r="BF981" s="1">
        <v>44831</v>
      </c>
      <c r="BG981" s="1">
        <v>7.3</v>
      </c>
      <c r="BH981" s="1">
        <v>44831</v>
      </c>
      <c r="BI981" s="1">
        <v>7.2679999999999998</v>
      </c>
      <c r="BJ981" s="1">
        <v>44831</v>
      </c>
      <c r="BK981" s="1">
        <v>7.2450000000000001</v>
      </c>
      <c r="BL981" s="1">
        <v>44831</v>
      </c>
      <c r="BM981" s="1">
        <v>7.21</v>
      </c>
      <c r="BN981" s="1">
        <v>44830</v>
      </c>
      <c r="BO981" s="1">
        <v>6.97</v>
      </c>
      <c r="BP981" s="1">
        <v>44831</v>
      </c>
      <c r="BQ981" s="1">
        <v>6.62</v>
      </c>
      <c r="BR981" s="1">
        <v>44831</v>
      </c>
      <c r="BS981" s="1">
        <v>6.0549999999999997</v>
      </c>
      <c r="BT981" s="1">
        <v>44831</v>
      </c>
      <c r="BU981" s="1">
        <v>5.6</v>
      </c>
      <c r="BV981" s="1">
        <v>44831</v>
      </c>
      <c r="BW981" s="1">
        <v>5.0999999999999996</v>
      </c>
      <c r="BY981" s="1">
        <v>44761</v>
      </c>
      <c r="BZ981" s="1">
        <v>9.75</v>
      </c>
      <c r="CA981" s="1">
        <v>44769</v>
      </c>
      <c r="CB981" s="1">
        <v>11.91</v>
      </c>
      <c r="CC981" s="1">
        <v>44831</v>
      </c>
      <c r="CD981" s="1">
        <v>13.423999999999999</v>
      </c>
      <c r="CE981" s="1">
        <v>44831</v>
      </c>
      <c r="CF981" s="1">
        <v>13.446</v>
      </c>
      <c r="CG981" s="1">
        <v>44831</v>
      </c>
      <c r="CH981" s="1">
        <v>13.42</v>
      </c>
      <c r="CI981" s="1">
        <v>44831</v>
      </c>
      <c r="CJ981" s="1">
        <v>13.27</v>
      </c>
      <c r="CK981" s="1">
        <v>44831</v>
      </c>
      <c r="CL981" s="1">
        <v>12.92</v>
      </c>
      <c r="CM981" s="1">
        <v>44831</v>
      </c>
      <c r="CN981" s="1">
        <v>12</v>
      </c>
      <c r="CO981" s="1">
        <v>44823</v>
      </c>
      <c r="CP981" s="1">
        <v>12.47</v>
      </c>
      <c r="CQ981" s="1">
        <v>44823</v>
      </c>
      <c r="CR981" s="1">
        <v>11.112500000000001</v>
      </c>
      <c r="CS981" s="1">
        <v>44823</v>
      </c>
      <c r="CT981" s="1">
        <v>10.645</v>
      </c>
    </row>
    <row r="982" spans="31:98" x14ac:dyDescent="0.2">
      <c r="AE982" s="1">
        <v>44820</v>
      </c>
      <c r="AF982" s="1">
        <v>6.75</v>
      </c>
      <c r="AG982" s="1">
        <v>44775</v>
      </c>
      <c r="AH982" s="1">
        <v>7.01</v>
      </c>
      <c r="AI982" s="1">
        <v>44830</v>
      </c>
      <c r="AJ982" s="1">
        <v>7.3</v>
      </c>
      <c r="AK982" s="1">
        <v>44830</v>
      </c>
      <c r="AL982" s="1">
        <v>7.46</v>
      </c>
      <c r="AM982" s="1">
        <v>44830</v>
      </c>
      <c r="AN982" s="1">
        <v>7.5449999999999999</v>
      </c>
      <c r="AO982" s="1">
        <v>44830</v>
      </c>
      <c r="AP982" s="1">
        <v>7.68</v>
      </c>
      <c r="AQ982" s="1">
        <v>44830</v>
      </c>
      <c r="AR982" s="1">
        <v>7.5525000000000002</v>
      </c>
      <c r="AS982" s="1">
        <v>44830</v>
      </c>
      <c r="AT982" s="1">
        <v>7.2649999999999997</v>
      </c>
      <c r="AU982" s="1">
        <v>44830</v>
      </c>
      <c r="AV982" s="1">
        <v>6.9850000000000003</v>
      </c>
      <c r="AW982" s="1">
        <v>44830</v>
      </c>
      <c r="AX982" s="2">
        <v>6.69</v>
      </c>
      <c r="AY982" s="1">
        <v>44830</v>
      </c>
      <c r="AZ982" s="2">
        <v>6.375</v>
      </c>
      <c r="BB982" s="1">
        <v>44757</v>
      </c>
      <c r="BC982" s="1">
        <v>7</v>
      </c>
      <c r="BD982" s="1">
        <v>44775</v>
      </c>
      <c r="BE982" s="1">
        <v>7.31</v>
      </c>
      <c r="BF982" s="1">
        <v>44830</v>
      </c>
      <c r="BG982" s="1">
        <v>7.29</v>
      </c>
      <c r="BH982" s="1">
        <v>44830</v>
      </c>
      <c r="BI982" s="1">
        <v>7.2850000000000001</v>
      </c>
      <c r="BJ982" s="1">
        <v>44830</v>
      </c>
      <c r="BK982" s="1">
        <v>7.29</v>
      </c>
      <c r="BL982" s="1">
        <v>44830</v>
      </c>
      <c r="BM982" s="1">
        <v>7.2750000000000004</v>
      </c>
      <c r="BN982" s="1">
        <v>44827</v>
      </c>
      <c r="BO982" s="1">
        <v>6.88</v>
      </c>
      <c r="BP982" s="1">
        <v>44830</v>
      </c>
      <c r="BQ982" s="1">
        <v>6.7149999999999999</v>
      </c>
      <c r="BR982" s="1">
        <v>44830</v>
      </c>
      <c r="BS982" s="1">
        <v>6.15</v>
      </c>
      <c r="BT982" s="1">
        <v>44830</v>
      </c>
      <c r="BU982" s="1">
        <v>5.74</v>
      </c>
      <c r="BV982" s="1">
        <v>44830</v>
      </c>
      <c r="BW982" s="1">
        <v>5.32</v>
      </c>
      <c r="BY982" s="1">
        <v>44760</v>
      </c>
      <c r="BZ982" s="1">
        <v>9.75</v>
      </c>
      <c r="CA982" s="1">
        <v>44768</v>
      </c>
      <c r="CB982" s="1">
        <v>11.57</v>
      </c>
      <c r="CC982" s="1">
        <v>44830</v>
      </c>
      <c r="CD982" s="1">
        <v>13.563000000000001</v>
      </c>
      <c r="CE982" s="1">
        <v>44830</v>
      </c>
      <c r="CF982" s="1">
        <v>13.676</v>
      </c>
      <c r="CG982" s="1">
        <v>44830</v>
      </c>
      <c r="CH982" s="1">
        <v>13.75</v>
      </c>
      <c r="CI982" s="1">
        <v>44830</v>
      </c>
      <c r="CJ982" s="1">
        <v>13.65</v>
      </c>
      <c r="CK982" s="1">
        <v>44830</v>
      </c>
      <c r="CL982" s="1">
        <v>13.35</v>
      </c>
      <c r="CM982" s="1">
        <v>44830</v>
      </c>
      <c r="CN982" s="1">
        <v>12.76</v>
      </c>
      <c r="CO982" s="1">
        <v>44820</v>
      </c>
      <c r="CP982" s="1">
        <v>12.47</v>
      </c>
      <c r="CQ982" s="1">
        <v>44820</v>
      </c>
      <c r="CR982" s="1">
        <v>11.112500000000001</v>
      </c>
      <c r="CS982" s="1">
        <v>44820</v>
      </c>
      <c r="CT982" s="1">
        <v>10.645</v>
      </c>
    </row>
    <row r="983" spans="31:98" x14ac:dyDescent="0.2">
      <c r="AE983" s="1">
        <v>44819</v>
      </c>
      <c r="AF983" s="1">
        <v>6.75</v>
      </c>
      <c r="AG983" s="1">
        <v>44774</v>
      </c>
      <c r="AH983" s="1">
        <v>7.01</v>
      </c>
      <c r="AI983" s="1">
        <v>44827</v>
      </c>
      <c r="AJ983" s="1">
        <v>7.23</v>
      </c>
      <c r="AK983" s="1">
        <v>44827</v>
      </c>
      <c r="AL983" s="1">
        <v>7.3949999999999996</v>
      </c>
      <c r="AM983" s="1">
        <v>44827</v>
      </c>
      <c r="AN983" s="1">
        <v>7.4550000000000001</v>
      </c>
      <c r="AO983" s="1">
        <v>44827</v>
      </c>
      <c r="AP983" s="1">
        <v>7.49</v>
      </c>
      <c r="AQ983" s="1">
        <v>44827</v>
      </c>
      <c r="AR983" s="1">
        <v>7.39</v>
      </c>
      <c r="AS983" s="1">
        <v>44827</v>
      </c>
      <c r="AT983" s="1">
        <v>7.05</v>
      </c>
      <c r="AU983" s="1">
        <v>44827</v>
      </c>
      <c r="AV983" s="1">
        <v>6.7149999999999999</v>
      </c>
      <c r="AW983" s="1">
        <v>44827</v>
      </c>
      <c r="AX983" s="2">
        <v>6.38</v>
      </c>
      <c r="AY983" s="1">
        <v>44827</v>
      </c>
      <c r="AZ983" s="2">
        <v>6.05</v>
      </c>
      <c r="BB983" s="1">
        <v>44756</v>
      </c>
      <c r="BC983" s="1">
        <v>7</v>
      </c>
      <c r="BD983" s="1">
        <v>44774</v>
      </c>
      <c r="BE983" s="1">
        <v>7.31</v>
      </c>
      <c r="BF983" s="1">
        <v>44827</v>
      </c>
      <c r="BG983" s="1">
        <v>7.2649999999999997</v>
      </c>
      <c r="BH983" s="1">
        <v>44827</v>
      </c>
      <c r="BI983" s="1">
        <v>7.27</v>
      </c>
      <c r="BJ983" s="1">
        <v>44827</v>
      </c>
      <c r="BK983" s="1">
        <v>7.26</v>
      </c>
      <c r="BL983" s="1">
        <v>44827</v>
      </c>
      <c r="BM983" s="1">
        <v>7.1849999999999996</v>
      </c>
      <c r="BN983" s="1">
        <v>44826</v>
      </c>
      <c r="BO983" s="1">
        <v>6.7750000000000004</v>
      </c>
      <c r="BP983" s="1">
        <v>44827</v>
      </c>
      <c r="BQ983" s="1">
        <v>6.53</v>
      </c>
      <c r="BR983" s="1">
        <v>44827</v>
      </c>
      <c r="BS983" s="1">
        <v>5.9450000000000003</v>
      </c>
      <c r="BT983" s="1">
        <v>44827</v>
      </c>
      <c r="BU983" s="1">
        <v>5.59</v>
      </c>
      <c r="BV983" s="1">
        <v>44827</v>
      </c>
      <c r="BW983" s="1">
        <v>5.18</v>
      </c>
      <c r="BY983" s="1">
        <v>44757</v>
      </c>
      <c r="BZ983" s="1">
        <v>9.75</v>
      </c>
      <c r="CA983" s="1">
        <v>44767</v>
      </c>
      <c r="CB983" s="1">
        <v>11.57</v>
      </c>
      <c r="CC983" s="1">
        <v>44827</v>
      </c>
      <c r="CD983" s="1">
        <v>13.35</v>
      </c>
      <c r="CE983" s="1">
        <v>44827</v>
      </c>
      <c r="CF983" s="1">
        <v>13.56</v>
      </c>
      <c r="CG983" s="1">
        <v>44827</v>
      </c>
      <c r="CH983" s="1">
        <v>13.6</v>
      </c>
      <c r="CI983" s="1">
        <v>44827</v>
      </c>
      <c r="CJ983" s="1">
        <v>13.5</v>
      </c>
      <c r="CK983" s="1">
        <v>44827</v>
      </c>
      <c r="CL983" s="1">
        <v>13.25</v>
      </c>
      <c r="CM983" s="1">
        <v>44827</v>
      </c>
      <c r="CN983" s="1">
        <v>12.59</v>
      </c>
      <c r="CO983" s="1">
        <v>44819</v>
      </c>
      <c r="CP983" s="1">
        <v>12.595000000000001</v>
      </c>
      <c r="CQ983" s="1">
        <v>44819</v>
      </c>
      <c r="CR983" s="1">
        <v>11.2475</v>
      </c>
      <c r="CS983" s="1">
        <v>44819</v>
      </c>
      <c r="CT983" s="1">
        <v>10.68</v>
      </c>
    </row>
    <row r="984" spans="31:98" x14ac:dyDescent="0.2">
      <c r="AE984" s="1">
        <v>44818</v>
      </c>
      <c r="AF984" s="1">
        <v>6.75</v>
      </c>
      <c r="AG984" s="1">
        <v>44771</v>
      </c>
      <c r="AH984" s="1">
        <v>7.01</v>
      </c>
      <c r="AI984" s="1">
        <v>44826</v>
      </c>
      <c r="AJ984" s="1">
        <v>7.24</v>
      </c>
      <c r="AK984" s="1">
        <v>44826</v>
      </c>
      <c r="AL984" s="1">
        <v>7.35</v>
      </c>
      <c r="AM984" s="1">
        <v>44826</v>
      </c>
      <c r="AN984" s="1">
        <v>7.4349999999999996</v>
      </c>
      <c r="AO984" s="1">
        <v>44826</v>
      </c>
      <c r="AP984" s="1">
        <v>7.44</v>
      </c>
      <c r="AQ984" s="1">
        <v>44826</v>
      </c>
      <c r="AR984" s="1">
        <v>7.31</v>
      </c>
      <c r="AS984" s="1">
        <v>44826</v>
      </c>
      <c r="AT984" s="1">
        <v>6.87</v>
      </c>
      <c r="AU984" s="1">
        <v>44826</v>
      </c>
      <c r="AV984" s="1">
        <v>6.5250000000000004</v>
      </c>
      <c r="AW984" s="1">
        <v>44826</v>
      </c>
      <c r="AX984" s="2">
        <v>6.19</v>
      </c>
      <c r="AY984" s="1">
        <v>44826</v>
      </c>
      <c r="AZ984" s="2">
        <v>5.8550000000000004</v>
      </c>
      <c r="BB984" s="1">
        <v>44755</v>
      </c>
      <c r="BC984" s="1">
        <v>7</v>
      </c>
      <c r="BD984" s="1">
        <v>44771</v>
      </c>
      <c r="BE984" s="1">
        <v>7.31</v>
      </c>
      <c r="BF984" s="1">
        <v>44826</v>
      </c>
      <c r="BG984" s="1">
        <v>7.25</v>
      </c>
      <c r="BH984" s="1">
        <v>44826</v>
      </c>
      <c r="BI984" s="1">
        <v>7.24</v>
      </c>
      <c r="BJ984" s="1">
        <v>44826</v>
      </c>
      <c r="BK984" s="1">
        <v>7.2249999999999996</v>
      </c>
      <c r="BL984" s="1">
        <v>44826</v>
      </c>
      <c r="BM984" s="1">
        <v>7.12</v>
      </c>
      <c r="BN984" s="1">
        <v>44825</v>
      </c>
      <c r="BO984" s="1">
        <v>6.77</v>
      </c>
      <c r="BP984" s="1">
        <v>44826</v>
      </c>
      <c r="BQ984" s="1">
        <v>6.43</v>
      </c>
      <c r="BR984" s="1">
        <v>44826</v>
      </c>
      <c r="BS984" s="1">
        <v>5.8250000000000002</v>
      </c>
      <c r="BT984" s="1">
        <v>44826</v>
      </c>
      <c r="BU984" s="1">
        <v>5.4050000000000002</v>
      </c>
      <c r="BV984" s="1">
        <v>44826</v>
      </c>
      <c r="BW984" s="1">
        <v>4.9950000000000001</v>
      </c>
      <c r="BY984" s="1">
        <v>44756</v>
      </c>
      <c r="BZ984" s="1">
        <v>9.75</v>
      </c>
      <c r="CA984" s="1">
        <v>44764</v>
      </c>
      <c r="CB984" s="1">
        <v>11.58</v>
      </c>
      <c r="CC984" s="1">
        <v>44826</v>
      </c>
      <c r="CD984" s="1">
        <v>13.329000000000001</v>
      </c>
      <c r="CE984" s="1">
        <v>44826</v>
      </c>
      <c r="CF984" s="1">
        <v>13.538</v>
      </c>
      <c r="CG984" s="1">
        <v>44826</v>
      </c>
      <c r="CH984" s="1">
        <v>13.57</v>
      </c>
      <c r="CI984" s="1">
        <v>44826</v>
      </c>
      <c r="CJ984" s="1">
        <v>13.62</v>
      </c>
      <c r="CK984" s="1">
        <v>44826</v>
      </c>
      <c r="CL984" s="1">
        <v>13.32</v>
      </c>
      <c r="CM984" s="1">
        <v>44826</v>
      </c>
      <c r="CN984" s="1">
        <v>12.67</v>
      </c>
      <c r="CO984" s="1">
        <v>44818</v>
      </c>
      <c r="CP984" s="1">
        <v>12.835000000000001</v>
      </c>
      <c r="CQ984" s="1">
        <v>44818</v>
      </c>
      <c r="CR984" s="1">
        <v>11.397500000000001</v>
      </c>
      <c r="CS984" s="1">
        <v>44818</v>
      </c>
      <c r="CT984" s="1">
        <v>10.7</v>
      </c>
    </row>
    <row r="985" spans="31:98" x14ac:dyDescent="0.2">
      <c r="AE985" s="1">
        <v>44817</v>
      </c>
      <c r="AF985" s="1">
        <v>6.75</v>
      </c>
      <c r="AG985" s="1">
        <v>44770</v>
      </c>
      <c r="AH985" s="1">
        <v>7.01</v>
      </c>
      <c r="AI985" s="1">
        <v>44825</v>
      </c>
      <c r="AJ985" s="1">
        <v>7.18</v>
      </c>
      <c r="AK985" s="1">
        <v>44825</v>
      </c>
      <c r="AL985" s="1">
        <v>7.2975000000000003</v>
      </c>
      <c r="AM985" s="1">
        <v>44825</v>
      </c>
      <c r="AN985" s="1">
        <v>7.35</v>
      </c>
      <c r="AO985" s="1">
        <v>44825</v>
      </c>
      <c r="AP985" s="1">
        <v>7.33</v>
      </c>
      <c r="AQ985" s="1">
        <v>44825</v>
      </c>
      <c r="AR985" s="1">
        <v>7.1950000000000003</v>
      </c>
      <c r="AS985" s="1">
        <v>44825</v>
      </c>
      <c r="AT985" s="1">
        <v>6.7549999999999999</v>
      </c>
      <c r="AU985" s="1">
        <v>44825</v>
      </c>
      <c r="AV985" s="1">
        <v>6.41</v>
      </c>
      <c r="AW985" s="1">
        <v>44825</v>
      </c>
      <c r="AX985" s="2">
        <v>6.0750000000000002</v>
      </c>
      <c r="AY985" s="1">
        <v>44825</v>
      </c>
      <c r="AZ985" s="2">
        <v>5.74</v>
      </c>
      <c r="BB985" s="1">
        <v>44754</v>
      </c>
      <c r="BC985" s="1">
        <v>7</v>
      </c>
      <c r="BD985" s="1">
        <v>44770</v>
      </c>
      <c r="BE985" s="1">
        <v>7.32</v>
      </c>
      <c r="BF985" s="1">
        <v>44825</v>
      </c>
      <c r="BG985" s="1">
        <v>7.24</v>
      </c>
      <c r="BH985" s="1">
        <v>44825</v>
      </c>
      <c r="BI985" s="1">
        <v>7.22</v>
      </c>
      <c r="BJ985" s="1">
        <v>44825</v>
      </c>
      <c r="BK985" s="1">
        <v>7.21</v>
      </c>
      <c r="BL985" s="1">
        <v>44825</v>
      </c>
      <c r="BM985" s="1">
        <v>7.1</v>
      </c>
      <c r="BN985" s="1">
        <v>44824</v>
      </c>
      <c r="BO985" s="1">
        <v>6.7649999999999997</v>
      </c>
      <c r="BP985" s="1">
        <v>44825</v>
      </c>
      <c r="BQ985" s="1">
        <v>6.39</v>
      </c>
      <c r="BR985" s="1">
        <v>44825</v>
      </c>
      <c r="BS985" s="1">
        <v>5.76</v>
      </c>
      <c r="BT985" s="1">
        <v>44825</v>
      </c>
      <c r="BU985" s="1">
        <v>5.2</v>
      </c>
      <c r="BV985" s="1">
        <v>44825</v>
      </c>
      <c r="BW985" s="1">
        <v>4.7699999999999996</v>
      </c>
      <c r="BY985" s="1">
        <v>44755</v>
      </c>
      <c r="BZ985" s="1">
        <v>9.75</v>
      </c>
      <c r="CA985" s="1">
        <v>44763</v>
      </c>
      <c r="CB985" s="1">
        <v>11.58</v>
      </c>
      <c r="CC985" s="1">
        <v>44825</v>
      </c>
      <c r="CD985" s="1">
        <v>13.339</v>
      </c>
      <c r="CE985" s="1">
        <v>44825</v>
      </c>
      <c r="CF985" s="1">
        <v>13.677</v>
      </c>
      <c r="CG985" s="1">
        <v>44825</v>
      </c>
      <c r="CH985" s="1">
        <v>13.9</v>
      </c>
      <c r="CI985" s="1">
        <v>44825</v>
      </c>
      <c r="CJ985" s="1">
        <v>14.07</v>
      </c>
      <c r="CK985" s="1">
        <v>44825</v>
      </c>
      <c r="CL985" s="1">
        <v>13.72</v>
      </c>
      <c r="CM985" s="1">
        <v>44825</v>
      </c>
      <c r="CN985" s="1">
        <v>12.99</v>
      </c>
      <c r="CO985" s="1">
        <v>44817</v>
      </c>
      <c r="CP985" s="1">
        <v>11.904999999999999</v>
      </c>
      <c r="CQ985" s="1">
        <v>44817</v>
      </c>
      <c r="CR985" s="1">
        <v>10.977499999999999</v>
      </c>
      <c r="CS985" s="1">
        <v>44817</v>
      </c>
      <c r="CT985" s="1">
        <v>10.69</v>
      </c>
    </row>
    <row r="986" spans="31:98" x14ac:dyDescent="0.2">
      <c r="AE986" s="1">
        <v>44816</v>
      </c>
      <c r="AF986" s="1">
        <v>6.75</v>
      </c>
      <c r="AG986" s="1">
        <v>44769</v>
      </c>
      <c r="AH986" s="1">
        <v>7</v>
      </c>
      <c r="AI986" s="1">
        <v>44824</v>
      </c>
      <c r="AJ986" s="1">
        <v>7.23</v>
      </c>
      <c r="AK986" s="1">
        <v>44824</v>
      </c>
      <c r="AL986" s="1">
        <v>7.335</v>
      </c>
      <c r="AM986" s="1">
        <v>44824</v>
      </c>
      <c r="AN986" s="1">
        <v>7.3949999999999996</v>
      </c>
      <c r="AO986" s="1">
        <v>44824</v>
      </c>
      <c r="AP986" s="1">
        <v>7.38</v>
      </c>
      <c r="AQ986" s="1">
        <v>44824</v>
      </c>
      <c r="AR986" s="1">
        <v>7.2149999999999999</v>
      </c>
      <c r="AS986" s="1">
        <v>44824</v>
      </c>
      <c r="AT986" s="1">
        <v>6.7549999999999999</v>
      </c>
      <c r="AU986" s="1">
        <v>44824</v>
      </c>
      <c r="AV986" s="1">
        <v>6.4</v>
      </c>
      <c r="AW986" s="1">
        <v>44824</v>
      </c>
      <c r="AX986" s="2">
        <v>6.0449999999999999</v>
      </c>
      <c r="AY986" s="1">
        <v>44824</v>
      </c>
      <c r="AZ986" s="2">
        <v>5.71</v>
      </c>
      <c r="BB986" s="1">
        <v>44753</v>
      </c>
      <c r="BC986" s="1">
        <v>7</v>
      </c>
      <c r="BD986" s="1">
        <v>44769</v>
      </c>
      <c r="BE986" s="1">
        <v>7.32</v>
      </c>
      <c r="BF986" s="1">
        <v>44824</v>
      </c>
      <c r="BG986" s="1">
        <v>7.24</v>
      </c>
      <c r="BH986" s="1">
        <v>44824</v>
      </c>
      <c r="BI986" s="1">
        <v>7.22</v>
      </c>
      <c r="BJ986" s="1">
        <v>44824</v>
      </c>
      <c r="BK986" s="1">
        <v>7.2</v>
      </c>
      <c r="BL986" s="1">
        <v>44824</v>
      </c>
      <c r="BM986" s="1">
        <v>7.09</v>
      </c>
      <c r="BN986" s="1">
        <v>44823</v>
      </c>
      <c r="BO986" s="1">
        <v>6.7249999999999996</v>
      </c>
      <c r="BP986" s="1">
        <v>44824</v>
      </c>
      <c r="BQ986" s="1">
        <v>6.375</v>
      </c>
      <c r="BR986" s="1">
        <v>44824</v>
      </c>
      <c r="BS986" s="1">
        <v>5.7350000000000003</v>
      </c>
      <c r="BT986" s="1">
        <v>44824</v>
      </c>
      <c r="BU986" s="1">
        <v>5.15</v>
      </c>
      <c r="BV986" s="1">
        <v>44824</v>
      </c>
      <c r="BW986" s="1">
        <v>4.72</v>
      </c>
      <c r="BY986" s="1">
        <v>44754</v>
      </c>
      <c r="BZ986" s="1">
        <v>7.75</v>
      </c>
      <c r="CA986" s="1">
        <v>44762</v>
      </c>
      <c r="CB986" s="1">
        <v>11.57</v>
      </c>
      <c r="CC986" s="1">
        <v>44824</v>
      </c>
      <c r="CD986" s="1">
        <v>13.332000000000001</v>
      </c>
      <c r="CE986" s="1">
        <v>44824</v>
      </c>
      <c r="CF986" s="1">
        <v>13.667999999999999</v>
      </c>
      <c r="CG986" s="1">
        <v>44824</v>
      </c>
      <c r="CH986" s="1">
        <v>13.89</v>
      </c>
      <c r="CI986" s="1">
        <v>44824</v>
      </c>
      <c r="CJ986" s="1">
        <v>14.05</v>
      </c>
      <c r="CK986" s="1">
        <v>44824</v>
      </c>
      <c r="CL986" s="1">
        <v>13.7</v>
      </c>
      <c r="CM986" s="1">
        <v>44824</v>
      </c>
      <c r="CN986" s="1">
        <v>12.88</v>
      </c>
      <c r="CO986" s="1">
        <v>44816</v>
      </c>
      <c r="CP986" s="1">
        <v>12.005000000000001</v>
      </c>
      <c r="CQ986" s="1">
        <v>44816</v>
      </c>
      <c r="CR986" s="1">
        <v>10.977499999999999</v>
      </c>
      <c r="CS986" s="1">
        <v>44816</v>
      </c>
      <c r="CT986" s="1">
        <v>10.69</v>
      </c>
    </row>
    <row r="987" spans="31:98" x14ac:dyDescent="0.2">
      <c r="AE987" s="1">
        <v>44813</v>
      </c>
      <c r="AF987" s="1">
        <v>6.75</v>
      </c>
      <c r="AG987" s="1">
        <v>44768</v>
      </c>
      <c r="AH987" s="1">
        <v>7</v>
      </c>
      <c r="AI987" s="1">
        <v>44823</v>
      </c>
      <c r="AJ987" s="1">
        <v>7.25</v>
      </c>
      <c r="AK987" s="1">
        <v>44823</v>
      </c>
      <c r="AL987" s="1">
        <v>7.28</v>
      </c>
      <c r="AM987" s="1">
        <v>44823</v>
      </c>
      <c r="AN987" s="1">
        <v>7.35</v>
      </c>
      <c r="AO987" s="1">
        <v>44823</v>
      </c>
      <c r="AP987" s="1">
        <v>7.35</v>
      </c>
      <c r="AQ987" s="1">
        <v>44823</v>
      </c>
      <c r="AR987" s="1">
        <v>7.17</v>
      </c>
      <c r="AS987" s="1">
        <v>44823</v>
      </c>
      <c r="AT987" s="1">
        <v>6.7149999999999999</v>
      </c>
      <c r="AU987" s="1">
        <v>44823</v>
      </c>
      <c r="AV987" s="1">
        <v>6.375</v>
      </c>
      <c r="AW987" s="1">
        <v>44823</v>
      </c>
      <c r="AX987" s="2">
        <v>6.0350000000000001</v>
      </c>
      <c r="AY987" s="1">
        <v>44823</v>
      </c>
      <c r="AZ987" s="2">
        <v>5.6950000000000003</v>
      </c>
      <c r="BB987" s="1">
        <v>44750</v>
      </c>
      <c r="BC987" s="1">
        <v>7</v>
      </c>
      <c r="BD987" s="1">
        <v>44768</v>
      </c>
      <c r="BE987" s="1">
        <v>7.32</v>
      </c>
      <c r="BF987" s="1">
        <v>44823</v>
      </c>
      <c r="BG987" s="1">
        <v>7.2249999999999996</v>
      </c>
      <c r="BH987" s="1">
        <v>44823</v>
      </c>
      <c r="BI987" s="1">
        <v>7.2050000000000001</v>
      </c>
      <c r="BJ987" s="1">
        <v>44823</v>
      </c>
      <c r="BK987" s="1">
        <v>7.1879999999999997</v>
      </c>
      <c r="BL987" s="1">
        <v>44823</v>
      </c>
      <c r="BM987" s="1">
        <v>7.0750000000000002</v>
      </c>
      <c r="BN987" s="1">
        <v>44820</v>
      </c>
      <c r="BO987" s="1">
        <v>6.7249999999999996</v>
      </c>
      <c r="BP987" s="1">
        <v>44823</v>
      </c>
      <c r="BQ987" s="1">
        <v>6.335</v>
      </c>
      <c r="BR987" s="1">
        <v>44823</v>
      </c>
      <c r="BS987" s="1">
        <v>5.6529999999999996</v>
      </c>
      <c r="BT987" s="1">
        <v>44823</v>
      </c>
      <c r="BU987" s="1">
        <v>5.0250000000000004</v>
      </c>
      <c r="BV987" s="1">
        <v>44823</v>
      </c>
      <c r="BW987" s="1">
        <v>4.5949999999999998</v>
      </c>
      <c r="BY987" s="1">
        <v>44753</v>
      </c>
      <c r="BZ987" s="1">
        <v>7.75</v>
      </c>
      <c r="CA987" s="1">
        <v>44761</v>
      </c>
      <c r="CB987" s="1">
        <v>11.56</v>
      </c>
      <c r="CC987" s="1">
        <v>44823</v>
      </c>
      <c r="CD987" s="1">
        <v>13.337999999999999</v>
      </c>
      <c r="CE987" s="1">
        <v>44823</v>
      </c>
      <c r="CF987" s="1">
        <v>13.69</v>
      </c>
      <c r="CG987" s="1">
        <v>44823</v>
      </c>
      <c r="CH987" s="1">
        <v>13.93</v>
      </c>
      <c r="CI987" s="1">
        <v>44823</v>
      </c>
      <c r="CJ987" s="1">
        <v>14.16</v>
      </c>
      <c r="CK987" s="1">
        <v>44823</v>
      </c>
      <c r="CL987" s="1">
        <v>13.8</v>
      </c>
      <c r="CM987" s="1">
        <v>44823</v>
      </c>
      <c r="CN987" s="1">
        <v>13.185</v>
      </c>
      <c r="CO987" s="1">
        <v>44813</v>
      </c>
      <c r="CP987" s="1">
        <v>12.685</v>
      </c>
      <c r="CQ987" s="1">
        <v>44813</v>
      </c>
      <c r="CR987" s="1">
        <v>11.637499999999999</v>
      </c>
      <c r="CS987" s="1">
        <v>44813</v>
      </c>
      <c r="CT987" s="1">
        <v>11.37</v>
      </c>
    </row>
    <row r="988" spans="31:98" x14ac:dyDescent="0.2">
      <c r="AE988" s="1">
        <v>44812</v>
      </c>
      <c r="AF988" s="1">
        <v>6.75</v>
      </c>
      <c r="AG988" s="1">
        <v>44767</v>
      </c>
      <c r="AH988" s="1">
        <v>7</v>
      </c>
      <c r="AI988" s="1">
        <v>44820</v>
      </c>
      <c r="AJ988" s="1">
        <v>7.25</v>
      </c>
      <c r="AK988" s="1">
        <v>44820</v>
      </c>
      <c r="AL988" s="1">
        <v>7.28</v>
      </c>
      <c r="AM988" s="1">
        <v>44820</v>
      </c>
      <c r="AN988" s="1">
        <v>7.35</v>
      </c>
      <c r="AO988" s="1">
        <v>44820</v>
      </c>
      <c r="AP988" s="1">
        <v>7.3475000000000001</v>
      </c>
      <c r="AQ988" s="1">
        <v>44820</v>
      </c>
      <c r="AR988" s="1">
        <v>7.1875</v>
      </c>
      <c r="AS988" s="1">
        <v>44820</v>
      </c>
      <c r="AT988" s="1">
        <v>6.7149999999999999</v>
      </c>
      <c r="AU988" s="1">
        <v>44820</v>
      </c>
      <c r="AV988" s="1">
        <v>6.375</v>
      </c>
      <c r="AW988" s="1">
        <v>44820</v>
      </c>
      <c r="AX988" s="2">
        <v>6.0350000000000001</v>
      </c>
      <c r="AY988" s="1">
        <v>44820</v>
      </c>
      <c r="AZ988" s="2">
        <v>5.6950000000000003</v>
      </c>
      <c r="BB988" s="1">
        <v>44749</v>
      </c>
      <c r="BC988" s="1">
        <v>7</v>
      </c>
      <c r="BD988" s="1">
        <v>44767</v>
      </c>
      <c r="BE988" s="1">
        <v>7.32</v>
      </c>
      <c r="BF988" s="1">
        <v>44820</v>
      </c>
      <c r="BG988" s="1">
        <v>7.24</v>
      </c>
      <c r="BH988" s="1">
        <v>44820</v>
      </c>
      <c r="BI988" s="1">
        <v>7.2050000000000001</v>
      </c>
      <c r="BJ988" s="1">
        <v>44820</v>
      </c>
      <c r="BK988" s="1">
        <v>7.1879999999999997</v>
      </c>
      <c r="BL988" s="1">
        <v>44820</v>
      </c>
      <c r="BM988" s="1">
        <v>7.0750000000000002</v>
      </c>
      <c r="BN988" s="1">
        <v>44819</v>
      </c>
      <c r="BO988" s="1">
        <v>6.73</v>
      </c>
      <c r="BP988" s="1">
        <v>44820</v>
      </c>
      <c r="BQ988" s="1">
        <v>6.335</v>
      </c>
      <c r="BR988" s="1">
        <v>44820</v>
      </c>
      <c r="BS988" s="1">
        <v>5.6529999999999996</v>
      </c>
      <c r="BT988" s="1">
        <v>44820</v>
      </c>
      <c r="BU988" s="1">
        <v>5.0250000000000004</v>
      </c>
      <c r="BV988" s="1">
        <v>44820</v>
      </c>
      <c r="BW988" s="1">
        <v>4.5949999999999998</v>
      </c>
      <c r="BY988" s="1">
        <v>44750</v>
      </c>
      <c r="BZ988" s="1">
        <v>7.75</v>
      </c>
      <c r="CA988" s="1">
        <v>44760</v>
      </c>
      <c r="CB988" s="1">
        <v>11.54</v>
      </c>
      <c r="CC988" s="1">
        <v>44820</v>
      </c>
      <c r="CD988" s="1">
        <v>13.337999999999999</v>
      </c>
      <c r="CE988" s="1">
        <v>44820</v>
      </c>
      <c r="CF988" s="1">
        <v>13.69</v>
      </c>
      <c r="CG988" s="1">
        <v>44820</v>
      </c>
      <c r="CH988" s="1">
        <v>13.93</v>
      </c>
      <c r="CI988" s="1">
        <v>44820</v>
      </c>
      <c r="CJ988" s="1">
        <v>14.16</v>
      </c>
      <c r="CK988" s="1">
        <v>44820</v>
      </c>
      <c r="CL988" s="1">
        <v>13.8</v>
      </c>
      <c r="CM988" s="1">
        <v>44820</v>
      </c>
      <c r="CN988" s="1">
        <v>13.185</v>
      </c>
      <c r="CO988" s="1">
        <v>44812</v>
      </c>
      <c r="CP988" s="1">
        <v>12.595000000000001</v>
      </c>
      <c r="CQ988" s="1">
        <v>44812</v>
      </c>
      <c r="CR988" s="1">
        <v>11.547499999999999</v>
      </c>
      <c r="CS988" s="1">
        <v>44812</v>
      </c>
      <c r="CT988" s="1">
        <v>11.28</v>
      </c>
    </row>
    <row r="989" spans="31:98" x14ac:dyDescent="0.2">
      <c r="AE989" s="1">
        <v>44811</v>
      </c>
      <c r="AF989" s="1">
        <v>6.75</v>
      </c>
      <c r="AG989" s="1">
        <v>44764</v>
      </c>
      <c r="AH989" s="1">
        <v>7</v>
      </c>
      <c r="AI989" s="1">
        <v>44819</v>
      </c>
      <c r="AJ989" s="1">
        <v>7.27</v>
      </c>
      <c r="AK989" s="1">
        <v>44819</v>
      </c>
      <c r="AL989" s="1">
        <v>7.3710000000000004</v>
      </c>
      <c r="AM989" s="1">
        <v>44819</v>
      </c>
      <c r="AN989" s="1">
        <v>7.4850000000000003</v>
      </c>
      <c r="AO989" s="1">
        <v>44819</v>
      </c>
      <c r="AP989" s="1">
        <v>7.49</v>
      </c>
      <c r="AQ989" s="1">
        <v>44819</v>
      </c>
      <c r="AR989" s="1">
        <v>7.32</v>
      </c>
      <c r="AS989" s="1">
        <v>44819</v>
      </c>
      <c r="AT989" s="1">
        <v>6.89</v>
      </c>
      <c r="AU989" s="1">
        <v>44819</v>
      </c>
      <c r="AV989" s="1">
        <v>6.55</v>
      </c>
      <c r="AW989" s="1">
        <v>44819</v>
      </c>
      <c r="AX989" s="2">
        <v>6.21</v>
      </c>
      <c r="AY989" s="1">
        <v>44819</v>
      </c>
      <c r="AZ989" s="2">
        <v>5.875</v>
      </c>
      <c r="BB989" s="1">
        <v>44746</v>
      </c>
      <c r="BC989" s="1">
        <v>7</v>
      </c>
      <c r="BD989" s="1">
        <v>44764</v>
      </c>
      <c r="BE989" s="1">
        <v>7.33</v>
      </c>
      <c r="BF989" s="1">
        <v>44819</v>
      </c>
      <c r="BG989" s="1">
        <v>7.2549999999999999</v>
      </c>
      <c r="BH989" s="1">
        <v>44819</v>
      </c>
      <c r="BI989" s="1">
        <v>7.2149999999999999</v>
      </c>
      <c r="BJ989" s="1">
        <v>44819</v>
      </c>
      <c r="BK989" s="1">
        <v>7.2030000000000003</v>
      </c>
      <c r="BL989" s="1">
        <v>44819</v>
      </c>
      <c r="BM989" s="1">
        <v>7.0949999999999998</v>
      </c>
      <c r="BN989" s="1">
        <v>44818</v>
      </c>
      <c r="BO989" s="1">
        <v>6.6980000000000004</v>
      </c>
      <c r="BP989" s="1">
        <v>44819</v>
      </c>
      <c r="BQ989" s="1">
        <v>6.35</v>
      </c>
      <c r="BR989" s="1">
        <v>44819</v>
      </c>
      <c r="BS989" s="1">
        <v>5.7149999999999999</v>
      </c>
      <c r="BT989" s="1">
        <v>44819</v>
      </c>
      <c r="BU989" s="1">
        <v>5.1050000000000004</v>
      </c>
      <c r="BV989" s="1">
        <v>44819</v>
      </c>
      <c r="BW989" s="1">
        <v>4.6950000000000003</v>
      </c>
      <c r="BY989" s="1">
        <v>44749</v>
      </c>
      <c r="BZ989" s="1">
        <v>7.75</v>
      </c>
      <c r="CA989" s="1">
        <v>44757</v>
      </c>
      <c r="CB989" s="1">
        <v>11.48</v>
      </c>
      <c r="CC989" s="1">
        <v>44819</v>
      </c>
      <c r="CD989" s="1">
        <v>13.39</v>
      </c>
      <c r="CE989" s="1">
        <v>44819</v>
      </c>
      <c r="CF989" s="1">
        <v>13.803000000000001</v>
      </c>
      <c r="CG989" s="1">
        <v>44819</v>
      </c>
      <c r="CH989" s="1">
        <v>14.08</v>
      </c>
      <c r="CI989" s="1">
        <v>44819</v>
      </c>
      <c r="CJ989" s="1">
        <v>14.28</v>
      </c>
      <c r="CK989" s="1">
        <v>44819</v>
      </c>
      <c r="CL989" s="1">
        <v>13.95</v>
      </c>
      <c r="CM989" s="1">
        <v>44819</v>
      </c>
      <c r="CN989" s="1">
        <v>13.335000000000001</v>
      </c>
      <c r="CO989" s="1">
        <v>44811</v>
      </c>
      <c r="CP989" s="1">
        <v>13.255000000000001</v>
      </c>
      <c r="CQ989" s="1">
        <v>44811</v>
      </c>
      <c r="CR989" s="1">
        <v>12.2075</v>
      </c>
      <c r="CS989" s="1">
        <v>44811</v>
      </c>
      <c r="CT989" s="1">
        <v>11.77</v>
      </c>
    </row>
    <row r="990" spans="31:98" x14ac:dyDescent="0.2">
      <c r="AE990" s="1">
        <v>44810</v>
      </c>
      <c r="AF990" s="1">
        <v>6.5</v>
      </c>
      <c r="AG990" s="1">
        <v>44763</v>
      </c>
      <c r="AH990" s="1">
        <v>7</v>
      </c>
      <c r="AI990" s="1">
        <v>44818</v>
      </c>
      <c r="AJ990" s="1">
        <v>7.3</v>
      </c>
      <c r="AK990" s="1">
        <v>44818</v>
      </c>
      <c r="AL990" s="1">
        <v>7.3650000000000002</v>
      </c>
      <c r="AM990" s="1">
        <v>44818</v>
      </c>
      <c r="AN990" s="1">
        <v>7.47</v>
      </c>
      <c r="AO990" s="1">
        <v>44818</v>
      </c>
      <c r="AP990" s="1">
        <v>7.51</v>
      </c>
      <c r="AQ990" s="1">
        <v>44818</v>
      </c>
      <c r="AR990" s="1">
        <v>7.37</v>
      </c>
      <c r="AS990" s="1">
        <v>44818</v>
      </c>
      <c r="AT990" s="1">
        <v>6.83</v>
      </c>
      <c r="AU990" s="1">
        <v>44818</v>
      </c>
      <c r="AV990" s="1">
        <v>6.48</v>
      </c>
      <c r="AW990" s="1">
        <v>44818</v>
      </c>
      <c r="AX990" s="2">
        <v>6.13</v>
      </c>
      <c r="AY990" s="1">
        <v>44818</v>
      </c>
      <c r="AZ990" s="2">
        <v>5.7949999999999999</v>
      </c>
      <c r="BB990" s="1">
        <v>44743</v>
      </c>
      <c r="BC990" s="1">
        <v>7</v>
      </c>
      <c r="BD990" s="1">
        <v>44763</v>
      </c>
      <c r="BE990" s="1">
        <v>7.33</v>
      </c>
      <c r="BF990" s="1">
        <v>44818</v>
      </c>
      <c r="BG990" s="1">
        <v>7.26</v>
      </c>
      <c r="BH990" s="1">
        <v>44818</v>
      </c>
      <c r="BI990" s="1">
        <v>7.218</v>
      </c>
      <c r="BJ990" s="1">
        <v>44818</v>
      </c>
      <c r="BK990" s="1">
        <v>7.19</v>
      </c>
      <c r="BL990" s="1">
        <v>44818</v>
      </c>
      <c r="BM990" s="1">
        <v>7.06</v>
      </c>
      <c r="BN990" s="1">
        <v>44817</v>
      </c>
      <c r="BO990" s="1">
        <v>6.593</v>
      </c>
      <c r="BP990" s="1">
        <v>44818</v>
      </c>
      <c r="BQ990" s="1">
        <v>6.2779999999999996</v>
      </c>
      <c r="BR990" s="1">
        <v>44818</v>
      </c>
      <c r="BS990" s="1">
        <v>5.5629999999999997</v>
      </c>
      <c r="BT990" s="1">
        <v>44818</v>
      </c>
      <c r="BU990" s="1">
        <v>4.9180000000000001</v>
      </c>
      <c r="BV990" s="1">
        <v>44818</v>
      </c>
      <c r="BW990" s="1">
        <v>4.4800000000000004</v>
      </c>
      <c r="BY990" s="1">
        <v>44748</v>
      </c>
      <c r="BZ990" s="1">
        <v>7.75</v>
      </c>
      <c r="CA990" s="1">
        <v>44756</v>
      </c>
      <c r="CB990" s="1">
        <v>11.42</v>
      </c>
      <c r="CC990" s="1">
        <v>44818</v>
      </c>
      <c r="CD990" s="1">
        <v>13.385</v>
      </c>
      <c r="CE990" s="1">
        <v>44818</v>
      </c>
      <c r="CF990" s="1">
        <v>13.792999999999999</v>
      </c>
      <c r="CG990" s="1">
        <v>44818</v>
      </c>
      <c r="CH990" s="1">
        <v>14.2</v>
      </c>
      <c r="CI990" s="1">
        <v>44818</v>
      </c>
      <c r="CJ990" s="1">
        <v>14.45</v>
      </c>
      <c r="CK990" s="1">
        <v>44818</v>
      </c>
      <c r="CL990" s="1">
        <v>14.1</v>
      </c>
      <c r="CM990" s="1">
        <v>44818</v>
      </c>
      <c r="CN990" s="1">
        <v>13.455</v>
      </c>
      <c r="CO990" s="1">
        <v>44810</v>
      </c>
      <c r="CP990" s="1">
        <v>13.395</v>
      </c>
      <c r="CQ990" s="1">
        <v>44810</v>
      </c>
      <c r="CR990" s="1">
        <v>12.2675</v>
      </c>
      <c r="CS990" s="1">
        <v>44810</v>
      </c>
      <c r="CT990" s="1">
        <v>11.66</v>
      </c>
    </row>
    <row r="991" spans="31:98" x14ac:dyDescent="0.2">
      <c r="AE991" s="1">
        <v>44809</v>
      </c>
      <c r="AF991" s="1">
        <v>6.5</v>
      </c>
      <c r="AG991" s="1">
        <v>44762</v>
      </c>
      <c r="AH991" s="1">
        <v>7</v>
      </c>
      <c r="AI991" s="1">
        <v>44817</v>
      </c>
      <c r="AJ991" s="1">
        <v>7.25</v>
      </c>
      <c r="AK991" s="1">
        <v>44817</v>
      </c>
      <c r="AL991" s="1">
        <v>7.25</v>
      </c>
      <c r="AM991" s="1">
        <v>44817</v>
      </c>
      <c r="AN991" s="1">
        <v>7.3</v>
      </c>
      <c r="AO991" s="1">
        <v>44817</v>
      </c>
      <c r="AP991" s="1">
        <v>7.3</v>
      </c>
      <c r="AQ991" s="1">
        <v>44817</v>
      </c>
      <c r="AR991" s="1">
        <v>7.1550000000000002</v>
      </c>
      <c r="AS991" s="1">
        <v>44817</v>
      </c>
      <c r="AT991" s="1">
        <v>6.58</v>
      </c>
      <c r="AU991" s="1">
        <v>44817</v>
      </c>
      <c r="AV991" s="1">
        <v>6.22</v>
      </c>
      <c r="AW991" s="1">
        <v>44817</v>
      </c>
      <c r="AX991" s="2">
        <v>5.875</v>
      </c>
      <c r="AY991" s="1">
        <v>44817</v>
      </c>
      <c r="AZ991" s="2">
        <v>5.5449999999999999</v>
      </c>
      <c r="BB991" s="1">
        <v>44742</v>
      </c>
      <c r="BC991" s="1">
        <v>7</v>
      </c>
      <c r="BD991" s="1">
        <v>44762</v>
      </c>
      <c r="BE991" s="1">
        <v>7.33</v>
      </c>
      <c r="BF991" s="1">
        <v>44817</v>
      </c>
      <c r="BG991" s="1">
        <v>7.26</v>
      </c>
      <c r="BH991" s="1">
        <v>44817</v>
      </c>
      <c r="BI991" s="1">
        <v>7.21</v>
      </c>
      <c r="BJ991" s="1">
        <v>44817</v>
      </c>
      <c r="BK991" s="1">
        <v>7.1950000000000003</v>
      </c>
      <c r="BL991" s="1">
        <v>44817</v>
      </c>
      <c r="BM991" s="1">
        <v>7.0250000000000004</v>
      </c>
      <c r="BN991" s="1">
        <v>44816</v>
      </c>
      <c r="BO991" s="1">
        <v>6.59</v>
      </c>
      <c r="BP991" s="1">
        <v>44817</v>
      </c>
      <c r="BQ991" s="1">
        <v>6.1550000000000002</v>
      </c>
      <c r="BR991" s="1">
        <v>44817</v>
      </c>
      <c r="BS991" s="1">
        <v>5.3849999999999998</v>
      </c>
      <c r="BT991" s="1">
        <v>44817</v>
      </c>
      <c r="BU991" s="1">
        <v>4.7</v>
      </c>
      <c r="BV991" s="1">
        <v>44817</v>
      </c>
      <c r="BW991" s="1">
        <v>4.29</v>
      </c>
      <c r="BY991" s="1">
        <v>44747</v>
      </c>
      <c r="BZ991" s="1">
        <v>7.75</v>
      </c>
      <c r="CA991" s="1">
        <v>44755</v>
      </c>
      <c r="CB991" s="1">
        <v>11.31</v>
      </c>
      <c r="CC991" s="1">
        <v>44817</v>
      </c>
      <c r="CD991" s="1">
        <v>13.221</v>
      </c>
      <c r="CE991" s="1">
        <v>44817</v>
      </c>
      <c r="CF991" s="1">
        <v>13.499000000000001</v>
      </c>
      <c r="CG991" s="1">
        <v>44817</v>
      </c>
      <c r="CH991" s="1">
        <v>13.81</v>
      </c>
      <c r="CI991" s="1">
        <v>44817</v>
      </c>
      <c r="CJ991" s="1">
        <v>14.02</v>
      </c>
      <c r="CK991" s="1">
        <v>44817</v>
      </c>
      <c r="CL991" s="1">
        <v>13.67</v>
      </c>
      <c r="CM991" s="1">
        <v>44817</v>
      </c>
      <c r="CN991" s="1">
        <v>13.085000000000001</v>
      </c>
      <c r="CO991" s="1">
        <v>44809</v>
      </c>
      <c r="CP991" s="1">
        <v>13.505000000000001</v>
      </c>
      <c r="CQ991" s="1">
        <v>44809</v>
      </c>
      <c r="CR991" s="1">
        <v>12.3775</v>
      </c>
      <c r="CS991" s="1">
        <v>44809</v>
      </c>
      <c r="CT991" s="1">
        <v>11.77</v>
      </c>
    </row>
    <row r="992" spans="31:98" x14ac:dyDescent="0.2">
      <c r="AE992" s="1">
        <v>44806</v>
      </c>
      <c r="AF992" s="1">
        <v>6.5</v>
      </c>
      <c r="AG992" s="1">
        <v>44761</v>
      </c>
      <c r="AH992" s="1">
        <v>7.01</v>
      </c>
      <c r="AI992" s="1">
        <v>44816</v>
      </c>
      <c r="AJ992" s="1">
        <v>7.173</v>
      </c>
      <c r="AK992" s="1">
        <v>44816</v>
      </c>
      <c r="AL992" s="1">
        <v>7.2350000000000003</v>
      </c>
      <c r="AM992" s="1">
        <v>44816</v>
      </c>
      <c r="AN992" s="1">
        <v>7.2649999999999997</v>
      </c>
      <c r="AO992" s="1">
        <v>44816</v>
      </c>
      <c r="AP992" s="1">
        <v>7.2549999999999999</v>
      </c>
      <c r="AQ992" s="1">
        <v>44816</v>
      </c>
      <c r="AR992" s="1">
        <v>7.02</v>
      </c>
      <c r="AS992" s="1">
        <v>44816</v>
      </c>
      <c r="AT992" s="1">
        <v>6.39</v>
      </c>
      <c r="AU992" s="1">
        <v>44816</v>
      </c>
      <c r="AV992" s="1">
        <v>6.01</v>
      </c>
      <c r="AW992" s="1">
        <v>44816</v>
      </c>
      <c r="AX992" s="2">
        <v>5.6950000000000003</v>
      </c>
      <c r="AY992" s="1">
        <v>44816</v>
      </c>
      <c r="AZ992" s="2">
        <v>5.4050000000000002</v>
      </c>
      <c r="BB992" s="1">
        <v>44741</v>
      </c>
      <c r="BC992" s="1">
        <v>7</v>
      </c>
      <c r="BD992" s="1">
        <v>44761</v>
      </c>
      <c r="BE992" s="1">
        <v>7.33</v>
      </c>
      <c r="BF992" s="1">
        <v>44816</v>
      </c>
      <c r="BG992" s="1">
        <v>7.2949999999999999</v>
      </c>
      <c r="BH992" s="1">
        <v>44816</v>
      </c>
      <c r="BI992" s="1">
        <v>7.22</v>
      </c>
      <c r="BJ992" s="1">
        <v>44816</v>
      </c>
      <c r="BK992" s="1">
        <v>7.19</v>
      </c>
      <c r="BL992" s="1">
        <v>44816</v>
      </c>
      <c r="BM992" s="1">
        <v>7.05</v>
      </c>
      <c r="BN992" s="1">
        <v>44813</v>
      </c>
      <c r="BO992" s="1">
        <v>6.9580000000000002</v>
      </c>
      <c r="BP992" s="1">
        <v>44816</v>
      </c>
      <c r="BQ992" s="1">
        <v>6.16</v>
      </c>
      <c r="BR992" s="1">
        <v>44816</v>
      </c>
      <c r="BS992" s="1">
        <v>5.3650000000000002</v>
      </c>
      <c r="BT992" s="1">
        <v>44816</v>
      </c>
      <c r="BU992" s="1">
        <v>4.8049999999999997</v>
      </c>
      <c r="BV992" s="1">
        <v>44816</v>
      </c>
      <c r="BW992" s="1">
        <v>4.4249999999999998</v>
      </c>
      <c r="BY992" s="1">
        <v>44746</v>
      </c>
      <c r="BZ992" s="1">
        <v>7.75</v>
      </c>
      <c r="CA992" s="1">
        <v>44754</v>
      </c>
      <c r="CB992" s="1">
        <v>11.16</v>
      </c>
      <c r="CC992" s="1">
        <v>44816</v>
      </c>
      <c r="CD992" s="1">
        <v>13.164999999999999</v>
      </c>
      <c r="CE992" s="1">
        <v>44816</v>
      </c>
      <c r="CF992" s="1">
        <v>13.526999999999999</v>
      </c>
      <c r="CG992" s="1">
        <v>44816</v>
      </c>
      <c r="CH992" s="1">
        <v>13.83</v>
      </c>
      <c r="CI992" s="1">
        <v>44816</v>
      </c>
      <c r="CJ992" s="1">
        <v>14.03</v>
      </c>
      <c r="CK992" s="1">
        <v>44816</v>
      </c>
      <c r="CL992" s="1">
        <v>13.79</v>
      </c>
      <c r="CM992" s="1">
        <v>44816</v>
      </c>
      <c r="CN992" s="1">
        <v>13.025</v>
      </c>
      <c r="CO992" s="1">
        <v>44806</v>
      </c>
      <c r="CP992" s="1">
        <v>13.31</v>
      </c>
      <c r="CQ992" s="1">
        <v>44806</v>
      </c>
      <c r="CR992" s="1">
        <v>12.09</v>
      </c>
      <c r="CS992" s="1">
        <v>44806</v>
      </c>
      <c r="CT992" s="1">
        <v>11.484999999999999</v>
      </c>
    </row>
    <row r="993" spans="31:98" x14ac:dyDescent="0.2">
      <c r="AE993" s="1">
        <v>44805</v>
      </c>
      <c r="AF993" s="1">
        <v>6.5</v>
      </c>
      <c r="AG993" s="1">
        <v>44760</v>
      </c>
      <c r="AH993" s="1">
        <v>7</v>
      </c>
      <c r="AI993" s="1">
        <v>44813</v>
      </c>
      <c r="AJ993" s="1">
        <v>7.21</v>
      </c>
      <c r="AK993" s="1">
        <v>44813</v>
      </c>
      <c r="AL993" s="1">
        <v>7.2750000000000004</v>
      </c>
      <c r="AM993" s="1">
        <v>44813</v>
      </c>
      <c r="AN993" s="1">
        <v>7.34</v>
      </c>
      <c r="AO993" s="1">
        <v>44813</v>
      </c>
      <c r="AP993" s="1">
        <v>7.3449999999999998</v>
      </c>
      <c r="AQ993" s="1">
        <v>44813</v>
      </c>
      <c r="AR993" s="1">
        <v>7.19</v>
      </c>
      <c r="AS993" s="1">
        <v>44813</v>
      </c>
      <c r="AT993" s="1">
        <v>6.6150000000000002</v>
      </c>
      <c r="AU993" s="1">
        <v>44813</v>
      </c>
      <c r="AV993" s="1">
        <v>6.2549999999999999</v>
      </c>
      <c r="AW993" s="1">
        <v>44813</v>
      </c>
      <c r="AX993" s="2">
        <v>5.9550000000000001</v>
      </c>
      <c r="AY993" s="1">
        <v>44813</v>
      </c>
      <c r="AZ993" s="2">
        <v>5.67</v>
      </c>
      <c r="BB993" s="1">
        <v>44740</v>
      </c>
      <c r="BC993" s="1">
        <v>7</v>
      </c>
      <c r="BD993" s="1">
        <v>44760</v>
      </c>
      <c r="BE993" s="1">
        <v>7.33</v>
      </c>
      <c r="BF993" s="1">
        <v>44813</v>
      </c>
      <c r="BG993" s="1">
        <v>7.335</v>
      </c>
      <c r="BH993" s="1">
        <v>44813</v>
      </c>
      <c r="BI993" s="1">
        <v>7.37</v>
      </c>
      <c r="BJ993" s="1">
        <v>44813</v>
      </c>
      <c r="BK993" s="1">
        <v>7.3849999999999998</v>
      </c>
      <c r="BL993" s="1">
        <v>44813</v>
      </c>
      <c r="BM993" s="1">
        <v>7.36</v>
      </c>
      <c r="BN993" s="1">
        <v>44812</v>
      </c>
      <c r="BO993" s="1">
        <v>6.9349999999999996</v>
      </c>
      <c r="BP993" s="1">
        <v>44813</v>
      </c>
      <c r="BQ993" s="1">
        <v>6.5049999999999999</v>
      </c>
      <c r="BR993" s="1">
        <v>44813</v>
      </c>
      <c r="BS993" s="1">
        <v>5.7329999999999997</v>
      </c>
      <c r="BT993" s="1">
        <v>44813</v>
      </c>
      <c r="BU993" s="1">
        <v>5.2329999999999997</v>
      </c>
      <c r="BV993" s="1">
        <v>44813</v>
      </c>
      <c r="BW993" s="1">
        <v>4.9000000000000004</v>
      </c>
      <c r="BY993" s="1">
        <v>44743</v>
      </c>
      <c r="BZ993" s="1">
        <v>7.75</v>
      </c>
      <c r="CA993" s="1">
        <v>44753</v>
      </c>
      <c r="CB993" s="1">
        <v>11</v>
      </c>
      <c r="CC993" s="1">
        <v>44813</v>
      </c>
      <c r="CD993" s="1">
        <v>13.33</v>
      </c>
      <c r="CE993" s="1">
        <v>44813</v>
      </c>
      <c r="CF993" s="1">
        <v>13.8</v>
      </c>
      <c r="CG993" s="1">
        <v>44813</v>
      </c>
      <c r="CH993" s="1">
        <v>14.38</v>
      </c>
      <c r="CI993" s="1">
        <v>44813</v>
      </c>
      <c r="CJ993" s="1">
        <v>14.65</v>
      </c>
      <c r="CK993" s="1">
        <v>44813</v>
      </c>
      <c r="CL993" s="1">
        <v>14.4</v>
      </c>
      <c r="CM993" s="1">
        <v>44813</v>
      </c>
      <c r="CN993" s="1">
        <v>13.705</v>
      </c>
      <c r="CO993" s="1">
        <v>44805</v>
      </c>
      <c r="CP993" s="1">
        <v>13.32</v>
      </c>
      <c r="CQ993" s="1">
        <v>44805</v>
      </c>
      <c r="CR993" s="1">
        <v>12.1</v>
      </c>
      <c r="CS993" s="1">
        <v>44805</v>
      </c>
      <c r="CT993" s="1">
        <v>11.494999999999999</v>
      </c>
    </row>
    <row r="994" spans="31:98" x14ac:dyDescent="0.2">
      <c r="AE994" s="1">
        <v>44804</v>
      </c>
      <c r="AF994" s="1">
        <v>6.5</v>
      </c>
      <c r="AG994" s="1">
        <v>44757</v>
      </c>
      <c r="AH994" s="1">
        <v>7</v>
      </c>
      <c r="AI994" s="1">
        <v>44812</v>
      </c>
      <c r="AJ994" s="1">
        <v>7.24</v>
      </c>
      <c r="AK994" s="1">
        <v>44812</v>
      </c>
      <c r="AL994" s="1">
        <v>7.3150000000000004</v>
      </c>
      <c r="AM994" s="1">
        <v>44812</v>
      </c>
      <c r="AN994" s="1">
        <v>7.3550000000000004</v>
      </c>
      <c r="AO994" s="1">
        <v>44812</v>
      </c>
      <c r="AP994" s="1">
        <v>7.375</v>
      </c>
      <c r="AQ994" s="1">
        <v>44812</v>
      </c>
      <c r="AR994" s="1">
        <v>7.15</v>
      </c>
      <c r="AS994" s="1">
        <v>44812</v>
      </c>
      <c r="AT994" s="1">
        <v>6.665</v>
      </c>
      <c r="AU994" s="1">
        <v>44812</v>
      </c>
      <c r="AV994" s="1">
        <v>6.3150000000000004</v>
      </c>
      <c r="AW994" s="1">
        <v>44812</v>
      </c>
      <c r="AX994" s="2">
        <v>5.97</v>
      </c>
      <c r="AY994" s="1">
        <v>44812</v>
      </c>
      <c r="AZ994" s="2">
        <v>5.625</v>
      </c>
      <c r="BB994" s="1">
        <v>44739</v>
      </c>
      <c r="BC994" s="1">
        <v>7</v>
      </c>
      <c r="BD994" s="1">
        <v>44757</v>
      </c>
      <c r="BE994" s="1">
        <v>7.33</v>
      </c>
      <c r="BF994" s="1">
        <v>44812</v>
      </c>
      <c r="BG994" s="1">
        <v>7.32</v>
      </c>
      <c r="BH994" s="1">
        <v>44812</v>
      </c>
      <c r="BI994" s="1">
        <v>7.35</v>
      </c>
      <c r="BJ994" s="1">
        <v>44812</v>
      </c>
      <c r="BK994" s="1">
        <v>7.375</v>
      </c>
      <c r="BL994" s="1">
        <v>44812</v>
      </c>
      <c r="BM994" s="1">
        <v>7.3550000000000004</v>
      </c>
      <c r="BN994" s="1">
        <v>44811</v>
      </c>
      <c r="BO994" s="1">
        <v>6.9050000000000002</v>
      </c>
      <c r="BP994" s="1">
        <v>44812</v>
      </c>
      <c r="BQ994" s="1">
        <v>6.4950000000000001</v>
      </c>
      <c r="BR994" s="1">
        <v>44812</v>
      </c>
      <c r="BS994" s="1">
        <v>5.7450000000000001</v>
      </c>
      <c r="BT994" s="1">
        <v>44812</v>
      </c>
      <c r="BU994" s="1">
        <v>5.3029999999999999</v>
      </c>
      <c r="BV994" s="1">
        <v>44812</v>
      </c>
      <c r="BW994" s="1">
        <v>4.97</v>
      </c>
      <c r="BY994" s="1">
        <v>44742</v>
      </c>
      <c r="BZ994" s="1">
        <v>7.75</v>
      </c>
      <c r="CA994" s="1">
        <v>44750</v>
      </c>
      <c r="CB994" s="1">
        <v>10.84</v>
      </c>
      <c r="CC994" s="1">
        <v>44812</v>
      </c>
      <c r="CD994" s="1">
        <v>13.332000000000001</v>
      </c>
      <c r="CE994" s="1">
        <v>44812</v>
      </c>
      <c r="CF994" s="1">
        <v>13.839</v>
      </c>
      <c r="CG994" s="1">
        <v>44812</v>
      </c>
      <c r="CH994" s="1">
        <v>14.4</v>
      </c>
      <c r="CI994" s="1">
        <v>44812</v>
      </c>
      <c r="CJ994" s="1">
        <v>14.6</v>
      </c>
      <c r="CK994" s="1">
        <v>44812</v>
      </c>
      <c r="CL994" s="1">
        <v>14.35</v>
      </c>
      <c r="CM994" s="1">
        <v>44812</v>
      </c>
      <c r="CN994" s="1">
        <v>13.615</v>
      </c>
      <c r="CO994" s="1">
        <v>44804</v>
      </c>
      <c r="CP994" s="1">
        <v>13.29</v>
      </c>
      <c r="CQ994" s="1">
        <v>44804</v>
      </c>
      <c r="CR994" s="1">
        <v>12.07</v>
      </c>
      <c r="CS994" s="1">
        <v>44804</v>
      </c>
      <c r="CT994" s="1">
        <v>11.465</v>
      </c>
    </row>
    <row r="995" spans="31:98" x14ac:dyDescent="0.2">
      <c r="AE995" s="1">
        <v>44803</v>
      </c>
      <c r="AF995" s="1">
        <v>6.5</v>
      </c>
      <c r="AG995" s="1">
        <v>44756</v>
      </c>
      <c r="AH995" s="1">
        <v>7</v>
      </c>
      <c r="AI995" s="1">
        <v>44811</v>
      </c>
      <c r="AJ995" s="1">
        <v>7.22</v>
      </c>
      <c r="AK995" s="1">
        <v>44811</v>
      </c>
      <c r="AL995" s="1">
        <v>7.35</v>
      </c>
      <c r="AM995" s="1">
        <v>44811</v>
      </c>
      <c r="AN995" s="1">
        <v>7.38</v>
      </c>
      <c r="AO995" s="1">
        <v>44811</v>
      </c>
      <c r="AP995" s="1">
        <v>7.42</v>
      </c>
      <c r="AQ995" s="1">
        <v>44811</v>
      </c>
      <c r="AR995" s="1">
        <v>7.26</v>
      </c>
      <c r="AS995" s="1">
        <v>44811</v>
      </c>
      <c r="AT995" s="1">
        <v>6.79</v>
      </c>
      <c r="AU995" s="1">
        <v>44811</v>
      </c>
      <c r="AV995" s="1">
        <v>6.45</v>
      </c>
      <c r="AW995" s="1">
        <v>44811</v>
      </c>
      <c r="AX995" s="2">
        <v>6.1050000000000004</v>
      </c>
      <c r="AY995" s="1">
        <v>44811</v>
      </c>
      <c r="AZ995" s="2">
        <v>5.7649999999999997</v>
      </c>
      <c r="BB995" s="1">
        <v>44736</v>
      </c>
      <c r="BC995" s="1">
        <v>7</v>
      </c>
      <c r="BD995" s="1">
        <v>44756</v>
      </c>
      <c r="BE995" s="1">
        <v>7.31</v>
      </c>
      <c r="BF995" s="1">
        <v>44811</v>
      </c>
      <c r="BG995" s="1">
        <v>7.32</v>
      </c>
      <c r="BH995" s="1">
        <v>44811</v>
      </c>
      <c r="BI995" s="1">
        <v>7.3380000000000001</v>
      </c>
      <c r="BJ995" s="1">
        <v>44811</v>
      </c>
      <c r="BK995" s="1">
        <v>7.35</v>
      </c>
      <c r="BL995" s="1">
        <v>44811</v>
      </c>
      <c r="BM995" s="1">
        <v>7.3179999999999996</v>
      </c>
      <c r="BN995" s="1">
        <v>44810</v>
      </c>
      <c r="BO995" s="1">
        <v>6.9930000000000003</v>
      </c>
      <c r="BP995" s="1">
        <v>44811</v>
      </c>
      <c r="BQ995" s="1">
        <v>6.44</v>
      </c>
      <c r="BR995" s="1">
        <v>44811</v>
      </c>
      <c r="BS995" s="1">
        <v>5.665</v>
      </c>
      <c r="BT995" s="1">
        <v>44811</v>
      </c>
      <c r="BU995" s="1">
        <v>5.2530000000000001</v>
      </c>
      <c r="BV995" s="1">
        <v>44811</v>
      </c>
      <c r="BW995" s="1">
        <v>4.91</v>
      </c>
      <c r="BY995" s="1">
        <v>44741</v>
      </c>
      <c r="BZ995" s="1">
        <v>7.75</v>
      </c>
      <c r="CA995" s="1">
        <v>44749</v>
      </c>
      <c r="CB995" s="1">
        <v>10.59</v>
      </c>
      <c r="CC995" s="1">
        <v>44811</v>
      </c>
      <c r="CD995" s="1">
        <v>13.557</v>
      </c>
      <c r="CE995" s="1">
        <v>44811</v>
      </c>
      <c r="CF995" s="1">
        <v>14.084</v>
      </c>
      <c r="CG995" s="1">
        <v>44811</v>
      </c>
      <c r="CH995" s="1">
        <v>14.62</v>
      </c>
      <c r="CI995" s="1">
        <v>44811</v>
      </c>
      <c r="CJ995" s="1">
        <v>14.96</v>
      </c>
      <c r="CK995" s="1">
        <v>44811</v>
      </c>
      <c r="CL995" s="1">
        <v>14.75</v>
      </c>
      <c r="CM995" s="1">
        <v>44811</v>
      </c>
      <c r="CN995" s="1">
        <v>14.234999999999999</v>
      </c>
      <c r="CO995" s="1">
        <v>44803</v>
      </c>
      <c r="CP995" s="1">
        <v>13.315</v>
      </c>
      <c r="CQ995" s="1">
        <v>44803</v>
      </c>
      <c r="CR995" s="1">
        <v>12.185</v>
      </c>
      <c r="CS995" s="1">
        <v>44803</v>
      </c>
      <c r="CT995" s="1">
        <v>11.5</v>
      </c>
    </row>
    <row r="996" spans="31:98" x14ac:dyDescent="0.2">
      <c r="AE996" s="1">
        <v>44802</v>
      </c>
      <c r="AF996" s="1">
        <v>6.5</v>
      </c>
      <c r="AG996" s="1">
        <v>44755</v>
      </c>
      <c r="AH996" s="1">
        <v>6.99</v>
      </c>
      <c r="AI996" s="1">
        <v>44810</v>
      </c>
      <c r="AJ996" s="1">
        <v>7.3380000000000001</v>
      </c>
      <c r="AK996" s="1">
        <v>44810</v>
      </c>
      <c r="AL996" s="1">
        <v>7.46</v>
      </c>
      <c r="AM996" s="1">
        <v>44810</v>
      </c>
      <c r="AN996" s="1">
        <v>7.52</v>
      </c>
      <c r="AO996" s="1">
        <v>44810</v>
      </c>
      <c r="AP996" s="1">
        <v>7.625</v>
      </c>
      <c r="AQ996" s="1">
        <v>44810</v>
      </c>
      <c r="AR996" s="1">
        <v>7.51</v>
      </c>
      <c r="AS996" s="1">
        <v>44810</v>
      </c>
      <c r="AT996" s="1">
        <v>7.125</v>
      </c>
      <c r="AU996" s="1">
        <v>44810</v>
      </c>
      <c r="AV996" s="1">
        <v>6.7750000000000004</v>
      </c>
      <c r="AW996" s="1">
        <v>44810</v>
      </c>
      <c r="AX996" s="2">
        <v>6.46</v>
      </c>
      <c r="AY996" s="1">
        <v>44810</v>
      </c>
      <c r="AZ996" s="2">
        <v>6.12</v>
      </c>
      <c r="BB996" s="1">
        <v>44735</v>
      </c>
      <c r="BC996" s="1">
        <v>7</v>
      </c>
      <c r="BD996" s="1">
        <v>44755</v>
      </c>
      <c r="BE996" s="1">
        <v>7.29</v>
      </c>
      <c r="BF996" s="1">
        <v>44810</v>
      </c>
      <c r="BG996" s="1">
        <v>7.32</v>
      </c>
      <c r="BH996" s="1">
        <v>44810</v>
      </c>
      <c r="BI996" s="1">
        <v>7.3449999999999998</v>
      </c>
      <c r="BJ996" s="1">
        <v>44810</v>
      </c>
      <c r="BK996" s="1">
        <v>7.37</v>
      </c>
      <c r="BL996" s="1">
        <v>44810</v>
      </c>
      <c r="BM996" s="1">
        <v>7.3550000000000004</v>
      </c>
      <c r="BN996" s="1">
        <v>44809</v>
      </c>
      <c r="BO996" s="1">
        <v>7.1029999999999998</v>
      </c>
      <c r="BP996" s="1">
        <v>44810</v>
      </c>
      <c r="BQ996" s="1">
        <v>6.5949999999999998</v>
      </c>
      <c r="BR996" s="1">
        <v>44810</v>
      </c>
      <c r="BS996" s="1">
        <v>5.83</v>
      </c>
      <c r="BT996" s="1">
        <v>44810</v>
      </c>
      <c r="BU996" s="1">
        <v>5.3250000000000002</v>
      </c>
      <c r="BV996" s="1">
        <v>44810</v>
      </c>
      <c r="BW996" s="1">
        <v>4.99</v>
      </c>
      <c r="BY996" s="1">
        <v>44740</v>
      </c>
      <c r="BZ996" s="1">
        <v>5.9</v>
      </c>
      <c r="CA996" s="1">
        <v>44748</v>
      </c>
      <c r="CB996" s="1">
        <v>8.59</v>
      </c>
      <c r="CC996" s="1">
        <v>44810</v>
      </c>
      <c r="CD996" s="1">
        <v>13.582000000000001</v>
      </c>
      <c r="CE996" s="1">
        <v>44810</v>
      </c>
      <c r="CF996" s="1">
        <v>14.137</v>
      </c>
      <c r="CG996" s="1">
        <v>44810</v>
      </c>
      <c r="CH996" s="1">
        <v>14.69</v>
      </c>
      <c r="CI996" s="1">
        <v>44810</v>
      </c>
      <c r="CJ996" s="1">
        <v>14.98</v>
      </c>
      <c r="CK996" s="1">
        <v>44810</v>
      </c>
      <c r="CL996" s="1">
        <v>14.73</v>
      </c>
      <c r="CM996" s="1">
        <v>44810</v>
      </c>
      <c r="CN996" s="1">
        <v>14.26</v>
      </c>
      <c r="CO996" s="1">
        <v>44802</v>
      </c>
      <c r="CP996" s="1">
        <v>13.145</v>
      </c>
      <c r="CQ996" s="1">
        <v>44802</v>
      </c>
      <c r="CR996" s="1">
        <v>12.085000000000001</v>
      </c>
      <c r="CS996" s="1">
        <v>44802</v>
      </c>
      <c r="CT996" s="1">
        <v>11.41</v>
      </c>
    </row>
    <row r="997" spans="31:98" x14ac:dyDescent="0.2">
      <c r="AE997" s="1">
        <v>44799</v>
      </c>
      <c r="AF997" s="1">
        <v>6.5</v>
      </c>
      <c r="AG997" s="1">
        <v>44754</v>
      </c>
      <c r="AH997" s="1">
        <v>6.99</v>
      </c>
      <c r="AI997" s="1">
        <v>44809</v>
      </c>
      <c r="AJ997" s="1">
        <v>7.4050000000000002</v>
      </c>
      <c r="AK997" s="1">
        <v>44809</v>
      </c>
      <c r="AL997" s="1">
        <v>7.58</v>
      </c>
      <c r="AM997" s="1">
        <v>44809</v>
      </c>
      <c r="AN997" s="1">
        <v>7.76</v>
      </c>
      <c r="AO997" s="1">
        <v>44809</v>
      </c>
      <c r="AP997" s="1">
        <v>7.8849999999999998</v>
      </c>
      <c r="AQ997" s="1">
        <v>44809</v>
      </c>
      <c r="AR997" s="1">
        <v>7.73</v>
      </c>
      <c r="AS997" s="1">
        <v>44809</v>
      </c>
      <c r="AT997" s="1">
        <v>7.31</v>
      </c>
      <c r="AU997" s="1">
        <v>44809</v>
      </c>
      <c r="AV997" s="1">
        <v>6.9550000000000001</v>
      </c>
      <c r="AW997" s="1">
        <v>44809</v>
      </c>
      <c r="AX997" s="2">
        <v>6.63</v>
      </c>
      <c r="AY997" s="1">
        <v>44809</v>
      </c>
      <c r="AZ997" s="2">
        <v>6.2750000000000004</v>
      </c>
      <c r="BB997" s="1">
        <v>44734</v>
      </c>
      <c r="BC997" s="1">
        <v>5.75</v>
      </c>
      <c r="BD997" s="1">
        <v>44754</v>
      </c>
      <c r="BE997" s="1">
        <v>7.28</v>
      </c>
      <c r="BF997" s="1">
        <v>44809</v>
      </c>
      <c r="BG997" s="1">
        <v>7.32</v>
      </c>
      <c r="BH997" s="1">
        <v>44809</v>
      </c>
      <c r="BI997" s="1">
        <v>7.33</v>
      </c>
      <c r="BJ997" s="1">
        <v>44809</v>
      </c>
      <c r="BK997" s="1">
        <v>7.39</v>
      </c>
      <c r="BL997" s="1">
        <v>44809</v>
      </c>
      <c r="BM997" s="1">
        <v>7.415</v>
      </c>
      <c r="BN997" s="1">
        <v>44806</v>
      </c>
      <c r="BO997" s="1">
        <v>7.1</v>
      </c>
      <c r="BP997" s="1">
        <v>44809</v>
      </c>
      <c r="BQ997" s="1">
        <v>6.72</v>
      </c>
      <c r="BR997" s="1">
        <v>44809</v>
      </c>
      <c r="BS997" s="1">
        <v>6.008</v>
      </c>
      <c r="BT997" s="1">
        <v>44809</v>
      </c>
      <c r="BU997" s="1">
        <v>5.4080000000000004</v>
      </c>
      <c r="BV997" s="1">
        <v>44809</v>
      </c>
      <c r="BW997" s="1">
        <v>5</v>
      </c>
      <c r="BY997" s="1">
        <v>44739</v>
      </c>
      <c r="BZ997" s="1">
        <v>5.9</v>
      </c>
      <c r="CA997" s="1">
        <v>44747</v>
      </c>
      <c r="CB997" s="1">
        <v>8.51</v>
      </c>
      <c r="CC997" s="1">
        <v>44809</v>
      </c>
      <c r="CD997" s="1">
        <v>13.593999999999999</v>
      </c>
      <c r="CE997" s="1">
        <v>44809</v>
      </c>
      <c r="CF997" s="1">
        <v>14.183</v>
      </c>
      <c r="CG997" s="1">
        <v>44809</v>
      </c>
      <c r="CH997" s="1">
        <v>14.76</v>
      </c>
      <c r="CI997" s="1">
        <v>44809</v>
      </c>
      <c r="CJ997" s="1">
        <v>15.05</v>
      </c>
      <c r="CK997" s="1">
        <v>44809</v>
      </c>
      <c r="CL997" s="1">
        <v>14.8</v>
      </c>
      <c r="CM997" s="1">
        <v>44809</v>
      </c>
      <c r="CN997" s="1">
        <v>14.35</v>
      </c>
      <c r="CO997" s="1">
        <v>44799</v>
      </c>
      <c r="CP997" s="1">
        <v>13.145</v>
      </c>
      <c r="CQ997" s="1">
        <v>44799</v>
      </c>
      <c r="CR997" s="1">
        <v>12.085000000000001</v>
      </c>
      <c r="CS997" s="1">
        <v>44799</v>
      </c>
      <c r="CT997" s="1">
        <v>11.41</v>
      </c>
    </row>
    <row r="998" spans="31:98" x14ac:dyDescent="0.2">
      <c r="AE998" s="1">
        <v>44798</v>
      </c>
      <c r="AF998" s="1">
        <v>6.5</v>
      </c>
      <c r="AG998" s="1">
        <v>44753</v>
      </c>
      <c r="AH998" s="1">
        <v>7</v>
      </c>
      <c r="AI998" s="1">
        <v>44806</v>
      </c>
      <c r="AJ998" s="1">
        <v>7.3879999999999999</v>
      </c>
      <c r="AK998" s="1">
        <v>44806</v>
      </c>
      <c r="AL998" s="1">
        <v>7.53</v>
      </c>
      <c r="AM998" s="1">
        <v>44806</v>
      </c>
      <c r="AN998" s="1">
        <v>7.6950000000000003</v>
      </c>
      <c r="AO998" s="1">
        <v>44806</v>
      </c>
      <c r="AP998" s="1">
        <v>7.8150000000000004</v>
      </c>
      <c r="AQ998" s="1">
        <v>44806</v>
      </c>
      <c r="AR998" s="1">
        <v>7.68</v>
      </c>
      <c r="AS998" s="1">
        <v>44806</v>
      </c>
      <c r="AT998" s="1">
        <v>7.2675000000000001</v>
      </c>
      <c r="AU998" s="1">
        <v>44806</v>
      </c>
      <c r="AV998" s="1">
        <v>6.9074999999999998</v>
      </c>
      <c r="AW998" s="1">
        <v>44806</v>
      </c>
      <c r="AX998" s="2">
        <v>6.5774999999999997</v>
      </c>
      <c r="AY998" s="1">
        <v>44806</v>
      </c>
      <c r="AZ998" s="2">
        <v>6.2625000000000002</v>
      </c>
      <c r="BB998" s="1">
        <v>44733</v>
      </c>
      <c r="BC998" s="1">
        <v>5.75</v>
      </c>
      <c r="BD998" s="1">
        <v>44753</v>
      </c>
      <c r="BE998" s="1">
        <v>7.27</v>
      </c>
      <c r="BF998" s="1">
        <v>44806</v>
      </c>
      <c r="BG998" s="1">
        <v>7.32</v>
      </c>
      <c r="BH998" s="1">
        <v>44806</v>
      </c>
      <c r="BI998" s="1">
        <v>7.3250000000000002</v>
      </c>
      <c r="BJ998" s="1">
        <v>44806</v>
      </c>
      <c r="BK998" s="1">
        <v>7.39</v>
      </c>
      <c r="BL998" s="1">
        <v>44806</v>
      </c>
      <c r="BM998" s="1">
        <v>7.42</v>
      </c>
      <c r="BN998" s="1">
        <v>44805</v>
      </c>
      <c r="BO998" s="1">
        <v>7.133</v>
      </c>
      <c r="BP998" s="1">
        <v>44806</v>
      </c>
      <c r="BQ998" s="1">
        <v>6.7</v>
      </c>
      <c r="BR998" s="1">
        <v>44806</v>
      </c>
      <c r="BS998" s="1">
        <v>5.9649999999999999</v>
      </c>
      <c r="BT998" s="1">
        <v>44806</v>
      </c>
      <c r="BU998" s="1">
        <v>5.3550000000000004</v>
      </c>
      <c r="BV998" s="1">
        <v>44806</v>
      </c>
      <c r="BW998" s="1">
        <v>4.9379999999999997</v>
      </c>
      <c r="BY998" s="1">
        <v>44736</v>
      </c>
      <c r="BZ998" s="1">
        <v>5.9</v>
      </c>
      <c r="CA998" s="1">
        <v>44746</v>
      </c>
      <c r="CB998" s="1">
        <v>8.48</v>
      </c>
      <c r="CC998" s="1">
        <v>44806</v>
      </c>
      <c r="CD998" s="1">
        <v>13.51</v>
      </c>
      <c r="CE998" s="1">
        <v>44806</v>
      </c>
      <c r="CF998" s="1">
        <v>14.05</v>
      </c>
      <c r="CG998" s="1">
        <v>44806</v>
      </c>
      <c r="CH998" s="1">
        <v>14.57</v>
      </c>
      <c r="CI998" s="1">
        <v>44806</v>
      </c>
      <c r="CJ998" s="1">
        <v>14.86</v>
      </c>
      <c r="CK998" s="1">
        <v>44806</v>
      </c>
      <c r="CL998" s="1">
        <v>14.62</v>
      </c>
      <c r="CM998" s="1">
        <v>44806</v>
      </c>
      <c r="CN998" s="1">
        <v>14.175000000000001</v>
      </c>
      <c r="CO998" s="1">
        <v>44798</v>
      </c>
      <c r="CP998" s="1">
        <v>12.83</v>
      </c>
      <c r="CQ998" s="1">
        <v>44798</v>
      </c>
      <c r="CR998" s="1">
        <v>11.605</v>
      </c>
      <c r="CS998" s="1">
        <v>44798</v>
      </c>
      <c r="CT998" s="1">
        <v>10.96</v>
      </c>
    </row>
    <row r="999" spans="31:98" x14ac:dyDescent="0.2">
      <c r="AE999" s="1">
        <v>44797</v>
      </c>
      <c r="AF999" s="1">
        <v>6.5</v>
      </c>
      <c r="AG999" s="1">
        <v>44750</v>
      </c>
      <c r="AH999" s="1">
        <v>7.08</v>
      </c>
      <c r="AI999" s="1">
        <v>44805</v>
      </c>
      <c r="AJ999" s="1">
        <v>7.3879999999999999</v>
      </c>
      <c r="AK999" s="1">
        <v>44805</v>
      </c>
      <c r="AL999" s="1">
        <v>7.55</v>
      </c>
      <c r="AM999" s="1">
        <v>44805</v>
      </c>
      <c r="AN999" s="1">
        <v>7.7450000000000001</v>
      </c>
      <c r="AO999" s="1">
        <v>44805</v>
      </c>
      <c r="AP999" s="1">
        <v>7.9275000000000002</v>
      </c>
      <c r="AQ999" s="1">
        <v>44805</v>
      </c>
      <c r="AR999" s="1">
        <v>7.8224999999999998</v>
      </c>
      <c r="AS999" s="1">
        <v>44805</v>
      </c>
      <c r="AT999" s="1">
        <v>7.43</v>
      </c>
      <c r="AU999" s="1">
        <v>44805</v>
      </c>
      <c r="AV999" s="1">
        <v>7.0875000000000004</v>
      </c>
      <c r="AW999" s="1">
        <v>44805</v>
      </c>
      <c r="AX999" s="2">
        <v>6.7450000000000001</v>
      </c>
      <c r="AY999" s="1">
        <v>44805</v>
      </c>
      <c r="AZ999" s="2">
        <v>6.4325000000000001</v>
      </c>
      <c r="BB999" s="1">
        <v>44732</v>
      </c>
      <c r="BC999" s="1">
        <v>5.75</v>
      </c>
      <c r="BD999" s="1">
        <v>44750</v>
      </c>
      <c r="BE999" s="1">
        <v>7.26</v>
      </c>
      <c r="BF999" s="1">
        <v>44805</v>
      </c>
      <c r="BG999" s="1">
        <v>7.3250000000000002</v>
      </c>
      <c r="BH999" s="1">
        <v>44805</v>
      </c>
      <c r="BI999" s="1">
        <v>7.3179999999999996</v>
      </c>
      <c r="BJ999" s="1">
        <v>44805</v>
      </c>
      <c r="BK999" s="1">
        <v>7.3849999999999998</v>
      </c>
      <c r="BL999" s="1">
        <v>44805</v>
      </c>
      <c r="BM999" s="1">
        <v>7.4029999999999996</v>
      </c>
      <c r="BN999" s="1">
        <v>44804</v>
      </c>
      <c r="BO999" s="1">
        <v>7.17</v>
      </c>
      <c r="BP999" s="1">
        <v>44805</v>
      </c>
      <c r="BQ999" s="1">
        <v>6.7850000000000001</v>
      </c>
      <c r="BR999" s="1">
        <v>44805</v>
      </c>
      <c r="BS999" s="1">
        <v>6.11</v>
      </c>
      <c r="BT999" s="1">
        <v>44805</v>
      </c>
      <c r="BU999" s="1">
        <v>5.53</v>
      </c>
      <c r="BV999" s="1">
        <v>44805</v>
      </c>
      <c r="BW999" s="1">
        <v>5.0949999999999998</v>
      </c>
      <c r="BY999" s="1">
        <v>44735</v>
      </c>
      <c r="BZ999" s="1">
        <v>5.9</v>
      </c>
      <c r="CA999" s="1">
        <v>44743</v>
      </c>
      <c r="CB999" s="1">
        <v>8.4499999999999993</v>
      </c>
      <c r="CC999" s="1">
        <v>44805</v>
      </c>
      <c r="CD999" s="1">
        <v>13.531000000000001</v>
      </c>
      <c r="CE999" s="1">
        <v>44805</v>
      </c>
      <c r="CF999" s="1">
        <v>14.087999999999999</v>
      </c>
      <c r="CG999" s="1">
        <v>44805</v>
      </c>
      <c r="CH999" s="1">
        <v>14.63</v>
      </c>
      <c r="CI999" s="1">
        <v>44805</v>
      </c>
      <c r="CJ999" s="1">
        <v>14.9</v>
      </c>
      <c r="CK999" s="1">
        <v>44805</v>
      </c>
      <c r="CL999" s="1">
        <v>14.62</v>
      </c>
      <c r="CM999" s="1">
        <v>44805</v>
      </c>
      <c r="CN999" s="1">
        <v>14.185</v>
      </c>
      <c r="CO999" s="1">
        <v>44797</v>
      </c>
      <c r="CP999" s="1">
        <v>12.82</v>
      </c>
      <c r="CQ999" s="1">
        <v>44797</v>
      </c>
      <c r="CR999" s="1">
        <v>11.654999999999999</v>
      </c>
      <c r="CS999" s="1">
        <v>44797</v>
      </c>
      <c r="CT999" s="1">
        <v>10.98</v>
      </c>
    </row>
    <row r="1000" spans="31:98" x14ac:dyDescent="0.2">
      <c r="AE1000" s="1">
        <v>44796</v>
      </c>
      <c r="AF1000" s="1">
        <v>6.5</v>
      </c>
      <c r="AG1000" s="1">
        <v>44749</v>
      </c>
      <c r="AH1000" s="1">
        <v>7.14</v>
      </c>
      <c r="AI1000" s="1">
        <v>44804</v>
      </c>
      <c r="AJ1000" s="1">
        <v>7.36</v>
      </c>
      <c r="AK1000" s="1">
        <v>44804</v>
      </c>
      <c r="AL1000" s="1">
        <v>7.6360000000000001</v>
      </c>
      <c r="AM1000" s="1">
        <v>44804</v>
      </c>
      <c r="AN1000" s="1">
        <v>7.8</v>
      </c>
      <c r="AO1000" s="1">
        <v>44804</v>
      </c>
      <c r="AP1000" s="1">
        <v>7.9450000000000003</v>
      </c>
      <c r="AQ1000" s="1">
        <v>44804</v>
      </c>
      <c r="AR1000" s="1">
        <v>7.7949999999999999</v>
      </c>
      <c r="AS1000" s="1">
        <v>44804</v>
      </c>
      <c r="AT1000" s="1">
        <v>7.4924999999999997</v>
      </c>
      <c r="AU1000" s="1">
        <v>44804</v>
      </c>
      <c r="AV1000" s="1">
        <v>7.0975000000000001</v>
      </c>
      <c r="AW1000" s="1">
        <v>44804</v>
      </c>
      <c r="AX1000" s="2">
        <v>6.7549999999999999</v>
      </c>
      <c r="AY1000" s="1">
        <v>44804</v>
      </c>
      <c r="AZ1000" s="2">
        <v>6.45</v>
      </c>
      <c r="BB1000" s="1">
        <v>44729</v>
      </c>
      <c r="BC1000" s="1">
        <v>5.75</v>
      </c>
      <c r="BD1000" s="1">
        <v>44749</v>
      </c>
      <c r="BE1000" s="1">
        <v>7.24</v>
      </c>
      <c r="BF1000" s="1">
        <v>44804</v>
      </c>
      <c r="BG1000" s="1">
        <v>7.29</v>
      </c>
      <c r="BH1000" s="1">
        <v>44804</v>
      </c>
      <c r="BI1000" s="1">
        <v>7.3250000000000002</v>
      </c>
      <c r="BJ1000" s="1">
        <v>44804</v>
      </c>
      <c r="BK1000" s="1">
        <v>7.4</v>
      </c>
      <c r="BL1000" s="1">
        <v>44804</v>
      </c>
      <c r="BM1000" s="1">
        <v>7.4329999999999998</v>
      </c>
      <c r="BN1000" s="1">
        <v>44803</v>
      </c>
      <c r="BO1000" s="1">
        <v>7.2649999999999997</v>
      </c>
      <c r="BP1000" s="1">
        <v>44804</v>
      </c>
      <c r="BQ1000" s="1">
        <v>6.82</v>
      </c>
      <c r="BR1000" s="1">
        <v>44804</v>
      </c>
      <c r="BS1000" s="1">
        <v>6.11</v>
      </c>
      <c r="BT1000" s="1">
        <v>44804</v>
      </c>
      <c r="BU1000" s="1">
        <v>5.5</v>
      </c>
      <c r="BV1000" s="1">
        <v>44804</v>
      </c>
      <c r="BW1000" s="1">
        <v>5.07</v>
      </c>
      <c r="BY1000" s="1">
        <v>44734</v>
      </c>
      <c r="BZ1000" s="1">
        <v>5.9</v>
      </c>
      <c r="CA1000" s="1">
        <v>44742</v>
      </c>
      <c r="CB1000" s="1">
        <v>8.4</v>
      </c>
      <c r="CC1000" s="1">
        <v>44804</v>
      </c>
      <c r="CD1000" s="1">
        <v>13.52</v>
      </c>
      <c r="CE1000" s="1">
        <v>44804</v>
      </c>
      <c r="CF1000" s="1">
        <v>14.1</v>
      </c>
      <c r="CG1000" s="1">
        <v>44804</v>
      </c>
      <c r="CH1000" s="1">
        <v>14.65</v>
      </c>
      <c r="CI1000" s="1">
        <v>44804</v>
      </c>
      <c r="CJ1000" s="1">
        <v>14.9</v>
      </c>
      <c r="CK1000" s="1">
        <v>44804</v>
      </c>
      <c r="CL1000" s="1">
        <v>14.63</v>
      </c>
      <c r="CM1000" s="1">
        <v>44804</v>
      </c>
      <c r="CN1000" s="1">
        <v>14.154999999999999</v>
      </c>
      <c r="CO1000" s="1">
        <v>44796</v>
      </c>
      <c r="CP1000" s="1">
        <v>12.99</v>
      </c>
      <c r="CQ1000" s="1">
        <v>44796</v>
      </c>
      <c r="CR1000" s="1">
        <v>11.795</v>
      </c>
      <c r="CS1000" s="1">
        <v>44796</v>
      </c>
      <c r="CT1000" s="1">
        <v>11.13</v>
      </c>
    </row>
    <row r="1001" spans="31:98" x14ac:dyDescent="0.2">
      <c r="AE1001" s="1">
        <v>44795</v>
      </c>
      <c r="AF1001" s="1">
        <v>6.5</v>
      </c>
      <c r="AG1001" s="1">
        <v>44748</v>
      </c>
      <c r="AH1001" s="1">
        <v>7.12</v>
      </c>
      <c r="AI1001" s="1">
        <v>44803</v>
      </c>
      <c r="AJ1001" s="1">
        <v>7.33</v>
      </c>
      <c r="AK1001" s="1">
        <v>44803</v>
      </c>
      <c r="AL1001" s="1">
        <v>7.49</v>
      </c>
      <c r="AM1001" s="1">
        <v>44803</v>
      </c>
      <c r="AN1001" s="1">
        <v>7.59</v>
      </c>
      <c r="AO1001" s="1">
        <v>44803</v>
      </c>
      <c r="AP1001" s="1">
        <v>7.6924999999999999</v>
      </c>
      <c r="AQ1001" s="1">
        <v>44803</v>
      </c>
      <c r="AR1001" s="1">
        <v>7.54</v>
      </c>
      <c r="AS1001" s="1">
        <v>44803</v>
      </c>
      <c r="AT1001" s="1">
        <v>7.2175000000000002</v>
      </c>
      <c r="AU1001" s="1">
        <v>44803</v>
      </c>
      <c r="AV1001" s="1">
        <v>6.8274999999999997</v>
      </c>
      <c r="AW1001" s="1">
        <v>44803</v>
      </c>
      <c r="AX1001" s="2">
        <v>6.4749999999999996</v>
      </c>
      <c r="AY1001" s="1">
        <v>44803</v>
      </c>
      <c r="AZ1001" s="2">
        <v>6.1624999999999996</v>
      </c>
      <c r="BB1001" s="1">
        <v>44728</v>
      </c>
      <c r="BC1001" s="1">
        <v>5.75</v>
      </c>
      <c r="BD1001" s="1">
        <v>44746</v>
      </c>
      <c r="BE1001" s="1">
        <v>7.23</v>
      </c>
      <c r="BF1001" s="1">
        <v>44803</v>
      </c>
      <c r="BG1001" s="1">
        <v>7.2949999999999999</v>
      </c>
      <c r="BH1001" s="1">
        <v>44803</v>
      </c>
      <c r="BI1001" s="1">
        <v>7.33</v>
      </c>
      <c r="BJ1001" s="1">
        <v>44803</v>
      </c>
      <c r="BK1001" s="1">
        <v>7.415</v>
      </c>
      <c r="BL1001" s="1">
        <v>44803</v>
      </c>
      <c r="BM1001" s="1">
        <v>7.47</v>
      </c>
      <c r="BN1001" s="1">
        <v>44802</v>
      </c>
      <c r="BO1001" s="1">
        <v>7.3380000000000001</v>
      </c>
      <c r="BP1001" s="1">
        <v>44803</v>
      </c>
      <c r="BQ1001" s="1">
        <v>6.94</v>
      </c>
      <c r="BR1001" s="1">
        <v>44803</v>
      </c>
      <c r="BS1001" s="1">
        <v>6.21</v>
      </c>
      <c r="BT1001" s="1">
        <v>44803</v>
      </c>
      <c r="BU1001" s="1">
        <v>5.71</v>
      </c>
      <c r="BV1001" s="1">
        <v>44803</v>
      </c>
      <c r="BW1001" s="1">
        <v>5.2480000000000002</v>
      </c>
      <c r="BY1001" s="1">
        <v>44733</v>
      </c>
      <c r="BZ1001" s="1">
        <v>5.9</v>
      </c>
      <c r="CA1001" s="1">
        <v>44741</v>
      </c>
      <c r="CB1001" s="1">
        <v>8.35</v>
      </c>
      <c r="CC1001" s="1">
        <v>44803</v>
      </c>
      <c r="CD1001" s="1">
        <v>13.38</v>
      </c>
      <c r="CE1001" s="1">
        <v>44803</v>
      </c>
      <c r="CF1001" s="1">
        <v>13.97</v>
      </c>
      <c r="CG1001" s="1">
        <v>44803</v>
      </c>
      <c r="CH1001" s="1">
        <v>14.55</v>
      </c>
      <c r="CI1001" s="1">
        <v>44803</v>
      </c>
      <c r="CJ1001" s="1">
        <v>14.9</v>
      </c>
      <c r="CK1001" s="1">
        <v>44803</v>
      </c>
      <c r="CL1001" s="1">
        <v>14.62</v>
      </c>
      <c r="CM1001" s="1">
        <v>44803</v>
      </c>
      <c r="CN1001" s="1">
        <v>14.22</v>
      </c>
      <c r="CO1001" s="1">
        <v>44795</v>
      </c>
      <c r="CP1001" s="1">
        <v>12.75</v>
      </c>
      <c r="CQ1001" s="1">
        <v>44795</v>
      </c>
      <c r="CR1001" s="1">
        <v>11.555</v>
      </c>
      <c r="CS1001" s="1">
        <v>44795</v>
      </c>
      <c r="CT1001" s="1">
        <v>10.85</v>
      </c>
    </row>
    <row r="1002" spans="31:98" x14ac:dyDescent="0.2">
      <c r="AE1002" s="1">
        <v>44792</v>
      </c>
      <c r="AF1002" s="1">
        <v>6.5</v>
      </c>
      <c r="AG1002" s="1">
        <v>44747</v>
      </c>
      <c r="AH1002" s="1">
        <v>7.1</v>
      </c>
      <c r="AI1002" s="1">
        <v>44802</v>
      </c>
      <c r="AJ1002" s="1">
        <v>7.4950000000000001</v>
      </c>
      <c r="AK1002" s="1">
        <v>44802</v>
      </c>
      <c r="AL1002" s="1">
        <v>7.6349999999999998</v>
      </c>
      <c r="AM1002" s="1">
        <v>44802</v>
      </c>
      <c r="AN1002" s="1">
        <v>7.7824999999999998</v>
      </c>
      <c r="AO1002" s="1">
        <v>44802</v>
      </c>
      <c r="AP1002" s="1">
        <v>7.89</v>
      </c>
      <c r="AQ1002" s="1">
        <v>44802</v>
      </c>
      <c r="AR1002" s="1">
        <v>7.7450000000000001</v>
      </c>
      <c r="AS1002" s="1">
        <v>44802</v>
      </c>
      <c r="AT1002" s="1">
        <v>7.3925000000000001</v>
      </c>
      <c r="AU1002" s="1">
        <v>44802</v>
      </c>
      <c r="AV1002" s="1">
        <v>7.0274999999999999</v>
      </c>
      <c r="AW1002" s="1">
        <v>44802</v>
      </c>
      <c r="AX1002" s="2">
        <v>6.6749999999999998</v>
      </c>
      <c r="AY1002" s="1">
        <v>44802</v>
      </c>
      <c r="AZ1002" s="2">
        <v>6.3624999999999998</v>
      </c>
      <c r="BB1002" s="1">
        <v>44727</v>
      </c>
      <c r="BC1002" s="1">
        <v>5.75</v>
      </c>
      <c r="BD1002" s="1">
        <v>44743</v>
      </c>
      <c r="BE1002" s="1">
        <v>7.23</v>
      </c>
      <c r="BF1002" s="1">
        <v>44802</v>
      </c>
      <c r="BG1002" s="1">
        <v>7.2930000000000001</v>
      </c>
      <c r="BH1002" s="1">
        <v>44802</v>
      </c>
      <c r="BI1002" s="1">
        <v>7.3579999999999997</v>
      </c>
      <c r="BJ1002" s="1">
        <v>44802</v>
      </c>
      <c r="BK1002" s="1">
        <v>7.4729999999999999</v>
      </c>
      <c r="BL1002" s="1">
        <v>44802</v>
      </c>
      <c r="BM1002" s="1">
        <v>7.5149999999999997</v>
      </c>
      <c r="BN1002" s="1">
        <v>44799</v>
      </c>
      <c r="BO1002" s="1">
        <v>7.3380000000000001</v>
      </c>
      <c r="BP1002" s="1">
        <v>44802</v>
      </c>
      <c r="BQ1002" s="1">
        <v>7.0629999999999997</v>
      </c>
      <c r="BR1002" s="1">
        <v>44802</v>
      </c>
      <c r="BS1002" s="1">
        <v>6.3730000000000002</v>
      </c>
      <c r="BT1002" s="1">
        <v>44802</v>
      </c>
      <c r="BU1002" s="1">
        <v>5.8630000000000004</v>
      </c>
      <c r="BV1002" s="1">
        <v>44802</v>
      </c>
      <c r="BW1002" s="1">
        <v>5.4050000000000002</v>
      </c>
      <c r="BY1002" s="1">
        <v>44732</v>
      </c>
      <c r="BZ1002" s="1">
        <v>5.9</v>
      </c>
      <c r="CA1002" s="1">
        <v>44740</v>
      </c>
      <c r="CB1002" s="1">
        <v>7.77</v>
      </c>
      <c r="CC1002" s="1">
        <v>44802</v>
      </c>
      <c r="CD1002" s="1">
        <v>13.3</v>
      </c>
      <c r="CE1002" s="1">
        <v>44802</v>
      </c>
      <c r="CF1002" s="1">
        <v>13.88</v>
      </c>
      <c r="CG1002" s="1">
        <v>44802</v>
      </c>
      <c r="CH1002" s="1">
        <v>14.45</v>
      </c>
      <c r="CI1002" s="1">
        <v>44802</v>
      </c>
      <c r="CJ1002" s="1">
        <v>14.7</v>
      </c>
      <c r="CK1002" s="1">
        <v>44802</v>
      </c>
      <c r="CL1002" s="1">
        <v>14.42</v>
      </c>
      <c r="CM1002" s="1">
        <v>44802</v>
      </c>
      <c r="CN1002" s="1">
        <v>13.96</v>
      </c>
      <c r="CO1002" s="1">
        <v>44792</v>
      </c>
      <c r="CP1002" s="1">
        <v>12.24</v>
      </c>
      <c r="CQ1002" s="1">
        <v>44792</v>
      </c>
      <c r="CR1002" s="1">
        <v>11.135</v>
      </c>
      <c r="CS1002" s="1">
        <v>44792</v>
      </c>
      <c r="CT1002" s="1">
        <v>10.4</v>
      </c>
    </row>
    <row r="1003" spans="31:98" x14ac:dyDescent="0.2">
      <c r="AE1003" s="1">
        <v>44791</v>
      </c>
      <c r="AF1003" s="1">
        <v>6.5</v>
      </c>
      <c r="AG1003" s="1">
        <v>44746</v>
      </c>
      <c r="AH1003" s="1">
        <v>7.08</v>
      </c>
      <c r="AI1003" s="1">
        <v>44799</v>
      </c>
      <c r="AJ1003" s="1">
        <v>7.42</v>
      </c>
      <c r="AK1003" s="1">
        <v>44799</v>
      </c>
      <c r="AL1003" s="1">
        <v>7.6574999999999998</v>
      </c>
      <c r="AM1003" s="1">
        <v>44799</v>
      </c>
      <c r="AN1003" s="1">
        <v>7.8025000000000002</v>
      </c>
      <c r="AO1003" s="1">
        <v>44799</v>
      </c>
      <c r="AP1003" s="1">
        <v>7.91</v>
      </c>
      <c r="AQ1003" s="1">
        <v>44799</v>
      </c>
      <c r="AR1003" s="1">
        <v>7.76</v>
      </c>
      <c r="AS1003" s="1">
        <v>44799</v>
      </c>
      <c r="AT1003" s="1">
        <v>7.4074999999999998</v>
      </c>
      <c r="AU1003" s="1">
        <v>44799</v>
      </c>
      <c r="AV1003" s="1">
        <v>7.0425000000000004</v>
      </c>
      <c r="AW1003" s="1">
        <v>44799</v>
      </c>
      <c r="AX1003" s="2">
        <v>6.6924999999999999</v>
      </c>
      <c r="AY1003" s="1">
        <v>44799</v>
      </c>
      <c r="AZ1003" s="2">
        <v>6.3825000000000003</v>
      </c>
      <c r="BB1003" s="1">
        <v>44726</v>
      </c>
      <c r="BC1003" s="1">
        <v>5.75</v>
      </c>
      <c r="BD1003" s="1">
        <v>44742</v>
      </c>
      <c r="BE1003" s="1">
        <v>7.23</v>
      </c>
      <c r="BF1003" s="1">
        <v>44799</v>
      </c>
      <c r="BG1003" s="1">
        <v>7.29</v>
      </c>
      <c r="BH1003" s="1">
        <v>44799</v>
      </c>
      <c r="BI1003" s="1">
        <v>7.3579999999999997</v>
      </c>
      <c r="BJ1003" s="1">
        <v>44799</v>
      </c>
      <c r="BK1003" s="1">
        <v>7.4729999999999999</v>
      </c>
      <c r="BL1003" s="1">
        <v>44799</v>
      </c>
      <c r="BM1003" s="1">
        <v>7.5149999999999997</v>
      </c>
      <c r="BN1003" s="1">
        <v>44798</v>
      </c>
      <c r="BO1003" s="1">
        <v>7.165</v>
      </c>
      <c r="BP1003" s="1">
        <v>44799</v>
      </c>
      <c r="BQ1003" s="1">
        <v>7.0629999999999997</v>
      </c>
      <c r="BR1003" s="1">
        <v>44799</v>
      </c>
      <c r="BS1003" s="1">
        <v>6.3730000000000002</v>
      </c>
      <c r="BT1003" s="1">
        <v>44799</v>
      </c>
      <c r="BU1003" s="1">
        <v>5.8630000000000004</v>
      </c>
      <c r="BV1003" s="1">
        <v>44799</v>
      </c>
      <c r="BW1003" s="1">
        <v>5.4050000000000002</v>
      </c>
      <c r="BY1003" s="1">
        <v>44729</v>
      </c>
      <c r="BZ1003" s="1">
        <v>5.9</v>
      </c>
      <c r="CA1003" s="1">
        <v>44739</v>
      </c>
      <c r="CB1003" s="1">
        <v>7.73</v>
      </c>
      <c r="CC1003" s="1">
        <v>44799</v>
      </c>
      <c r="CD1003" s="1">
        <v>13.3</v>
      </c>
      <c r="CE1003" s="1">
        <v>44799</v>
      </c>
      <c r="CF1003" s="1">
        <v>13.88</v>
      </c>
      <c r="CG1003" s="1">
        <v>44799</v>
      </c>
      <c r="CH1003" s="1">
        <v>14.45</v>
      </c>
      <c r="CI1003" s="1">
        <v>44799</v>
      </c>
      <c r="CJ1003" s="1">
        <v>14.7</v>
      </c>
      <c r="CK1003" s="1">
        <v>44799</v>
      </c>
      <c r="CL1003" s="1">
        <v>14.42</v>
      </c>
      <c r="CM1003" s="1">
        <v>44799</v>
      </c>
      <c r="CN1003" s="1">
        <v>13.96</v>
      </c>
      <c r="CO1003" s="1">
        <v>44791</v>
      </c>
      <c r="CP1003" s="1">
        <v>12.56</v>
      </c>
      <c r="CQ1003" s="1">
        <v>44791</v>
      </c>
      <c r="CR1003" s="1">
        <v>11.4</v>
      </c>
      <c r="CS1003" s="1">
        <v>44791</v>
      </c>
      <c r="CT1003" s="1">
        <v>10.77</v>
      </c>
    </row>
    <row r="1004" spans="31:98" x14ac:dyDescent="0.2">
      <c r="AE1004" s="1">
        <v>44790</v>
      </c>
      <c r="AF1004" s="1">
        <v>6.5</v>
      </c>
      <c r="AG1004" s="1">
        <v>44743</v>
      </c>
      <c r="AH1004" s="1">
        <v>7.05</v>
      </c>
      <c r="AI1004" s="1">
        <v>44798</v>
      </c>
      <c r="AJ1004" s="1">
        <v>7.3849999999999998</v>
      </c>
      <c r="AK1004" s="1">
        <v>44798</v>
      </c>
      <c r="AL1004" s="1">
        <v>7.5025000000000004</v>
      </c>
      <c r="AM1004" s="1">
        <v>44798</v>
      </c>
      <c r="AN1004" s="1">
        <v>7.625</v>
      </c>
      <c r="AO1004" s="1">
        <v>44798</v>
      </c>
      <c r="AP1004" s="1">
        <v>7.7149999999999999</v>
      </c>
      <c r="AQ1004" s="1">
        <v>44798</v>
      </c>
      <c r="AR1004" s="1">
        <v>7.5312999999999999</v>
      </c>
      <c r="AS1004" s="1">
        <v>44798</v>
      </c>
      <c r="AT1004" s="1">
        <v>7.1074999999999999</v>
      </c>
      <c r="AU1004" s="1">
        <v>44798</v>
      </c>
      <c r="AV1004" s="1">
        <v>6.73</v>
      </c>
      <c r="AW1004" s="1">
        <v>44798</v>
      </c>
      <c r="AX1004" s="2">
        <v>6.38</v>
      </c>
      <c r="AY1004" s="1">
        <v>44798</v>
      </c>
      <c r="AZ1004" s="2">
        <v>6.085</v>
      </c>
      <c r="BB1004" s="1">
        <v>44725</v>
      </c>
      <c r="BC1004" s="1">
        <v>5.75</v>
      </c>
      <c r="BD1004" s="1">
        <v>44741</v>
      </c>
      <c r="BE1004" s="1">
        <v>7.23</v>
      </c>
      <c r="BF1004" s="1">
        <v>44798</v>
      </c>
      <c r="BG1004" s="1">
        <v>7.27</v>
      </c>
      <c r="BH1004" s="1">
        <v>44798</v>
      </c>
      <c r="BI1004" s="1">
        <v>7.34</v>
      </c>
      <c r="BJ1004" s="1">
        <v>44798</v>
      </c>
      <c r="BK1004" s="1">
        <v>7.4</v>
      </c>
      <c r="BL1004" s="1">
        <v>44798</v>
      </c>
      <c r="BM1004" s="1">
        <v>7.4</v>
      </c>
      <c r="BN1004" s="1">
        <v>44797</v>
      </c>
      <c r="BO1004" s="1">
        <v>7.13</v>
      </c>
      <c r="BP1004" s="1">
        <v>44798</v>
      </c>
      <c r="BQ1004" s="1">
        <v>6.8849999999999998</v>
      </c>
      <c r="BR1004" s="1">
        <v>44798</v>
      </c>
      <c r="BS1004" s="1">
        <v>6.0880000000000001</v>
      </c>
      <c r="BT1004" s="1">
        <v>44798</v>
      </c>
      <c r="BU1004" s="1">
        <v>5.5880000000000001</v>
      </c>
      <c r="BV1004" s="1">
        <v>44798</v>
      </c>
      <c r="BW1004" s="1">
        <v>5.1429999999999998</v>
      </c>
      <c r="BY1004" s="1">
        <v>44728</v>
      </c>
      <c r="BZ1004" s="1">
        <v>5.9</v>
      </c>
      <c r="CA1004" s="1">
        <v>44736</v>
      </c>
      <c r="CB1004" s="1">
        <v>7.7</v>
      </c>
      <c r="CC1004" s="1">
        <v>44798</v>
      </c>
      <c r="CD1004" s="1">
        <v>13.023</v>
      </c>
      <c r="CE1004" s="1">
        <v>44798</v>
      </c>
      <c r="CF1004" s="1">
        <v>13.717000000000001</v>
      </c>
      <c r="CG1004" s="1">
        <v>44798</v>
      </c>
      <c r="CH1004" s="1">
        <v>14.32</v>
      </c>
      <c r="CI1004" s="1">
        <v>44798</v>
      </c>
      <c r="CJ1004" s="1">
        <v>14.54</v>
      </c>
      <c r="CK1004" s="1">
        <v>44798</v>
      </c>
      <c r="CL1004" s="1">
        <v>14.23</v>
      </c>
      <c r="CM1004" s="1">
        <v>44798</v>
      </c>
      <c r="CN1004" s="1">
        <v>13.83</v>
      </c>
      <c r="CO1004" s="1">
        <v>44790</v>
      </c>
      <c r="CP1004" s="1">
        <v>12.13</v>
      </c>
      <c r="CQ1004" s="1">
        <v>44790</v>
      </c>
      <c r="CR1004" s="1">
        <v>10.94</v>
      </c>
      <c r="CS1004" s="1">
        <v>44790</v>
      </c>
      <c r="CT1004" s="1">
        <v>10.26</v>
      </c>
    </row>
    <row r="1005" spans="31:98" x14ac:dyDescent="0.2">
      <c r="AE1005" s="1">
        <v>44789</v>
      </c>
      <c r="AF1005" s="1">
        <v>6.5</v>
      </c>
      <c r="AG1005" s="1">
        <v>44742</v>
      </c>
      <c r="AH1005" s="1">
        <v>7.05</v>
      </c>
      <c r="AI1005" s="1">
        <v>44797</v>
      </c>
      <c r="AJ1005" s="1">
        <v>7.37</v>
      </c>
      <c r="AK1005" s="1">
        <v>44797</v>
      </c>
      <c r="AL1005" s="1">
        <v>7.49</v>
      </c>
      <c r="AM1005" s="1">
        <v>44797</v>
      </c>
      <c r="AN1005" s="1">
        <v>7.5949999999999998</v>
      </c>
      <c r="AO1005" s="1">
        <v>44797</v>
      </c>
      <c r="AP1005" s="1">
        <v>7.7450000000000001</v>
      </c>
      <c r="AQ1005" s="1">
        <v>44797</v>
      </c>
      <c r="AR1005" s="1">
        <v>7.625</v>
      </c>
      <c r="AS1005" s="1">
        <v>44797</v>
      </c>
      <c r="AT1005" s="1">
        <v>7.1675000000000004</v>
      </c>
      <c r="AU1005" s="1">
        <v>44797</v>
      </c>
      <c r="AV1005" s="1">
        <v>6.7649999999999997</v>
      </c>
      <c r="AW1005" s="1">
        <v>44797</v>
      </c>
      <c r="AX1005" s="2">
        <v>6.36</v>
      </c>
      <c r="AY1005" s="1">
        <v>44797</v>
      </c>
      <c r="AZ1005" s="2">
        <v>6.0374999999999996</v>
      </c>
      <c r="BB1005" s="1">
        <v>44722</v>
      </c>
      <c r="BC1005" s="1">
        <v>5.75</v>
      </c>
      <c r="BD1005" s="1">
        <v>44740</v>
      </c>
      <c r="BE1005" s="1">
        <v>7.23</v>
      </c>
      <c r="BF1005" s="1">
        <v>44797</v>
      </c>
      <c r="BG1005" s="1">
        <v>7.2450000000000001</v>
      </c>
      <c r="BH1005" s="1">
        <v>44797</v>
      </c>
      <c r="BI1005" s="1">
        <v>7.3</v>
      </c>
      <c r="BJ1005" s="1">
        <v>44797</v>
      </c>
      <c r="BK1005" s="1">
        <v>7.35</v>
      </c>
      <c r="BL1005" s="1">
        <v>44797</v>
      </c>
      <c r="BM1005" s="1">
        <v>7.37</v>
      </c>
      <c r="BN1005" s="1">
        <v>44796</v>
      </c>
      <c r="BO1005" s="1">
        <v>7.0750000000000002</v>
      </c>
      <c r="BP1005" s="1">
        <v>44797</v>
      </c>
      <c r="BQ1005" s="1">
        <v>6.82</v>
      </c>
      <c r="BR1005" s="1">
        <v>44797</v>
      </c>
      <c r="BS1005" s="1">
        <v>6.03</v>
      </c>
      <c r="BT1005" s="1">
        <v>44797</v>
      </c>
      <c r="BU1005" s="1">
        <v>5.4630000000000001</v>
      </c>
      <c r="BV1005" s="1">
        <v>44797</v>
      </c>
      <c r="BW1005" s="1">
        <v>5.008</v>
      </c>
      <c r="BY1005" s="1">
        <v>44727</v>
      </c>
      <c r="BZ1005" s="1">
        <v>5.9</v>
      </c>
      <c r="CA1005" s="1">
        <v>44735</v>
      </c>
      <c r="CB1005" s="1">
        <v>7.7</v>
      </c>
      <c r="CC1005" s="1">
        <v>44797</v>
      </c>
      <c r="CD1005" s="1">
        <v>13.018000000000001</v>
      </c>
      <c r="CE1005" s="1">
        <v>44797</v>
      </c>
      <c r="CF1005" s="1">
        <v>13.787000000000001</v>
      </c>
      <c r="CG1005" s="1">
        <v>44797</v>
      </c>
      <c r="CH1005" s="1">
        <v>14.49</v>
      </c>
      <c r="CI1005" s="1">
        <v>44797</v>
      </c>
      <c r="CJ1005" s="1">
        <v>14.61</v>
      </c>
      <c r="CK1005" s="1">
        <v>44797</v>
      </c>
      <c r="CL1005" s="1">
        <v>14.35</v>
      </c>
      <c r="CM1005" s="1">
        <v>44797</v>
      </c>
      <c r="CN1005" s="1">
        <v>13.87</v>
      </c>
      <c r="CO1005" s="1">
        <v>44789</v>
      </c>
      <c r="CP1005" s="1">
        <v>11.83</v>
      </c>
      <c r="CQ1005" s="1">
        <v>44789</v>
      </c>
      <c r="CR1005" s="1">
        <v>10.68</v>
      </c>
      <c r="CS1005" s="1">
        <v>44789</v>
      </c>
      <c r="CT1005" s="1">
        <v>9.92</v>
      </c>
    </row>
    <row r="1006" spans="31:98" x14ac:dyDescent="0.2">
      <c r="AE1006" s="1">
        <v>44788</v>
      </c>
      <c r="AF1006" s="1">
        <v>6.5</v>
      </c>
      <c r="AG1006" s="1">
        <v>44741</v>
      </c>
      <c r="AH1006" s="1">
        <v>7.05</v>
      </c>
      <c r="AI1006" s="1">
        <v>44796</v>
      </c>
      <c r="AJ1006" s="1">
        <v>7.33</v>
      </c>
      <c r="AK1006" s="1">
        <v>44796</v>
      </c>
      <c r="AL1006" s="1">
        <v>7.37</v>
      </c>
      <c r="AM1006" s="1">
        <v>44796</v>
      </c>
      <c r="AN1006" s="1">
        <v>7.42</v>
      </c>
      <c r="AO1006" s="1">
        <v>44796</v>
      </c>
      <c r="AP1006" s="1">
        <v>7.51</v>
      </c>
      <c r="AQ1006" s="1">
        <v>44796</v>
      </c>
      <c r="AR1006" s="1">
        <v>7.33</v>
      </c>
      <c r="AS1006" s="1">
        <v>44796</v>
      </c>
      <c r="AT1006" s="1">
        <v>6.9524999999999997</v>
      </c>
      <c r="AU1006" s="1">
        <v>44796</v>
      </c>
      <c r="AV1006" s="1">
        <v>6.57</v>
      </c>
      <c r="AW1006" s="1">
        <v>44796</v>
      </c>
      <c r="AX1006" s="2">
        <v>6.27</v>
      </c>
      <c r="AY1006" s="1">
        <v>44796</v>
      </c>
      <c r="AZ1006" s="2">
        <v>5.9024999999999999</v>
      </c>
      <c r="BB1006" s="1">
        <v>44721</v>
      </c>
      <c r="BC1006" s="1">
        <v>5.75</v>
      </c>
      <c r="BD1006" s="1">
        <v>44739</v>
      </c>
      <c r="BE1006" s="1">
        <v>7.22</v>
      </c>
      <c r="BF1006" s="1">
        <v>44796</v>
      </c>
      <c r="BG1006" s="1">
        <v>7.24</v>
      </c>
      <c r="BH1006" s="1">
        <v>44796</v>
      </c>
      <c r="BI1006" s="1">
        <v>7.2750000000000004</v>
      </c>
      <c r="BJ1006" s="1">
        <v>44796</v>
      </c>
      <c r="BK1006" s="1">
        <v>7.31</v>
      </c>
      <c r="BL1006" s="1">
        <v>44796</v>
      </c>
      <c r="BM1006" s="1">
        <v>7.3179999999999996</v>
      </c>
      <c r="BN1006" s="1">
        <v>44795</v>
      </c>
      <c r="BO1006" s="1">
        <v>7.02</v>
      </c>
      <c r="BP1006" s="1">
        <v>44796</v>
      </c>
      <c r="BQ1006" s="1">
        <v>6.6849999999999996</v>
      </c>
      <c r="BR1006" s="1">
        <v>44796</v>
      </c>
      <c r="BS1006" s="1">
        <v>5.875</v>
      </c>
      <c r="BT1006" s="1">
        <v>44796</v>
      </c>
      <c r="BU1006" s="1">
        <v>5.23</v>
      </c>
      <c r="BV1006" s="1">
        <v>44796</v>
      </c>
      <c r="BW1006" s="1">
        <v>4.7380000000000004</v>
      </c>
      <c r="BY1006" s="1">
        <v>44726</v>
      </c>
      <c r="BZ1006" s="1">
        <v>5.9</v>
      </c>
      <c r="CA1006" s="1">
        <v>44734</v>
      </c>
      <c r="CB1006" s="1">
        <v>7.67</v>
      </c>
      <c r="CC1006" s="1">
        <v>44796</v>
      </c>
      <c r="CD1006" s="1">
        <v>13.023999999999999</v>
      </c>
      <c r="CE1006" s="1">
        <v>44796</v>
      </c>
      <c r="CF1006" s="1">
        <v>13.785</v>
      </c>
      <c r="CG1006" s="1">
        <v>44796</v>
      </c>
      <c r="CH1006" s="1">
        <v>14.52</v>
      </c>
      <c r="CI1006" s="1">
        <v>44796</v>
      </c>
      <c r="CJ1006" s="1">
        <v>14.67</v>
      </c>
      <c r="CK1006" s="1">
        <v>44796</v>
      </c>
      <c r="CL1006" s="1">
        <v>14.42</v>
      </c>
      <c r="CM1006" s="1">
        <v>44796</v>
      </c>
      <c r="CN1006" s="1">
        <v>13.85</v>
      </c>
      <c r="CO1006" s="1">
        <v>44788</v>
      </c>
      <c r="CP1006" s="1">
        <v>11.31</v>
      </c>
      <c r="CQ1006" s="1">
        <v>44788</v>
      </c>
      <c r="CR1006" s="1">
        <v>10.16</v>
      </c>
      <c r="CS1006" s="1">
        <v>44788</v>
      </c>
      <c r="CT1006" s="1">
        <v>9.42</v>
      </c>
    </row>
    <row r="1007" spans="31:98" x14ac:dyDescent="0.2">
      <c r="AE1007" s="1">
        <v>44785</v>
      </c>
      <c r="AF1007" s="1">
        <v>6.5</v>
      </c>
      <c r="AG1007" s="1">
        <v>44740</v>
      </c>
      <c r="AH1007" s="1">
        <v>7.03</v>
      </c>
      <c r="AI1007" s="1">
        <v>44795</v>
      </c>
      <c r="AJ1007" s="1">
        <v>7.31</v>
      </c>
      <c r="AK1007" s="1">
        <v>44795</v>
      </c>
      <c r="AL1007" s="1">
        <v>7.335</v>
      </c>
      <c r="AM1007" s="1">
        <v>44795</v>
      </c>
      <c r="AN1007" s="1">
        <v>7.3449999999999998</v>
      </c>
      <c r="AO1007" s="1">
        <v>44795</v>
      </c>
      <c r="AP1007" s="1">
        <v>7.415</v>
      </c>
      <c r="AQ1007" s="1">
        <v>44795</v>
      </c>
      <c r="AR1007" s="1">
        <v>7.2</v>
      </c>
      <c r="AS1007" s="1">
        <v>44795</v>
      </c>
      <c r="AT1007" s="1">
        <v>6.8</v>
      </c>
      <c r="AU1007" s="1">
        <v>44795</v>
      </c>
      <c r="AV1007" s="1">
        <v>6.3449999999999998</v>
      </c>
      <c r="AW1007" s="1">
        <v>44795</v>
      </c>
      <c r="AX1007" s="2">
        <v>5.9974999999999996</v>
      </c>
      <c r="AY1007" s="1">
        <v>44795</v>
      </c>
      <c r="AZ1007" s="2">
        <v>5.6475</v>
      </c>
      <c r="BB1007" s="1">
        <v>44720</v>
      </c>
      <c r="BC1007" s="1">
        <v>5.75</v>
      </c>
      <c r="BD1007" s="1">
        <v>44736</v>
      </c>
      <c r="BE1007" s="1">
        <v>7.22</v>
      </c>
      <c r="BF1007" s="1">
        <v>44795</v>
      </c>
      <c r="BG1007" s="1">
        <v>7.24</v>
      </c>
      <c r="BH1007" s="1">
        <v>44795</v>
      </c>
      <c r="BI1007" s="1">
        <v>7.2750000000000004</v>
      </c>
      <c r="BJ1007" s="1">
        <v>44795</v>
      </c>
      <c r="BK1007" s="1">
        <v>7.3</v>
      </c>
      <c r="BL1007" s="1">
        <v>44795</v>
      </c>
      <c r="BM1007" s="1">
        <v>7.27</v>
      </c>
      <c r="BN1007" s="1">
        <v>44792</v>
      </c>
      <c r="BO1007" s="1">
        <v>6.9550000000000001</v>
      </c>
      <c r="BP1007" s="1">
        <v>44795</v>
      </c>
      <c r="BQ1007" s="1">
        <v>6.6280000000000001</v>
      </c>
      <c r="BR1007" s="1">
        <v>44795</v>
      </c>
      <c r="BS1007" s="1">
        <v>5.83</v>
      </c>
      <c r="BT1007" s="1">
        <v>44795</v>
      </c>
      <c r="BU1007" s="1">
        <v>5.04</v>
      </c>
      <c r="BV1007" s="1">
        <v>44795</v>
      </c>
      <c r="BW1007" s="1">
        <v>4.54</v>
      </c>
      <c r="BY1007" s="1">
        <v>44725</v>
      </c>
      <c r="BZ1007" s="1">
        <v>5.9</v>
      </c>
      <c r="CA1007" s="1">
        <v>44733</v>
      </c>
      <c r="CB1007" s="1">
        <v>7.66</v>
      </c>
      <c r="CC1007" s="1">
        <v>44795</v>
      </c>
      <c r="CD1007" s="1">
        <v>12.839</v>
      </c>
      <c r="CE1007" s="1">
        <v>44795</v>
      </c>
      <c r="CF1007" s="1">
        <v>13.677</v>
      </c>
      <c r="CG1007" s="1">
        <v>44795</v>
      </c>
      <c r="CH1007" s="1">
        <v>14.32</v>
      </c>
      <c r="CI1007" s="1">
        <v>44795</v>
      </c>
      <c r="CJ1007" s="1">
        <v>14.49</v>
      </c>
      <c r="CK1007" s="1">
        <v>44795</v>
      </c>
      <c r="CL1007" s="1">
        <v>14.24</v>
      </c>
      <c r="CM1007" s="1">
        <v>44795</v>
      </c>
      <c r="CN1007" s="1">
        <v>13.61</v>
      </c>
      <c r="CO1007" s="1">
        <v>44785</v>
      </c>
      <c r="CP1007" s="1">
        <v>11.26</v>
      </c>
      <c r="CQ1007" s="1">
        <v>44785</v>
      </c>
      <c r="CR1007" s="1">
        <v>10.11</v>
      </c>
      <c r="CS1007" s="1">
        <v>44785</v>
      </c>
      <c r="CT1007" s="1">
        <v>9.3699999999999992</v>
      </c>
    </row>
    <row r="1008" spans="31:98" x14ac:dyDescent="0.2">
      <c r="AE1008" s="1">
        <v>44784</v>
      </c>
      <c r="AF1008" s="1">
        <v>6.5</v>
      </c>
      <c r="AG1008" s="1">
        <v>44739</v>
      </c>
      <c r="AH1008" s="1">
        <v>7</v>
      </c>
      <c r="AI1008" s="1">
        <v>44792</v>
      </c>
      <c r="AJ1008" s="1">
        <v>7.2279999999999998</v>
      </c>
      <c r="AK1008" s="1">
        <v>44792</v>
      </c>
      <c r="AL1008" s="1">
        <v>7.2450000000000001</v>
      </c>
      <c r="AM1008" s="1">
        <v>44792</v>
      </c>
      <c r="AN1008" s="1">
        <v>7.2525000000000004</v>
      </c>
      <c r="AO1008" s="1">
        <v>44792</v>
      </c>
      <c r="AP1008" s="1">
        <v>7.29</v>
      </c>
      <c r="AQ1008" s="1">
        <v>44792</v>
      </c>
      <c r="AR1008" s="1">
        <v>7.0549999999999997</v>
      </c>
      <c r="AS1008" s="1">
        <v>44792</v>
      </c>
      <c r="AT1008" s="1">
        <v>6.62</v>
      </c>
      <c r="AU1008" s="1">
        <v>44792</v>
      </c>
      <c r="AV1008" s="1">
        <v>6.16</v>
      </c>
      <c r="AW1008" s="1">
        <v>44792</v>
      </c>
      <c r="AX1008" s="2">
        <v>5.7949999999999999</v>
      </c>
      <c r="AY1008" s="1">
        <v>44792</v>
      </c>
      <c r="AZ1008" s="2">
        <v>5.44</v>
      </c>
      <c r="BB1008" s="1">
        <v>44719</v>
      </c>
      <c r="BC1008" s="1">
        <v>5.75</v>
      </c>
      <c r="BD1008" s="1">
        <v>44735</v>
      </c>
      <c r="BE1008" s="1">
        <v>7.23</v>
      </c>
      <c r="BF1008" s="1">
        <v>44792</v>
      </c>
      <c r="BG1008" s="1">
        <v>7.2450000000000001</v>
      </c>
      <c r="BH1008" s="1">
        <v>44792</v>
      </c>
      <c r="BI1008" s="1">
        <v>7.2649999999999997</v>
      </c>
      <c r="BJ1008" s="1">
        <v>44792</v>
      </c>
      <c r="BK1008" s="1">
        <v>7.2750000000000004</v>
      </c>
      <c r="BL1008" s="1">
        <v>44792</v>
      </c>
      <c r="BM1008" s="1">
        <v>7.2249999999999996</v>
      </c>
      <c r="BN1008" s="1">
        <v>44791</v>
      </c>
      <c r="BO1008" s="1">
        <v>6.96</v>
      </c>
      <c r="BP1008" s="1">
        <v>44792</v>
      </c>
      <c r="BQ1008" s="1">
        <v>6.5149999999999997</v>
      </c>
      <c r="BR1008" s="1">
        <v>44792</v>
      </c>
      <c r="BS1008" s="1">
        <v>5.7</v>
      </c>
      <c r="BT1008" s="1">
        <v>44792</v>
      </c>
      <c r="BU1008" s="1">
        <v>4.9000000000000004</v>
      </c>
      <c r="BV1008" s="1">
        <v>44792</v>
      </c>
      <c r="BW1008" s="1">
        <v>4.4000000000000004</v>
      </c>
      <c r="BY1008" s="1">
        <v>44722</v>
      </c>
      <c r="BZ1008" s="1">
        <v>5.9</v>
      </c>
      <c r="CA1008" s="1">
        <v>44732</v>
      </c>
      <c r="CB1008" s="1">
        <v>7.63</v>
      </c>
      <c r="CC1008" s="1">
        <v>44792</v>
      </c>
      <c r="CD1008" s="1">
        <v>12.702999999999999</v>
      </c>
      <c r="CE1008" s="1">
        <v>44792</v>
      </c>
      <c r="CF1008" s="1">
        <v>13.417</v>
      </c>
      <c r="CG1008" s="1">
        <v>44792</v>
      </c>
      <c r="CH1008" s="1">
        <v>13.95</v>
      </c>
      <c r="CI1008" s="1">
        <v>44792</v>
      </c>
      <c r="CJ1008" s="1">
        <v>14.1</v>
      </c>
      <c r="CK1008" s="1">
        <v>44792</v>
      </c>
      <c r="CL1008" s="1">
        <v>13.85</v>
      </c>
      <c r="CM1008" s="1">
        <v>44792</v>
      </c>
      <c r="CN1008" s="1">
        <v>13.24</v>
      </c>
      <c r="CO1008" s="1">
        <v>44784</v>
      </c>
      <c r="CP1008" s="1">
        <v>11.22</v>
      </c>
      <c r="CQ1008" s="1">
        <v>44784</v>
      </c>
      <c r="CR1008" s="1">
        <v>10.07</v>
      </c>
      <c r="CS1008" s="1">
        <v>44784</v>
      </c>
      <c r="CT1008" s="1">
        <v>9.33</v>
      </c>
    </row>
    <row r="1009" spans="31:98" x14ac:dyDescent="0.2">
      <c r="AE1009" s="1">
        <v>44783</v>
      </c>
      <c r="AF1009" s="1">
        <v>6.5</v>
      </c>
      <c r="AG1009" s="1">
        <v>44736</v>
      </c>
      <c r="AH1009" s="1">
        <v>6.98</v>
      </c>
      <c r="AI1009" s="1">
        <v>44791</v>
      </c>
      <c r="AJ1009" s="1">
        <v>7.2450000000000001</v>
      </c>
      <c r="AK1009" s="1">
        <v>44791</v>
      </c>
      <c r="AL1009" s="1">
        <v>7.2525000000000004</v>
      </c>
      <c r="AM1009" s="1">
        <v>44791</v>
      </c>
      <c r="AN1009" s="1">
        <v>7.2549999999999999</v>
      </c>
      <c r="AO1009" s="1">
        <v>44791</v>
      </c>
      <c r="AP1009" s="1">
        <v>7.26</v>
      </c>
      <c r="AQ1009" s="1">
        <v>44791</v>
      </c>
      <c r="AR1009" s="1">
        <v>7.03</v>
      </c>
      <c r="AS1009" s="1">
        <v>44791</v>
      </c>
      <c r="AT1009" s="1">
        <v>6.59</v>
      </c>
      <c r="AU1009" s="1">
        <v>44791</v>
      </c>
      <c r="AV1009" s="1">
        <v>6.0549999999999997</v>
      </c>
      <c r="AW1009" s="1">
        <v>44791</v>
      </c>
      <c r="AX1009" s="1">
        <v>5.6749999999999998</v>
      </c>
      <c r="AY1009" s="1">
        <v>44791</v>
      </c>
      <c r="AZ1009" s="1">
        <v>5.32</v>
      </c>
      <c r="BB1009" s="1">
        <v>44718</v>
      </c>
      <c r="BC1009" s="1">
        <v>5.75</v>
      </c>
      <c r="BD1009" s="1">
        <v>44734</v>
      </c>
      <c r="BE1009" s="1">
        <v>6.73</v>
      </c>
      <c r="BF1009" s="1">
        <v>44791</v>
      </c>
      <c r="BG1009" s="1">
        <v>7.2450000000000001</v>
      </c>
      <c r="BH1009" s="1">
        <v>44791</v>
      </c>
      <c r="BI1009" s="1">
        <v>7.27</v>
      </c>
      <c r="BJ1009" s="1">
        <v>44791</v>
      </c>
      <c r="BK1009" s="1">
        <v>7.2750000000000004</v>
      </c>
      <c r="BL1009" s="1">
        <v>44791</v>
      </c>
      <c r="BM1009" s="1">
        <v>7.2380000000000004</v>
      </c>
      <c r="BN1009" s="1">
        <v>44790</v>
      </c>
      <c r="BO1009" s="1">
        <v>6.9249999999999998</v>
      </c>
      <c r="BP1009" s="1">
        <v>44791</v>
      </c>
      <c r="BQ1009" s="1">
        <v>6.49</v>
      </c>
      <c r="BR1009" s="1">
        <v>44791</v>
      </c>
      <c r="BS1009" s="1">
        <v>5.73</v>
      </c>
      <c r="BT1009" s="1">
        <v>44791</v>
      </c>
      <c r="BU1009" s="1">
        <v>4.9000000000000004</v>
      </c>
      <c r="BV1009" s="1">
        <v>44791</v>
      </c>
      <c r="BW1009" s="1">
        <v>4.3479999999999999</v>
      </c>
      <c r="BY1009" s="1">
        <v>44721</v>
      </c>
      <c r="BZ1009" s="1">
        <v>5.9</v>
      </c>
      <c r="CA1009" s="1">
        <v>44729</v>
      </c>
      <c r="CB1009" s="1">
        <v>7.6</v>
      </c>
      <c r="CC1009" s="1">
        <v>44791</v>
      </c>
      <c r="CD1009" s="1">
        <v>12.75</v>
      </c>
      <c r="CE1009" s="1">
        <v>44791</v>
      </c>
      <c r="CF1009" s="1">
        <v>13.5</v>
      </c>
      <c r="CG1009" s="1">
        <v>44791</v>
      </c>
      <c r="CH1009" s="1">
        <v>14.1</v>
      </c>
      <c r="CI1009" s="1">
        <v>44791</v>
      </c>
      <c r="CJ1009" s="1">
        <v>14.24</v>
      </c>
      <c r="CK1009" s="1">
        <v>44791</v>
      </c>
      <c r="CL1009" s="1">
        <v>14</v>
      </c>
      <c r="CM1009" s="1">
        <v>44791</v>
      </c>
      <c r="CN1009" s="1">
        <v>13.48</v>
      </c>
      <c r="CO1009" s="1">
        <v>44783</v>
      </c>
      <c r="CP1009" s="1">
        <v>11.49</v>
      </c>
      <c r="CQ1009" s="1">
        <v>44783</v>
      </c>
      <c r="CR1009" s="1">
        <v>10.3</v>
      </c>
      <c r="CS1009" s="1">
        <v>44783</v>
      </c>
      <c r="CT1009" s="1">
        <v>9.33</v>
      </c>
    </row>
    <row r="1010" spans="31:98" x14ac:dyDescent="0.2">
      <c r="AE1010" s="1">
        <v>44782</v>
      </c>
      <c r="AF1010" s="1">
        <v>6.5</v>
      </c>
      <c r="AG1010" s="1">
        <v>44735</v>
      </c>
      <c r="AH1010" s="1">
        <v>6.98</v>
      </c>
      <c r="AI1010" s="1">
        <v>44790</v>
      </c>
      <c r="AJ1010" s="1">
        <v>7.2469999999999999</v>
      </c>
      <c r="AK1010" s="1">
        <v>44790</v>
      </c>
      <c r="AL1010" s="1">
        <v>7.2439999999999998</v>
      </c>
      <c r="AM1010" s="1">
        <v>44790</v>
      </c>
      <c r="AN1010" s="1">
        <v>7.27</v>
      </c>
      <c r="AO1010" s="1">
        <v>44790</v>
      </c>
      <c r="AP1010" s="1">
        <v>7.2450000000000001</v>
      </c>
      <c r="AQ1010" s="1">
        <v>44790</v>
      </c>
      <c r="AR1010" s="1">
        <v>7.01</v>
      </c>
      <c r="AS1010" s="1">
        <v>44790</v>
      </c>
      <c r="AT1010" s="1">
        <v>6.49</v>
      </c>
      <c r="AU1010" s="1">
        <v>44790</v>
      </c>
      <c r="AV1010" s="1">
        <v>5.97</v>
      </c>
      <c r="AW1010" s="1">
        <v>44790</v>
      </c>
      <c r="AX1010" s="1">
        <v>5.5750000000000002</v>
      </c>
      <c r="AY1010" s="1">
        <v>44790</v>
      </c>
      <c r="AZ1010" s="1">
        <v>5.2050000000000001</v>
      </c>
      <c r="BB1010" s="1">
        <v>44715</v>
      </c>
      <c r="BC1010" s="1">
        <v>5.75</v>
      </c>
      <c r="BD1010" s="1">
        <v>44733</v>
      </c>
      <c r="BE1010" s="1">
        <v>6.67</v>
      </c>
      <c r="BF1010" s="1">
        <v>44790</v>
      </c>
      <c r="BG1010" s="1">
        <v>7.2450000000000001</v>
      </c>
      <c r="BH1010" s="1">
        <v>44790</v>
      </c>
      <c r="BI1010" s="1">
        <v>7.26</v>
      </c>
      <c r="BJ1010" s="1">
        <v>44790</v>
      </c>
      <c r="BK1010" s="1">
        <v>7.2649999999999997</v>
      </c>
      <c r="BL1010" s="1">
        <v>44790</v>
      </c>
      <c r="BM1010" s="1">
        <v>7.2149999999999999</v>
      </c>
      <c r="BN1010" s="1">
        <v>44789</v>
      </c>
      <c r="BO1010" s="1">
        <v>6.7750000000000004</v>
      </c>
      <c r="BP1010" s="1">
        <v>44790</v>
      </c>
      <c r="BQ1010" s="1">
        <v>6.44</v>
      </c>
      <c r="BR1010" s="1">
        <v>44790</v>
      </c>
      <c r="BS1010" s="1">
        <v>5.69</v>
      </c>
      <c r="BT1010" s="1">
        <v>44790</v>
      </c>
      <c r="BU1010" s="1">
        <v>4.82</v>
      </c>
      <c r="BV1010" s="1">
        <v>44790</v>
      </c>
      <c r="BW1010" s="1">
        <v>4.2880000000000003</v>
      </c>
      <c r="BY1010" s="1">
        <v>44720</v>
      </c>
      <c r="BZ1010" s="1">
        <v>5.9</v>
      </c>
      <c r="CA1010" s="1">
        <v>44728</v>
      </c>
      <c r="CB1010" s="1">
        <v>7.56</v>
      </c>
      <c r="CC1010" s="1">
        <v>44790</v>
      </c>
      <c r="CD1010" s="1">
        <v>12.628</v>
      </c>
      <c r="CE1010" s="1">
        <v>44790</v>
      </c>
      <c r="CF1010" s="1">
        <v>13.31</v>
      </c>
      <c r="CG1010" s="1">
        <v>44790</v>
      </c>
      <c r="CH1010" s="1">
        <v>13.8</v>
      </c>
      <c r="CI1010" s="1">
        <v>44790</v>
      </c>
      <c r="CJ1010" s="1">
        <v>13.85</v>
      </c>
      <c r="CK1010" s="1">
        <v>44790</v>
      </c>
      <c r="CL1010" s="1">
        <v>13.6</v>
      </c>
      <c r="CM1010" s="1">
        <v>44790</v>
      </c>
      <c r="CN1010" s="1">
        <v>13.13</v>
      </c>
      <c r="CO1010" s="1">
        <v>44782</v>
      </c>
      <c r="CP1010" s="1">
        <v>11.49</v>
      </c>
      <c r="CQ1010" s="1">
        <v>44782</v>
      </c>
      <c r="CR1010" s="1">
        <v>10.3</v>
      </c>
      <c r="CS1010" s="1">
        <v>44782</v>
      </c>
      <c r="CT1010" s="1">
        <v>9.34</v>
      </c>
    </row>
    <row r="1011" spans="31:98" x14ac:dyDescent="0.2">
      <c r="AE1011" s="1">
        <v>44781</v>
      </c>
      <c r="AF1011" s="1">
        <v>6.5</v>
      </c>
      <c r="AG1011" s="1">
        <v>44734</v>
      </c>
      <c r="AH1011" s="1">
        <v>6.97</v>
      </c>
      <c r="AI1011" s="1">
        <v>44789</v>
      </c>
      <c r="AJ1011" s="1">
        <v>7.1470000000000002</v>
      </c>
      <c r="AK1011" s="1">
        <v>44789</v>
      </c>
      <c r="AL1011" s="1">
        <v>7.165</v>
      </c>
      <c r="AM1011" s="1">
        <v>44789</v>
      </c>
      <c r="AN1011" s="1">
        <v>7.17</v>
      </c>
      <c r="AO1011" s="1">
        <v>44789</v>
      </c>
      <c r="AP1011" s="1">
        <v>7.1550000000000002</v>
      </c>
      <c r="AQ1011" s="1">
        <v>44789</v>
      </c>
      <c r="AR1011" s="1">
        <v>6.9249999999999998</v>
      </c>
      <c r="AS1011" s="1">
        <v>44789</v>
      </c>
      <c r="AT1011" s="1">
        <v>6.4050000000000002</v>
      </c>
      <c r="AU1011" s="1">
        <v>44789</v>
      </c>
      <c r="AV1011" s="1">
        <v>5.88</v>
      </c>
      <c r="AW1011" s="1">
        <v>44789</v>
      </c>
      <c r="AX1011" s="1">
        <v>5.4050000000000002</v>
      </c>
      <c r="AY1011" s="1">
        <v>44789</v>
      </c>
      <c r="AZ1011" s="1">
        <v>5.0549999999999997</v>
      </c>
      <c r="BB1011" s="1">
        <v>44714</v>
      </c>
      <c r="BC1011" s="1">
        <v>5.75</v>
      </c>
      <c r="BD1011" s="1">
        <v>44732</v>
      </c>
      <c r="BE1011" s="1">
        <v>6.6</v>
      </c>
      <c r="BF1011" s="1">
        <v>44789</v>
      </c>
      <c r="BG1011" s="1">
        <v>7.2149999999999999</v>
      </c>
      <c r="BH1011" s="1">
        <v>44789</v>
      </c>
      <c r="BI1011" s="1">
        <v>7.23</v>
      </c>
      <c r="BJ1011" s="1">
        <v>44789</v>
      </c>
      <c r="BK1011" s="1">
        <v>7.2350000000000003</v>
      </c>
      <c r="BL1011" s="1">
        <v>44789</v>
      </c>
      <c r="BM1011" s="1">
        <v>7.1150000000000002</v>
      </c>
      <c r="BN1011" s="1">
        <v>44788</v>
      </c>
      <c r="BO1011" s="1">
        <v>6.74</v>
      </c>
      <c r="BP1011" s="1">
        <v>44789</v>
      </c>
      <c r="BQ1011" s="1">
        <v>6.23</v>
      </c>
      <c r="BR1011" s="1">
        <v>44789</v>
      </c>
      <c r="BS1011" s="1">
        <v>5.2850000000000001</v>
      </c>
      <c r="BT1011" s="1">
        <v>44789</v>
      </c>
      <c r="BU1011" s="1">
        <v>4.45</v>
      </c>
      <c r="BV1011" s="1">
        <v>44789</v>
      </c>
      <c r="BW1011" s="1">
        <v>3.9350000000000001</v>
      </c>
      <c r="BY1011" s="1">
        <v>44719</v>
      </c>
      <c r="BZ1011" s="1">
        <v>5.9</v>
      </c>
      <c r="CA1011" s="1">
        <v>44727</v>
      </c>
      <c r="CB1011" s="1">
        <v>7.17</v>
      </c>
      <c r="CC1011" s="1">
        <v>44789</v>
      </c>
      <c r="CD1011" s="1">
        <v>12.584</v>
      </c>
      <c r="CE1011" s="1">
        <v>44789</v>
      </c>
      <c r="CF1011" s="1">
        <v>13.202999999999999</v>
      </c>
      <c r="CG1011" s="1">
        <v>44789</v>
      </c>
      <c r="CH1011" s="1">
        <v>13.65</v>
      </c>
      <c r="CI1011" s="1">
        <v>44789</v>
      </c>
      <c r="CJ1011" s="1">
        <v>13.7</v>
      </c>
      <c r="CK1011" s="1">
        <v>44789</v>
      </c>
      <c r="CL1011" s="1">
        <v>13.45</v>
      </c>
      <c r="CM1011" s="1">
        <v>44789</v>
      </c>
      <c r="CN1011" s="1">
        <v>12.89</v>
      </c>
      <c r="CO1011" s="1">
        <v>44781</v>
      </c>
      <c r="CP1011" s="1">
        <v>11.26</v>
      </c>
      <c r="CQ1011" s="1">
        <v>44781</v>
      </c>
      <c r="CR1011" s="1">
        <v>10.09</v>
      </c>
      <c r="CS1011" s="1">
        <v>44781</v>
      </c>
      <c r="CT1011" s="1">
        <v>9.15</v>
      </c>
    </row>
    <row r="1012" spans="31:98" x14ac:dyDescent="0.2">
      <c r="AE1012" s="1">
        <v>44778</v>
      </c>
      <c r="AF1012" s="1">
        <v>6.5</v>
      </c>
      <c r="AG1012" s="1">
        <v>44733</v>
      </c>
      <c r="AH1012" s="1">
        <v>6.94</v>
      </c>
      <c r="AI1012" s="1">
        <v>44788</v>
      </c>
      <c r="AJ1012" s="1">
        <v>7.125</v>
      </c>
      <c r="AK1012" s="1">
        <v>44788</v>
      </c>
      <c r="AL1012" s="1">
        <v>7.14</v>
      </c>
      <c r="AM1012" s="1">
        <v>44788</v>
      </c>
      <c r="AN1012" s="1">
        <v>7.1449999999999996</v>
      </c>
      <c r="AO1012" s="1">
        <v>44788</v>
      </c>
      <c r="AP1012" s="1">
        <v>7.16</v>
      </c>
      <c r="AQ1012" s="1">
        <v>44788</v>
      </c>
      <c r="AR1012" s="1">
        <v>6.8949999999999996</v>
      </c>
      <c r="AS1012" s="1">
        <v>44788</v>
      </c>
      <c r="AT1012" s="1">
        <v>6.335</v>
      </c>
      <c r="AU1012" s="1">
        <v>44788</v>
      </c>
      <c r="AV1012" s="1">
        <v>5.74</v>
      </c>
      <c r="AW1012" s="1">
        <v>44788</v>
      </c>
      <c r="AX1012" s="1">
        <v>5.32</v>
      </c>
      <c r="AY1012" s="1">
        <v>44788</v>
      </c>
      <c r="AZ1012" s="1">
        <v>4.97</v>
      </c>
      <c r="BB1012" s="1">
        <v>44713</v>
      </c>
      <c r="BC1012" s="1">
        <v>5.75</v>
      </c>
      <c r="BD1012" s="1">
        <v>44729</v>
      </c>
      <c r="BE1012" s="1">
        <v>6.57</v>
      </c>
      <c r="BF1012" s="1">
        <v>44788</v>
      </c>
      <c r="BG1012" s="1">
        <v>7.23</v>
      </c>
      <c r="BH1012" s="1">
        <v>44788</v>
      </c>
      <c r="BI1012" s="1">
        <v>7.2149999999999999</v>
      </c>
      <c r="BJ1012" s="1">
        <v>44788</v>
      </c>
      <c r="BK1012" s="1">
        <v>7.2350000000000003</v>
      </c>
      <c r="BL1012" s="1">
        <v>44788</v>
      </c>
      <c r="BM1012" s="1">
        <v>7.13</v>
      </c>
      <c r="BN1012" s="1">
        <v>44785</v>
      </c>
      <c r="BO1012" s="1">
        <v>6.7750000000000004</v>
      </c>
      <c r="BP1012" s="1">
        <v>44788</v>
      </c>
      <c r="BQ1012" s="1">
        <v>6.165</v>
      </c>
      <c r="BR1012" s="1">
        <v>44788</v>
      </c>
      <c r="BS1012" s="1">
        <v>5.17</v>
      </c>
      <c r="BT1012" s="1">
        <v>44788</v>
      </c>
      <c r="BU1012" s="1">
        <v>4.3449999999999998</v>
      </c>
      <c r="BV1012" s="1">
        <v>44788</v>
      </c>
      <c r="BW1012" s="1">
        <v>3.835</v>
      </c>
      <c r="BY1012" s="1">
        <v>44718</v>
      </c>
      <c r="BZ1012" s="1">
        <v>5.9</v>
      </c>
      <c r="CA1012" s="1">
        <v>44726</v>
      </c>
      <c r="CB1012" s="1">
        <v>7.13</v>
      </c>
      <c r="CC1012" s="1">
        <v>44788</v>
      </c>
      <c r="CD1012" s="1">
        <v>12.446</v>
      </c>
      <c r="CE1012" s="1">
        <v>44788</v>
      </c>
      <c r="CF1012" s="1">
        <v>12.929</v>
      </c>
      <c r="CG1012" s="1">
        <v>44788</v>
      </c>
      <c r="CH1012" s="1">
        <v>13.25</v>
      </c>
      <c r="CI1012" s="1">
        <v>44788</v>
      </c>
      <c r="CJ1012" s="1">
        <v>13.3</v>
      </c>
      <c r="CK1012" s="1">
        <v>44788</v>
      </c>
      <c r="CL1012" s="1">
        <v>13.05</v>
      </c>
      <c r="CM1012" s="1">
        <v>44788</v>
      </c>
      <c r="CN1012" s="1">
        <v>12.38</v>
      </c>
      <c r="CO1012" s="1">
        <v>44778</v>
      </c>
      <c r="CP1012" s="1">
        <v>11.08</v>
      </c>
      <c r="CQ1012" s="1">
        <v>44778</v>
      </c>
      <c r="CR1012" s="1">
        <v>9.93</v>
      </c>
      <c r="CS1012" s="1">
        <v>44778</v>
      </c>
      <c r="CT1012" s="1">
        <v>8.99</v>
      </c>
    </row>
    <row r="1013" spans="31:98" x14ac:dyDescent="0.2">
      <c r="AE1013" s="1">
        <v>44777</v>
      </c>
      <c r="AF1013" s="1">
        <v>6.5</v>
      </c>
      <c r="AG1013" s="1">
        <v>44732</v>
      </c>
      <c r="AH1013" s="1">
        <v>6.91</v>
      </c>
      <c r="AI1013" s="1">
        <v>44785</v>
      </c>
      <c r="AJ1013" s="1">
        <v>7.173</v>
      </c>
      <c r="AK1013" s="1">
        <v>44785</v>
      </c>
      <c r="AL1013" s="1">
        <v>7.14</v>
      </c>
      <c r="AM1013" s="1">
        <v>44785</v>
      </c>
      <c r="AN1013" s="1">
        <v>7.1449999999999996</v>
      </c>
      <c r="AO1013" s="1">
        <v>44785</v>
      </c>
      <c r="AP1013" s="1">
        <v>7.16</v>
      </c>
      <c r="AQ1013" s="1">
        <v>44785</v>
      </c>
      <c r="AR1013" s="1">
        <v>6.8949999999999996</v>
      </c>
      <c r="AS1013" s="1">
        <v>44785</v>
      </c>
      <c r="AT1013" s="1">
        <v>6.335</v>
      </c>
      <c r="AU1013" s="1">
        <v>44785</v>
      </c>
      <c r="AV1013" s="1">
        <v>5.74</v>
      </c>
      <c r="AW1013" s="1">
        <v>44785</v>
      </c>
      <c r="AX1013" s="1">
        <v>5.32</v>
      </c>
      <c r="AY1013" s="1">
        <v>44785</v>
      </c>
      <c r="AZ1013" s="1">
        <v>4.97</v>
      </c>
      <c r="BB1013" s="1">
        <v>44712</v>
      </c>
      <c r="BC1013" s="1">
        <v>5.75</v>
      </c>
      <c r="BD1013" s="1">
        <v>44728</v>
      </c>
      <c r="BE1013" s="1">
        <v>6.52</v>
      </c>
      <c r="BF1013" s="1">
        <v>44785</v>
      </c>
      <c r="BG1013" s="1">
        <v>7.23</v>
      </c>
      <c r="BH1013" s="1">
        <v>44785</v>
      </c>
      <c r="BI1013" s="1">
        <v>7.25</v>
      </c>
      <c r="BJ1013" s="1">
        <v>44785</v>
      </c>
      <c r="BK1013" s="1">
        <v>7.27</v>
      </c>
      <c r="BL1013" s="1">
        <v>44785</v>
      </c>
      <c r="BM1013" s="1">
        <v>7.19</v>
      </c>
      <c r="BN1013" s="1">
        <v>44784</v>
      </c>
      <c r="BO1013" s="1">
        <v>6.7779999999999996</v>
      </c>
      <c r="BP1013" s="1">
        <v>44785</v>
      </c>
      <c r="BQ1013" s="1">
        <v>6.218</v>
      </c>
      <c r="BR1013" s="1">
        <v>44785</v>
      </c>
      <c r="BS1013" s="1">
        <v>5.2279999999999998</v>
      </c>
      <c r="BT1013" s="1">
        <v>44785</v>
      </c>
      <c r="BU1013" s="1">
        <v>4.45</v>
      </c>
      <c r="BV1013" s="1">
        <v>44785</v>
      </c>
      <c r="BW1013" s="1">
        <v>3.9180000000000001</v>
      </c>
      <c r="BY1013" s="1">
        <v>44715</v>
      </c>
      <c r="BZ1013" s="1">
        <v>5.9</v>
      </c>
      <c r="CA1013" s="1">
        <v>44725</v>
      </c>
      <c r="CB1013" s="1">
        <v>7.08</v>
      </c>
      <c r="CC1013" s="1">
        <v>44785</v>
      </c>
      <c r="CD1013" s="1">
        <v>12.41</v>
      </c>
      <c r="CE1013" s="1">
        <v>44785</v>
      </c>
      <c r="CF1013" s="1">
        <v>12.87</v>
      </c>
      <c r="CG1013" s="1">
        <v>44785</v>
      </c>
      <c r="CH1013" s="1">
        <v>13.17</v>
      </c>
      <c r="CI1013" s="1">
        <v>44785</v>
      </c>
      <c r="CJ1013" s="1">
        <v>13.22</v>
      </c>
      <c r="CK1013" s="1">
        <v>44785</v>
      </c>
      <c r="CL1013" s="1">
        <v>12.97</v>
      </c>
      <c r="CM1013" s="1">
        <v>44785</v>
      </c>
      <c r="CN1013" s="1">
        <v>12.33</v>
      </c>
      <c r="CO1013" s="1">
        <v>44777</v>
      </c>
      <c r="CP1013" s="1">
        <v>11.45</v>
      </c>
      <c r="CQ1013" s="1">
        <v>44777</v>
      </c>
      <c r="CR1013" s="1">
        <v>10.1</v>
      </c>
      <c r="CS1013" s="1">
        <v>44777</v>
      </c>
      <c r="CT1013" s="1">
        <v>9.36</v>
      </c>
    </row>
    <row r="1014" spans="31:98" x14ac:dyDescent="0.2">
      <c r="AE1014" s="1">
        <v>44776</v>
      </c>
      <c r="AF1014" s="1">
        <v>6.5</v>
      </c>
      <c r="AG1014" s="1">
        <v>44729</v>
      </c>
      <c r="AH1014" s="1">
        <v>6.88</v>
      </c>
      <c r="AI1014" s="1">
        <v>44784</v>
      </c>
      <c r="AJ1014" s="1">
        <v>7.18</v>
      </c>
      <c r="AK1014" s="1">
        <v>44784</v>
      </c>
      <c r="AL1014" s="1">
        <v>7.1849999999999996</v>
      </c>
      <c r="AM1014" s="1">
        <v>44784</v>
      </c>
      <c r="AN1014" s="1">
        <v>7.2</v>
      </c>
      <c r="AO1014" s="1">
        <v>44784</v>
      </c>
      <c r="AP1014" s="1">
        <v>7.22</v>
      </c>
      <c r="AQ1014" s="1">
        <v>44784</v>
      </c>
      <c r="AR1014" s="1">
        <v>6.97</v>
      </c>
      <c r="AS1014" s="1">
        <v>44784</v>
      </c>
      <c r="AT1014" s="1">
        <v>6.37</v>
      </c>
      <c r="AU1014" s="1">
        <v>44784</v>
      </c>
      <c r="AV1014" s="1">
        <v>5.7750000000000004</v>
      </c>
      <c r="AW1014" s="1">
        <v>44784</v>
      </c>
      <c r="AX1014" s="1">
        <v>5.36</v>
      </c>
      <c r="AY1014" s="1">
        <v>44784</v>
      </c>
      <c r="AZ1014" s="1">
        <v>5.01</v>
      </c>
      <c r="BB1014" s="1">
        <v>44708</v>
      </c>
      <c r="BC1014" s="1">
        <v>5.75</v>
      </c>
      <c r="BD1014" s="1">
        <v>44727</v>
      </c>
      <c r="BE1014" s="1">
        <v>6.48</v>
      </c>
      <c r="BF1014" s="1">
        <v>44784</v>
      </c>
      <c r="BG1014" s="1">
        <v>7.24</v>
      </c>
      <c r="BH1014" s="1">
        <v>44784</v>
      </c>
      <c r="BI1014" s="1">
        <v>7.26</v>
      </c>
      <c r="BJ1014" s="1">
        <v>44784</v>
      </c>
      <c r="BK1014" s="1">
        <v>7.2830000000000004</v>
      </c>
      <c r="BL1014" s="1">
        <v>44784</v>
      </c>
      <c r="BM1014" s="1">
        <v>7.1829999999999998</v>
      </c>
      <c r="BN1014" s="1">
        <v>44783</v>
      </c>
      <c r="BO1014" s="1">
        <v>6.8049999999999997</v>
      </c>
      <c r="BP1014" s="1">
        <v>44784</v>
      </c>
      <c r="BQ1014" s="1">
        <v>6.2030000000000003</v>
      </c>
      <c r="BR1014" s="1">
        <v>44784</v>
      </c>
      <c r="BS1014" s="1">
        <v>5.19</v>
      </c>
      <c r="BT1014" s="1">
        <v>44784</v>
      </c>
      <c r="BU1014" s="1">
        <v>4.4080000000000004</v>
      </c>
      <c r="BV1014" s="1">
        <v>44784</v>
      </c>
      <c r="BW1014" s="1">
        <v>3.84</v>
      </c>
      <c r="BY1014" s="1">
        <v>44713</v>
      </c>
      <c r="BZ1014" s="1">
        <v>5.9</v>
      </c>
      <c r="CA1014" s="1">
        <v>44722</v>
      </c>
      <c r="CB1014" s="1">
        <v>7.06</v>
      </c>
      <c r="CC1014" s="1">
        <v>44784</v>
      </c>
      <c r="CD1014" s="1">
        <v>12.426</v>
      </c>
      <c r="CE1014" s="1">
        <v>44784</v>
      </c>
      <c r="CF1014" s="1">
        <v>12.895</v>
      </c>
      <c r="CG1014" s="1">
        <v>44784</v>
      </c>
      <c r="CH1014" s="1">
        <v>13.17</v>
      </c>
      <c r="CI1014" s="1">
        <v>44784</v>
      </c>
      <c r="CJ1014" s="1">
        <v>13.22</v>
      </c>
      <c r="CK1014" s="1">
        <v>44784</v>
      </c>
      <c r="CL1014" s="1">
        <v>12.97</v>
      </c>
      <c r="CM1014" s="1">
        <v>44784</v>
      </c>
      <c r="CN1014" s="1">
        <v>12.32</v>
      </c>
      <c r="CO1014" s="1">
        <v>44776</v>
      </c>
      <c r="CP1014" s="1">
        <v>11.58</v>
      </c>
      <c r="CQ1014" s="1">
        <v>44776</v>
      </c>
      <c r="CR1014" s="1">
        <v>10.19</v>
      </c>
      <c r="CS1014" s="1">
        <v>44776</v>
      </c>
      <c r="CT1014" s="1">
        <v>9.4499999999999993</v>
      </c>
    </row>
    <row r="1015" spans="31:98" x14ac:dyDescent="0.2">
      <c r="AE1015" s="1">
        <v>44775</v>
      </c>
      <c r="AF1015" s="1">
        <v>6.5</v>
      </c>
      <c r="AG1015" s="1">
        <v>44727</v>
      </c>
      <c r="AH1015" s="1">
        <v>6.84</v>
      </c>
      <c r="AI1015" s="1">
        <v>44783</v>
      </c>
      <c r="AJ1015" s="1">
        <v>7.1779999999999999</v>
      </c>
      <c r="AK1015" s="1">
        <v>44783</v>
      </c>
      <c r="AL1015" s="1">
        <v>7.2050000000000001</v>
      </c>
      <c r="AM1015" s="1">
        <v>44783</v>
      </c>
      <c r="AN1015" s="1">
        <v>7.21</v>
      </c>
      <c r="AO1015" s="1">
        <v>44783</v>
      </c>
      <c r="AP1015" s="1">
        <v>7.2350000000000003</v>
      </c>
      <c r="AQ1015" s="1">
        <v>44783</v>
      </c>
      <c r="AR1015" s="1">
        <v>6.94</v>
      </c>
      <c r="AS1015" s="1">
        <v>44783</v>
      </c>
      <c r="AT1015" s="1">
        <v>6.4249999999999998</v>
      </c>
      <c r="AU1015" s="1">
        <v>44783</v>
      </c>
      <c r="AV1015" s="1">
        <v>5.74</v>
      </c>
      <c r="AW1015" s="1">
        <v>44783</v>
      </c>
      <c r="AX1015" s="1">
        <v>5.34</v>
      </c>
      <c r="AY1015" s="1">
        <v>44783</v>
      </c>
      <c r="AZ1015" s="1">
        <v>5.01</v>
      </c>
      <c r="BB1015" s="1">
        <v>44707</v>
      </c>
      <c r="BC1015" s="1">
        <v>5.75</v>
      </c>
      <c r="BD1015" s="1">
        <v>44726</v>
      </c>
      <c r="BE1015" s="1">
        <v>6.46</v>
      </c>
      <c r="BF1015" s="1">
        <v>44783</v>
      </c>
      <c r="BG1015" s="1">
        <v>7.24</v>
      </c>
      <c r="BH1015" s="1">
        <v>44783</v>
      </c>
      <c r="BI1015" s="1">
        <v>7.3</v>
      </c>
      <c r="BJ1015" s="1">
        <v>44783</v>
      </c>
      <c r="BK1015" s="1">
        <v>7.34</v>
      </c>
      <c r="BL1015" s="1">
        <v>44783</v>
      </c>
      <c r="BM1015" s="1">
        <v>7.2329999999999997</v>
      </c>
      <c r="BN1015" s="1">
        <v>44782</v>
      </c>
      <c r="BO1015" s="1">
        <v>6.93</v>
      </c>
      <c r="BP1015" s="1">
        <v>44783</v>
      </c>
      <c r="BQ1015" s="1">
        <v>6.2</v>
      </c>
      <c r="BR1015" s="1">
        <v>44783</v>
      </c>
      <c r="BS1015" s="1">
        <v>5.2</v>
      </c>
      <c r="BT1015" s="1">
        <v>44783</v>
      </c>
      <c r="BU1015" s="1">
        <v>4.3899999999999997</v>
      </c>
      <c r="BV1015" s="1">
        <v>44783</v>
      </c>
      <c r="BW1015" s="1">
        <v>3.85</v>
      </c>
      <c r="BY1015" s="1">
        <v>44712</v>
      </c>
      <c r="BZ1015" s="1">
        <v>5.4</v>
      </c>
      <c r="CA1015" s="1">
        <v>44721</v>
      </c>
      <c r="CB1015" s="1">
        <v>7.05</v>
      </c>
      <c r="CC1015" s="1">
        <v>44783</v>
      </c>
      <c r="CD1015" s="1">
        <v>12.48</v>
      </c>
      <c r="CE1015" s="1">
        <v>44783</v>
      </c>
      <c r="CF1015" s="1">
        <v>13.05</v>
      </c>
      <c r="CG1015" s="1">
        <v>44783</v>
      </c>
      <c r="CH1015" s="1">
        <v>13.35</v>
      </c>
      <c r="CI1015" s="1">
        <v>44783</v>
      </c>
      <c r="CJ1015" s="1">
        <v>13.45</v>
      </c>
      <c r="CK1015" s="1">
        <v>44783</v>
      </c>
      <c r="CL1015" s="1">
        <v>13.15</v>
      </c>
      <c r="CM1015" s="1">
        <v>44783</v>
      </c>
      <c r="CN1015" s="1">
        <v>12.61</v>
      </c>
      <c r="CO1015" s="1">
        <v>44775</v>
      </c>
      <c r="CP1015" s="1">
        <v>11.82</v>
      </c>
      <c r="CQ1015" s="1">
        <v>44775</v>
      </c>
      <c r="CR1015" s="1">
        <v>10.43</v>
      </c>
      <c r="CS1015" s="1">
        <v>44775</v>
      </c>
      <c r="CT1015" s="1">
        <v>9.69</v>
      </c>
    </row>
    <row r="1016" spans="31:98" x14ac:dyDescent="0.2">
      <c r="AE1016" s="1">
        <v>44774</v>
      </c>
      <c r="AF1016" s="1">
        <v>6.5</v>
      </c>
      <c r="AG1016" s="1">
        <v>44726</v>
      </c>
      <c r="AH1016" s="1">
        <v>6.81</v>
      </c>
      <c r="AI1016" s="1">
        <v>44782</v>
      </c>
      <c r="AJ1016" s="1">
        <v>7.29</v>
      </c>
      <c r="AK1016" s="1">
        <v>44782</v>
      </c>
      <c r="AL1016" s="1">
        <v>7.3049999999999997</v>
      </c>
      <c r="AM1016" s="1">
        <v>44782</v>
      </c>
      <c r="AN1016" s="1">
        <v>7.3150000000000004</v>
      </c>
      <c r="AO1016" s="1">
        <v>44782</v>
      </c>
      <c r="AP1016" s="1">
        <v>7.335</v>
      </c>
      <c r="AQ1016" s="1">
        <v>44782</v>
      </c>
      <c r="AR1016" s="1">
        <v>7.04</v>
      </c>
      <c r="AS1016" s="1">
        <v>44782</v>
      </c>
      <c r="AT1016" s="1">
        <v>6.51</v>
      </c>
      <c r="AU1016" s="1">
        <v>44782</v>
      </c>
      <c r="AV1016" s="1">
        <v>5.83</v>
      </c>
      <c r="AW1016" s="1">
        <v>44782</v>
      </c>
      <c r="AX1016" s="1">
        <v>5.43</v>
      </c>
      <c r="AY1016" s="1">
        <v>44782</v>
      </c>
      <c r="AZ1016" s="1">
        <v>5.1349999999999998</v>
      </c>
      <c r="BB1016" s="1">
        <v>44706</v>
      </c>
      <c r="BC1016" s="1">
        <v>5.75</v>
      </c>
      <c r="BD1016" s="1">
        <v>44725</v>
      </c>
      <c r="BE1016" s="1">
        <v>6.43</v>
      </c>
      <c r="BF1016" s="1">
        <v>44782</v>
      </c>
      <c r="BG1016" s="1">
        <v>7.27</v>
      </c>
      <c r="BH1016" s="1">
        <v>44782</v>
      </c>
      <c r="BI1016" s="1">
        <v>7.33</v>
      </c>
      <c r="BJ1016" s="1">
        <v>44782</v>
      </c>
      <c r="BK1016" s="1">
        <v>7.375</v>
      </c>
      <c r="BL1016" s="1">
        <v>44782</v>
      </c>
      <c r="BM1016" s="1">
        <v>7.298</v>
      </c>
      <c r="BN1016" s="1">
        <v>44781</v>
      </c>
      <c r="BO1016" s="1">
        <v>6.65</v>
      </c>
      <c r="BP1016" s="1">
        <v>44782</v>
      </c>
      <c r="BQ1016" s="1">
        <v>6.27</v>
      </c>
      <c r="BR1016" s="1">
        <v>44782</v>
      </c>
      <c r="BS1016" s="1">
        <v>5.41</v>
      </c>
      <c r="BT1016" s="1">
        <v>44782</v>
      </c>
      <c r="BU1016" s="1">
        <v>4.7350000000000003</v>
      </c>
      <c r="BV1016" s="1">
        <v>44782</v>
      </c>
      <c r="BW1016" s="1">
        <v>4.2830000000000004</v>
      </c>
      <c r="BY1016" s="1">
        <v>44711</v>
      </c>
      <c r="BZ1016" s="1">
        <v>5.4</v>
      </c>
      <c r="CA1016" s="1">
        <v>44720</v>
      </c>
      <c r="CB1016" s="1">
        <v>7.05</v>
      </c>
      <c r="CC1016" s="1">
        <v>44782</v>
      </c>
      <c r="CD1016" s="1">
        <v>12.433</v>
      </c>
      <c r="CE1016" s="1">
        <v>44782</v>
      </c>
      <c r="CF1016" s="1">
        <v>13.045999999999999</v>
      </c>
      <c r="CG1016" s="1">
        <v>44782</v>
      </c>
      <c r="CH1016" s="1">
        <v>13.35</v>
      </c>
      <c r="CI1016" s="1">
        <v>44782</v>
      </c>
      <c r="CJ1016" s="1">
        <v>13.4</v>
      </c>
      <c r="CK1016" s="1">
        <v>44782</v>
      </c>
      <c r="CL1016" s="1">
        <v>13.1</v>
      </c>
      <c r="CM1016" s="1">
        <v>44782</v>
      </c>
      <c r="CN1016" s="1">
        <v>12.61</v>
      </c>
      <c r="CO1016" s="1">
        <v>44774</v>
      </c>
      <c r="CP1016" s="1">
        <v>12.02</v>
      </c>
      <c r="CQ1016" s="1">
        <v>44774</v>
      </c>
      <c r="CR1016" s="1">
        <v>10.7</v>
      </c>
      <c r="CS1016" s="1">
        <v>44774</v>
      </c>
      <c r="CT1016" s="1">
        <v>9.9499999999999993</v>
      </c>
    </row>
    <row r="1017" spans="31:98" x14ac:dyDescent="0.2">
      <c r="AE1017" s="1">
        <v>44771</v>
      </c>
      <c r="AF1017" s="1">
        <v>6.5</v>
      </c>
      <c r="AG1017" s="1">
        <v>44725</v>
      </c>
      <c r="AH1017" s="1">
        <v>6.78</v>
      </c>
      <c r="AI1017" s="1">
        <v>44781</v>
      </c>
      <c r="AJ1017" s="1">
        <v>7.1680000000000001</v>
      </c>
      <c r="AK1017" s="1">
        <v>44781</v>
      </c>
      <c r="AL1017" s="1">
        <v>7.21</v>
      </c>
      <c r="AM1017" s="1">
        <v>44781</v>
      </c>
      <c r="AN1017" s="1">
        <v>7.2149999999999999</v>
      </c>
      <c r="AO1017" s="1">
        <v>44781</v>
      </c>
      <c r="AP1017" s="1">
        <v>7.24</v>
      </c>
      <c r="AQ1017" s="1">
        <v>44781</v>
      </c>
      <c r="AR1017" s="1">
        <v>6.9</v>
      </c>
      <c r="AS1017" s="1">
        <v>44781</v>
      </c>
      <c r="AT1017" s="1">
        <v>6.24</v>
      </c>
      <c r="AU1017" s="1">
        <v>44781</v>
      </c>
      <c r="AV1017" s="1">
        <v>5.7249999999999996</v>
      </c>
      <c r="AW1017" s="1">
        <v>44781</v>
      </c>
      <c r="AX1017" s="1">
        <v>5.3150000000000004</v>
      </c>
      <c r="AY1017" s="1">
        <v>44781</v>
      </c>
      <c r="AZ1017" s="1">
        <v>4.99</v>
      </c>
      <c r="BB1017" s="1">
        <v>44705</v>
      </c>
      <c r="BC1017" s="1">
        <v>5.75</v>
      </c>
      <c r="BD1017" s="1">
        <v>44722</v>
      </c>
      <c r="BE1017" s="1">
        <v>6.39</v>
      </c>
      <c r="BF1017" s="1">
        <v>44781</v>
      </c>
      <c r="BG1017" s="1">
        <v>7.26</v>
      </c>
      <c r="BH1017" s="1">
        <v>44781</v>
      </c>
      <c r="BI1017" s="1">
        <v>7.28</v>
      </c>
      <c r="BJ1017" s="1">
        <v>44781</v>
      </c>
      <c r="BK1017" s="1">
        <v>7.31</v>
      </c>
      <c r="BL1017" s="1">
        <v>44781</v>
      </c>
      <c r="BM1017" s="1">
        <v>7.165</v>
      </c>
      <c r="BN1017" s="1">
        <v>44778</v>
      </c>
      <c r="BO1017" s="1">
        <v>6.81</v>
      </c>
      <c r="BP1017" s="1">
        <v>44781</v>
      </c>
      <c r="BQ1017" s="1">
        <v>5.95</v>
      </c>
      <c r="BR1017" s="1">
        <v>44781</v>
      </c>
      <c r="BS1017" s="1">
        <v>5.1130000000000004</v>
      </c>
      <c r="BT1017" s="1">
        <v>44781</v>
      </c>
      <c r="BU1017" s="1">
        <v>4.4580000000000002</v>
      </c>
      <c r="BV1017" s="1">
        <v>44781</v>
      </c>
      <c r="BW1017" s="1">
        <v>4.0579999999999998</v>
      </c>
      <c r="BY1017" s="1">
        <v>44708</v>
      </c>
      <c r="BZ1017" s="1">
        <v>5.4</v>
      </c>
      <c r="CA1017" s="1">
        <v>44719</v>
      </c>
      <c r="CB1017" s="1">
        <v>7.05</v>
      </c>
      <c r="CC1017" s="1">
        <v>44781</v>
      </c>
      <c r="CD1017" s="1">
        <v>12.324</v>
      </c>
      <c r="CE1017" s="1">
        <v>44781</v>
      </c>
      <c r="CF1017" s="1">
        <v>12.884</v>
      </c>
      <c r="CG1017" s="1">
        <v>44781</v>
      </c>
      <c r="CH1017" s="1">
        <v>13.15</v>
      </c>
      <c r="CI1017" s="1">
        <v>44781</v>
      </c>
      <c r="CJ1017" s="1">
        <v>13.15</v>
      </c>
      <c r="CK1017" s="1">
        <v>44781</v>
      </c>
      <c r="CL1017" s="1">
        <v>12.85</v>
      </c>
      <c r="CM1017" s="1">
        <v>44781</v>
      </c>
      <c r="CN1017" s="1">
        <v>12.3</v>
      </c>
      <c r="CO1017" s="1">
        <v>44771</v>
      </c>
      <c r="CP1017" s="1">
        <v>11.87</v>
      </c>
      <c r="CQ1017" s="1">
        <v>44771</v>
      </c>
      <c r="CR1017" s="1">
        <v>10.55</v>
      </c>
      <c r="CS1017" s="1">
        <v>44771</v>
      </c>
      <c r="CT1017" s="1">
        <v>9.8000000000000007</v>
      </c>
    </row>
    <row r="1018" spans="31:98" x14ac:dyDescent="0.2">
      <c r="AE1018" s="1">
        <v>44770</v>
      </c>
      <c r="AF1018" s="1">
        <v>6.5</v>
      </c>
      <c r="AG1018" s="1">
        <v>44722</v>
      </c>
      <c r="AH1018" s="1">
        <v>6.77</v>
      </c>
      <c r="AI1018" s="1">
        <v>44778</v>
      </c>
      <c r="AJ1018" s="1">
        <v>7.085</v>
      </c>
      <c r="AK1018" s="1">
        <v>44778</v>
      </c>
      <c r="AL1018" s="1">
        <v>7.14</v>
      </c>
      <c r="AM1018" s="1">
        <v>44778</v>
      </c>
      <c r="AN1018" s="1">
        <v>7.1550000000000002</v>
      </c>
      <c r="AO1018" s="1">
        <v>44778</v>
      </c>
      <c r="AP1018" s="1">
        <v>7.1749999999999998</v>
      </c>
      <c r="AQ1018" s="1">
        <v>44778</v>
      </c>
      <c r="AR1018" s="1">
        <v>6.8550000000000004</v>
      </c>
      <c r="AS1018" s="1">
        <v>44778</v>
      </c>
      <c r="AT1018" s="1">
        <v>6.2850000000000001</v>
      </c>
      <c r="AU1018" s="1">
        <v>44778</v>
      </c>
      <c r="AV1018" s="1">
        <v>5.8049999999999997</v>
      </c>
      <c r="AW1018" s="1">
        <v>44778</v>
      </c>
      <c r="AX1018" s="1">
        <v>5.38</v>
      </c>
      <c r="AY1018" s="1">
        <v>44778</v>
      </c>
      <c r="AZ1018" s="1">
        <v>5.04</v>
      </c>
      <c r="BB1018" s="1">
        <v>44704</v>
      </c>
      <c r="BC1018" s="1">
        <v>5.75</v>
      </c>
      <c r="BD1018" s="1">
        <v>44721</v>
      </c>
      <c r="BE1018" s="1">
        <v>6.35</v>
      </c>
      <c r="BF1018" s="1">
        <v>44778</v>
      </c>
      <c r="BG1018" s="1">
        <v>7.27</v>
      </c>
      <c r="BH1018" s="1">
        <v>44778</v>
      </c>
      <c r="BI1018" s="1">
        <v>7.2949999999999999</v>
      </c>
      <c r="BJ1018" s="1">
        <v>44778</v>
      </c>
      <c r="BK1018" s="1">
        <v>7.33</v>
      </c>
      <c r="BL1018" s="1">
        <v>44778</v>
      </c>
      <c r="BM1018" s="1">
        <v>7.2249999999999996</v>
      </c>
      <c r="BN1018" s="1">
        <v>44777</v>
      </c>
      <c r="BO1018" s="1">
        <v>6.9329999999999998</v>
      </c>
      <c r="BP1018" s="1">
        <v>44778</v>
      </c>
      <c r="BQ1018" s="1">
        <v>6.18</v>
      </c>
      <c r="BR1018" s="1">
        <v>44778</v>
      </c>
      <c r="BS1018" s="1">
        <v>5.3179999999999996</v>
      </c>
      <c r="BT1018" s="1">
        <v>44778</v>
      </c>
      <c r="BU1018" s="1">
        <v>4.66</v>
      </c>
      <c r="BV1018" s="1">
        <v>44778</v>
      </c>
      <c r="BW1018" s="1">
        <v>4.298</v>
      </c>
      <c r="BY1018" s="1">
        <v>44707</v>
      </c>
      <c r="BZ1018" s="1">
        <v>5.4</v>
      </c>
      <c r="CA1018" s="1">
        <v>44715</v>
      </c>
      <c r="CB1018" s="1">
        <v>7.05</v>
      </c>
      <c r="CC1018" s="1">
        <v>44778</v>
      </c>
      <c r="CD1018" s="1">
        <v>12.25</v>
      </c>
      <c r="CE1018" s="1">
        <v>44778</v>
      </c>
      <c r="CF1018" s="1">
        <v>12.73</v>
      </c>
      <c r="CG1018" s="1">
        <v>44778</v>
      </c>
      <c r="CH1018" s="1">
        <v>12.92</v>
      </c>
      <c r="CI1018" s="1">
        <v>44778</v>
      </c>
      <c r="CJ1018" s="1">
        <v>12.92</v>
      </c>
      <c r="CK1018" s="1">
        <v>44778</v>
      </c>
      <c r="CL1018" s="1">
        <v>12.62</v>
      </c>
      <c r="CM1018" s="1">
        <v>44778</v>
      </c>
      <c r="CN1018" s="1">
        <v>11.93</v>
      </c>
      <c r="CO1018" s="1">
        <v>44770</v>
      </c>
      <c r="CP1018" s="1">
        <v>11.82</v>
      </c>
      <c r="CQ1018" s="1">
        <v>44770</v>
      </c>
      <c r="CR1018" s="1">
        <v>10.5</v>
      </c>
      <c r="CS1018" s="1">
        <v>44770</v>
      </c>
      <c r="CT1018" s="1">
        <v>9.76</v>
      </c>
    </row>
    <row r="1019" spans="31:98" x14ac:dyDescent="0.2">
      <c r="AE1019" s="1">
        <v>44769</v>
      </c>
      <c r="AF1019" s="1">
        <v>6.5</v>
      </c>
      <c r="AG1019" s="1">
        <v>44721</v>
      </c>
      <c r="AH1019" s="1">
        <v>6.76</v>
      </c>
      <c r="AI1019" s="1">
        <v>44777</v>
      </c>
      <c r="AJ1019" s="1">
        <v>7.09</v>
      </c>
      <c r="AK1019" s="1">
        <v>44777</v>
      </c>
      <c r="AL1019" s="1">
        <v>7.1849999999999996</v>
      </c>
      <c r="AM1019" s="1">
        <v>44777</v>
      </c>
      <c r="AN1019" s="1">
        <v>7.26</v>
      </c>
      <c r="AO1019" s="1">
        <v>44777</v>
      </c>
      <c r="AP1019" s="1">
        <v>7.27</v>
      </c>
      <c r="AQ1019" s="1">
        <v>44777</v>
      </c>
      <c r="AR1019" s="1">
        <v>7.0049999999999999</v>
      </c>
      <c r="AS1019" s="1">
        <v>44777</v>
      </c>
      <c r="AT1019" s="1">
        <v>6.51</v>
      </c>
      <c r="AU1019" s="1">
        <v>44777</v>
      </c>
      <c r="AV1019" s="1">
        <v>6.0549999999999997</v>
      </c>
      <c r="AW1019" s="1">
        <v>44777</v>
      </c>
      <c r="AX1019" s="1">
        <v>5.63</v>
      </c>
      <c r="AY1019" s="1">
        <v>44777</v>
      </c>
      <c r="AZ1019" s="1">
        <v>5.28</v>
      </c>
      <c r="BB1019" s="1">
        <v>44701</v>
      </c>
      <c r="BC1019" s="1">
        <v>5.75</v>
      </c>
      <c r="BD1019" s="1">
        <v>44720</v>
      </c>
      <c r="BE1019" s="1">
        <v>6.32</v>
      </c>
      <c r="BF1019" s="1">
        <v>44777</v>
      </c>
      <c r="BG1019" s="1">
        <v>7.27</v>
      </c>
      <c r="BH1019" s="1">
        <v>44777</v>
      </c>
      <c r="BI1019" s="1">
        <v>7.3129999999999997</v>
      </c>
      <c r="BJ1019" s="1">
        <v>44777</v>
      </c>
      <c r="BK1019" s="1">
        <v>7.3449999999999998</v>
      </c>
      <c r="BL1019" s="1">
        <v>44777</v>
      </c>
      <c r="BM1019" s="1">
        <v>7.3250000000000002</v>
      </c>
      <c r="BN1019" s="1">
        <v>44776</v>
      </c>
      <c r="BO1019" s="1">
        <v>7.1449999999999996</v>
      </c>
      <c r="BP1019" s="1">
        <v>44777</v>
      </c>
      <c r="BQ1019" s="1">
        <v>6.3650000000000002</v>
      </c>
      <c r="BR1019" s="1">
        <v>44777</v>
      </c>
      <c r="BS1019" s="1">
        <v>5.5880000000000001</v>
      </c>
      <c r="BT1019" s="1">
        <v>44777</v>
      </c>
      <c r="BU1019" s="1">
        <v>4.99</v>
      </c>
      <c r="BV1019" s="1">
        <v>44777</v>
      </c>
      <c r="BW1019" s="1">
        <v>4.6879999999999997</v>
      </c>
      <c r="BY1019" s="1">
        <v>44706</v>
      </c>
      <c r="BZ1019" s="1">
        <v>5.4</v>
      </c>
      <c r="CA1019" s="1">
        <v>44714</v>
      </c>
      <c r="CB1019" s="1">
        <v>7.03</v>
      </c>
      <c r="CC1019" s="1">
        <v>44777</v>
      </c>
      <c r="CD1019" s="1">
        <v>12.368</v>
      </c>
      <c r="CE1019" s="1">
        <v>44777</v>
      </c>
      <c r="CF1019" s="1">
        <v>12.887</v>
      </c>
      <c r="CG1019" s="1">
        <v>44777</v>
      </c>
      <c r="CH1019" s="1">
        <v>13.13</v>
      </c>
      <c r="CI1019" s="1">
        <v>44777</v>
      </c>
      <c r="CJ1019" s="1">
        <v>13.18</v>
      </c>
      <c r="CK1019" s="1">
        <v>44777</v>
      </c>
      <c r="CL1019" s="1">
        <v>12.9</v>
      </c>
      <c r="CM1019" s="1">
        <v>44777</v>
      </c>
      <c r="CN1019" s="1">
        <v>12.32</v>
      </c>
      <c r="CO1019" s="1">
        <v>44769</v>
      </c>
      <c r="CP1019" s="1">
        <v>11.46</v>
      </c>
      <c r="CQ1019" s="1">
        <v>44769</v>
      </c>
      <c r="CR1019" s="1">
        <v>10.14</v>
      </c>
      <c r="CS1019" s="1">
        <v>44769</v>
      </c>
      <c r="CT1019" s="1">
        <v>9.4</v>
      </c>
    </row>
    <row r="1020" spans="31:98" x14ac:dyDescent="0.2">
      <c r="AE1020" s="1">
        <v>44768</v>
      </c>
      <c r="AF1020" s="1">
        <v>6.5</v>
      </c>
      <c r="AG1020" s="1">
        <v>44720</v>
      </c>
      <c r="AH1020" s="1">
        <v>6.74</v>
      </c>
      <c r="AI1020" s="1">
        <v>44776</v>
      </c>
      <c r="AJ1020" s="1">
        <v>7.1715</v>
      </c>
      <c r="AK1020" s="1">
        <v>44776</v>
      </c>
      <c r="AL1020" s="1">
        <v>7.28</v>
      </c>
      <c r="AM1020" s="1">
        <v>44776</v>
      </c>
      <c r="AN1020" s="1">
        <v>7.41</v>
      </c>
      <c r="AO1020" s="1">
        <v>44776</v>
      </c>
      <c r="AP1020" s="1">
        <v>7.46</v>
      </c>
      <c r="AQ1020" s="1">
        <v>44776</v>
      </c>
      <c r="AR1020" s="1">
        <v>7.19</v>
      </c>
      <c r="AS1020" s="1">
        <v>44776</v>
      </c>
      <c r="AT1020" s="1">
        <v>6.7750000000000004</v>
      </c>
      <c r="AU1020" s="1">
        <v>44776</v>
      </c>
      <c r="AV1020" s="1">
        <v>6.3150000000000004</v>
      </c>
      <c r="AW1020" s="1">
        <v>44776</v>
      </c>
      <c r="AX1020" s="1">
        <v>5.835</v>
      </c>
      <c r="AY1020" s="1">
        <v>44776</v>
      </c>
      <c r="AZ1020" s="1">
        <v>5.4024999999999999</v>
      </c>
      <c r="BB1020" s="1">
        <v>44700</v>
      </c>
      <c r="BC1020" s="1">
        <v>5.75</v>
      </c>
      <c r="BD1020" s="1">
        <v>44719</v>
      </c>
      <c r="BE1020" s="1">
        <v>6.28</v>
      </c>
      <c r="BF1020" s="1">
        <v>44776</v>
      </c>
      <c r="BG1020" s="1">
        <v>7.4450000000000003</v>
      </c>
      <c r="BH1020" s="1">
        <v>44776</v>
      </c>
      <c r="BI1020" s="1">
        <v>7.5350000000000001</v>
      </c>
      <c r="BJ1020" s="1">
        <v>44776</v>
      </c>
      <c r="BK1020" s="1">
        <v>7.57</v>
      </c>
      <c r="BL1020" s="1">
        <v>44776</v>
      </c>
      <c r="BM1020" s="1">
        <v>7.5</v>
      </c>
      <c r="BN1020" s="1">
        <v>44775</v>
      </c>
      <c r="BO1020" s="1">
        <v>7.01</v>
      </c>
      <c r="BP1020" s="1">
        <v>44776</v>
      </c>
      <c r="BQ1020" s="1">
        <v>6.66</v>
      </c>
      <c r="BR1020" s="1">
        <v>44776</v>
      </c>
      <c r="BS1020" s="1">
        <v>5.883</v>
      </c>
      <c r="BT1020" s="1">
        <v>44776</v>
      </c>
      <c r="BU1020" s="1">
        <v>5.3250000000000002</v>
      </c>
      <c r="BV1020" s="1">
        <v>44776</v>
      </c>
      <c r="BW1020" s="1">
        <v>4.8899999999999997</v>
      </c>
      <c r="BY1020" s="1">
        <v>44705</v>
      </c>
      <c r="BZ1020" s="1">
        <v>5.4</v>
      </c>
      <c r="CA1020" s="1">
        <v>44713</v>
      </c>
      <c r="CB1020" s="1">
        <v>6.98</v>
      </c>
      <c r="CC1020" s="1">
        <v>44776</v>
      </c>
      <c r="CD1020" s="1">
        <v>12.439</v>
      </c>
      <c r="CE1020" s="1">
        <v>44776</v>
      </c>
      <c r="CF1020" s="1">
        <v>13.045999999999999</v>
      </c>
      <c r="CG1020" s="1">
        <v>44776</v>
      </c>
      <c r="CH1020" s="1">
        <v>13.35</v>
      </c>
      <c r="CI1020" s="1">
        <v>44776</v>
      </c>
      <c r="CJ1020" s="1">
        <v>13.4</v>
      </c>
      <c r="CK1020" s="1">
        <v>44776</v>
      </c>
      <c r="CL1020" s="1">
        <v>13.05</v>
      </c>
      <c r="CM1020" s="1">
        <v>44776</v>
      </c>
      <c r="CN1020" s="1">
        <v>12.5</v>
      </c>
      <c r="CO1020" s="1">
        <v>44768</v>
      </c>
      <c r="CP1020" s="1">
        <v>11.19</v>
      </c>
      <c r="CQ1020" s="1">
        <v>44768</v>
      </c>
      <c r="CR1020" s="1">
        <v>9.89</v>
      </c>
      <c r="CS1020" s="1">
        <v>44768</v>
      </c>
      <c r="CT1020" s="1">
        <v>9.15</v>
      </c>
    </row>
    <row r="1021" spans="31:98" x14ac:dyDescent="0.2">
      <c r="AE1021" s="1">
        <v>44767</v>
      </c>
      <c r="AF1021" s="1">
        <v>6.5</v>
      </c>
      <c r="AG1021" s="1">
        <v>44719</v>
      </c>
      <c r="AH1021" s="1">
        <v>6.72</v>
      </c>
      <c r="AI1021" s="1">
        <v>44775</v>
      </c>
      <c r="AJ1021" s="1">
        <v>7.1535000000000002</v>
      </c>
      <c r="AK1021" s="1">
        <v>44775</v>
      </c>
      <c r="AL1021" s="1">
        <v>7.3449999999999998</v>
      </c>
      <c r="AM1021" s="1">
        <v>44775</v>
      </c>
      <c r="AN1021" s="1">
        <v>7.41</v>
      </c>
      <c r="AO1021" s="1">
        <v>44775</v>
      </c>
      <c r="AP1021" s="1">
        <v>7.47</v>
      </c>
      <c r="AQ1021" s="1">
        <v>44775</v>
      </c>
      <c r="AR1021" s="1">
        <v>7.2</v>
      </c>
      <c r="AS1021" s="1">
        <v>44775</v>
      </c>
      <c r="AT1021" s="1">
        <v>6.7350000000000003</v>
      </c>
      <c r="AU1021" s="1">
        <v>44775</v>
      </c>
      <c r="AV1021" s="1">
        <v>6.2649999999999997</v>
      </c>
      <c r="AW1021" s="1">
        <v>44775</v>
      </c>
      <c r="AX1021" s="1">
        <v>5.7649999999999997</v>
      </c>
      <c r="AY1021" s="1">
        <v>44775</v>
      </c>
      <c r="AZ1021" s="1">
        <v>5.3449999999999998</v>
      </c>
      <c r="BB1021" s="1">
        <v>44699</v>
      </c>
      <c r="BC1021" s="1">
        <v>5.75</v>
      </c>
      <c r="BD1021" s="1">
        <v>44718</v>
      </c>
      <c r="BE1021" s="1">
        <v>6.25</v>
      </c>
      <c r="BF1021" s="1">
        <v>44775</v>
      </c>
      <c r="BG1021" s="1">
        <v>7.39</v>
      </c>
      <c r="BH1021" s="1">
        <v>44775</v>
      </c>
      <c r="BI1021" s="1">
        <v>7.4749999999999996</v>
      </c>
      <c r="BJ1021" s="1">
        <v>44775</v>
      </c>
      <c r="BK1021" s="1">
        <v>7.4950000000000001</v>
      </c>
      <c r="BL1021" s="1">
        <v>44775</v>
      </c>
      <c r="BM1021" s="1">
        <v>7.38</v>
      </c>
      <c r="BN1021" s="1">
        <v>44774</v>
      </c>
      <c r="BO1021" s="1">
        <v>7.06</v>
      </c>
      <c r="BP1021" s="1">
        <v>44775</v>
      </c>
      <c r="BQ1021" s="1">
        <v>6.48</v>
      </c>
      <c r="BR1021" s="1">
        <v>44775</v>
      </c>
      <c r="BS1021" s="1">
        <v>5.7430000000000003</v>
      </c>
      <c r="BT1021" s="1">
        <v>44775</v>
      </c>
      <c r="BU1021" s="1">
        <v>5.1879999999999997</v>
      </c>
      <c r="BV1021" s="1">
        <v>44775</v>
      </c>
      <c r="BW1021" s="1">
        <v>4.76</v>
      </c>
      <c r="BY1021" s="1">
        <v>44704</v>
      </c>
      <c r="BZ1021" s="1">
        <v>5.4</v>
      </c>
      <c r="CA1021" s="1">
        <v>44712</v>
      </c>
      <c r="CB1021" s="1">
        <v>6.89</v>
      </c>
      <c r="CC1021" s="1">
        <v>44775</v>
      </c>
      <c r="CD1021" s="1">
        <v>12.61</v>
      </c>
      <c r="CE1021" s="1">
        <v>44775</v>
      </c>
      <c r="CF1021" s="1">
        <v>13.31</v>
      </c>
      <c r="CG1021" s="1">
        <v>44775</v>
      </c>
      <c r="CH1021" s="1">
        <v>13.55</v>
      </c>
      <c r="CI1021" s="1">
        <v>44775</v>
      </c>
      <c r="CJ1021" s="1">
        <v>13.6</v>
      </c>
      <c r="CK1021" s="1">
        <v>44775</v>
      </c>
      <c r="CL1021" s="1">
        <v>13.25</v>
      </c>
      <c r="CM1021" s="1">
        <v>44775</v>
      </c>
      <c r="CN1021" s="1">
        <v>12.74</v>
      </c>
      <c r="CO1021" s="1">
        <v>44767</v>
      </c>
      <c r="CP1021" s="1">
        <v>11.11</v>
      </c>
      <c r="CQ1021" s="1">
        <v>44767</v>
      </c>
      <c r="CR1021" s="1">
        <v>9.83</v>
      </c>
      <c r="CS1021" s="1">
        <v>44767</v>
      </c>
      <c r="CT1021" s="1">
        <v>9.11</v>
      </c>
    </row>
    <row r="1022" spans="31:98" x14ac:dyDescent="0.2">
      <c r="AE1022" s="1">
        <v>44764</v>
      </c>
      <c r="AF1022" s="1">
        <v>6.5</v>
      </c>
      <c r="AG1022" s="1">
        <v>44718</v>
      </c>
      <c r="AH1022" s="1">
        <v>6.7</v>
      </c>
      <c r="AI1022" s="1">
        <v>44774</v>
      </c>
      <c r="AJ1022" s="1">
        <v>7.1349999999999998</v>
      </c>
      <c r="AK1022" s="1">
        <v>44774</v>
      </c>
      <c r="AL1022" s="1">
        <v>7.28</v>
      </c>
      <c r="AM1022" s="1">
        <v>44774</v>
      </c>
      <c r="AN1022" s="1">
        <v>7.335</v>
      </c>
      <c r="AO1022" s="1">
        <v>44774</v>
      </c>
      <c r="AP1022" s="1">
        <v>7.37</v>
      </c>
      <c r="AQ1022" s="1">
        <v>44774</v>
      </c>
      <c r="AR1022" s="1">
        <v>7.1</v>
      </c>
      <c r="AS1022" s="1">
        <v>44774</v>
      </c>
      <c r="AT1022" s="1">
        <v>6.66</v>
      </c>
      <c r="AU1022" s="1">
        <v>44774</v>
      </c>
      <c r="AV1022" s="1">
        <v>6.1849999999999996</v>
      </c>
      <c r="AW1022" s="1">
        <v>44774</v>
      </c>
      <c r="AX1022" s="1">
        <v>5.7350000000000003</v>
      </c>
      <c r="AY1022" s="1">
        <v>44774</v>
      </c>
      <c r="AZ1022" s="1">
        <v>5.32</v>
      </c>
      <c r="BB1022" s="1">
        <v>44698</v>
      </c>
      <c r="BC1022" s="1">
        <v>5.75</v>
      </c>
      <c r="BD1022" s="1">
        <v>44715</v>
      </c>
      <c r="BE1022" s="1">
        <v>6.23</v>
      </c>
      <c r="BF1022" s="1">
        <v>44774</v>
      </c>
      <c r="BG1022" s="1">
        <v>7.41</v>
      </c>
      <c r="BH1022" s="1">
        <v>44774</v>
      </c>
      <c r="BI1022" s="1">
        <v>7.44</v>
      </c>
      <c r="BJ1022" s="1">
        <v>44774</v>
      </c>
      <c r="BK1022" s="1">
        <v>7.54</v>
      </c>
      <c r="BL1022" s="1">
        <v>44774</v>
      </c>
      <c r="BM1022" s="1">
        <v>7.43</v>
      </c>
      <c r="BN1022" s="1">
        <v>44771</v>
      </c>
      <c r="BO1022" s="1">
        <v>7.0949999999999998</v>
      </c>
      <c r="BP1022" s="1">
        <v>44774</v>
      </c>
      <c r="BQ1022" s="1">
        <v>6.5650000000000004</v>
      </c>
      <c r="BR1022" s="1">
        <v>44774</v>
      </c>
      <c r="BS1022" s="1">
        <v>5.82</v>
      </c>
      <c r="BT1022" s="1">
        <v>44774</v>
      </c>
      <c r="BU1022" s="1">
        <v>5.2450000000000001</v>
      </c>
      <c r="BV1022" s="1">
        <v>44774</v>
      </c>
      <c r="BW1022" s="1">
        <v>4.84</v>
      </c>
      <c r="BY1022" s="1">
        <v>44701</v>
      </c>
      <c r="BZ1022" s="1">
        <v>5.4</v>
      </c>
      <c r="CA1022" s="1">
        <v>44711</v>
      </c>
      <c r="CB1022" s="1">
        <v>6.86</v>
      </c>
      <c r="CC1022" s="1">
        <v>44774</v>
      </c>
      <c r="CD1022" s="1">
        <v>12.721</v>
      </c>
      <c r="CE1022" s="1">
        <v>44774</v>
      </c>
      <c r="CF1022" s="1">
        <v>13.504</v>
      </c>
      <c r="CG1022" s="1">
        <v>44774</v>
      </c>
      <c r="CH1022" s="1">
        <v>13.83</v>
      </c>
      <c r="CI1022" s="1">
        <v>44774</v>
      </c>
      <c r="CJ1022" s="1">
        <v>13.88</v>
      </c>
      <c r="CK1022" s="1">
        <v>44774</v>
      </c>
      <c r="CL1022" s="1">
        <v>13.53</v>
      </c>
      <c r="CM1022" s="1">
        <v>44774</v>
      </c>
      <c r="CN1022" s="1">
        <v>13.15</v>
      </c>
      <c r="CO1022" s="1">
        <v>44764</v>
      </c>
      <c r="CP1022" s="1">
        <v>11.43</v>
      </c>
      <c r="CQ1022" s="1">
        <v>44764</v>
      </c>
      <c r="CR1022" s="1">
        <v>10.14</v>
      </c>
      <c r="CS1022" s="1">
        <v>44764</v>
      </c>
      <c r="CT1022" s="1">
        <v>9.41</v>
      </c>
    </row>
    <row r="1023" spans="31:98" x14ac:dyDescent="0.2">
      <c r="AE1023" s="1">
        <v>44763</v>
      </c>
      <c r="AF1023" s="1">
        <v>6.5</v>
      </c>
      <c r="AG1023" s="1">
        <v>44715</v>
      </c>
      <c r="AH1023" s="1">
        <v>6.66</v>
      </c>
      <c r="AI1023" s="1">
        <v>44771</v>
      </c>
      <c r="AJ1023" s="1">
        <v>7.0949999999999998</v>
      </c>
      <c r="AK1023" s="1">
        <v>44771</v>
      </c>
      <c r="AL1023" s="1">
        <v>7.2949999999999999</v>
      </c>
      <c r="AM1023" s="1">
        <v>44771</v>
      </c>
      <c r="AN1023" s="1">
        <v>7.36</v>
      </c>
      <c r="AO1023" s="1">
        <v>44771</v>
      </c>
      <c r="AP1023" s="1">
        <v>7.41</v>
      </c>
      <c r="AQ1023" s="1">
        <v>44771</v>
      </c>
      <c r="AR1023" s="1">
        <v>7.14</v>
      </c>
      <c r="AS1023" s="1">
        <v>44771</v>
      </c>
      <c r="AT1023" s="1">
        <v>6.71</v>
      </c>
      <c r="AU1023" s="1">
        <v>44771</v>
      </c>
      <c r="AV1023" s="1">
        <v>6.2549999999999999</v>
      </c>
      <c r="AW1023" s="1">
        <v>44771</v>
      </c>
      <c r="AX1023" s="1">
        <v>5.81</v>
      </c>
      <c r="AY1023" s="1">
        <v>44771</v>
      </c>
      <c r="AZ1023" s="1">
        <v>5.3949999999999996</v>
      </c>
      <c r="BB1023" s="1">
        <v>44697</v>
      </c>
      <c r="BC1023" s="1">
        <v>5.75</v>
      </c>
      <c r="BD1023" s="1">
        <v>44714</v>
      </c>
      <c r="BE1023" s="1">
        <v>6.22</v>
      </c>
      <c r="BF1023" s="1">
        <v>44771</v>
      </c>
      <c r="BG1023" s="1">
        <v>7.415</v>
      </c>
      <c r="BH1023" s="1">
        <v>44771</v>
      </c>
      <c r="BI1023" s="1">
        <v>7.4550000000000001</v>
      </c>
      <c r="BJ1023" s="1">
        <v>44771</v>
      </c>
      <c r="BK1023" s="1">
        <v>7.55</v>
      </c>
      <c r="BL1023" s="1">
        <v>44771</v>
      </c>
      <c r="BM1023" s="1">
        <v>7.45</v>
      </c>
      <c r="BN1023" s="1">
        <v>44770</v>
      </c>
      <c r="BO1023" s="1">
        <v>7.0750000000000002</v>
      </c>
      <c r="BP1023" s="1">
        <v>44771</v>
      </c>
      <c r="BQ1023" s="1">
        <v>6.66</v>
      </c>
      <c r="BR1023" s="1">
        <v>44771</v>
      </c>
      <c r="BS1023" s="1">
        <v>5.9180000000000001</v>
      </c>
      <c r="BT1023" s="1">
        <v>44771</v>
      </c>
      <c r="BU1023" s="1">
        <v>5.3330000000000002</v>
      </c>
      <c r="BV1023" s="1">
        <v>44771</v>
      </c>
      <c r="BW1023" s="1">
        <v>4.9400000000000004</v>
      </c>
      <c r="BY1023" s="1">
        <v>44700</v>
      </c>
      <c r="BZ1023" s="1">
        <v>5.4</v>
      </c>
      <c r="CA1023" s="1">
        <v>44708</v>
      </c>
      <c r="CB1023" s="1">
        <v>6.85</v>
      </c>
      <c r="CC1023" s="1">
        <v>44771</v>
      </c>
      <c r="CD1023" s="1">
        <v>12.659000000000001</v>
      </c>
      <c r="CE1023" s="1">
        <v>44771</v>
      </c>
      <c r="CF1023" s="1">
        <v>13.326000000000001</v>
      </c>
      <c r="CG1023" s="1">
        <v>44771</v>
      </c>
      <c r="CH1023" s="1">
        <v>13.72</v>
      </c>
      <c r="CI1023" s="1">
        <v>44771</v>
      </c>
      <c r="CJ1023" s="1">
        <v>13.77</v>
      </c>
      <c r="CK1023" s="1">
        <v>44771</v>
      </c>
      <c r="CL1023" s="1">
        <v>13.42</v>
      </c>
      <c r="CM1023" s="1">
        <v>44771</v>
      </c>
      <c r="CN1023" s="1">
        <v>13</v>
      </c>
      <c r="CO1023" s="1">
        <v>44763</v>
      </c>
      <c r="CP1023" s="1">
        <v>11.57</v>
      </c>
      <c r="CQ1023" s="1">
        <v>44763</v>
      </c>
      <c r="CR1023" s="1">
        <v>10.28</v>
      </c>
      <c r="CS1023" s="1">
        <v>44763</v>
      </c>
      <c r="CT1023" s="1">
        <v>9.5500000000000007</v>
      </c>
    </row>
    <row r="1024" spans="31:98" x14ac:dyDescent="0.2">
      <c r="AE1024" s="1">
        <v>44762</v>
      </c>
      <c r="AF1024" s="1">
        <v>6.5</v>
      </c>
      <c r="AG1024" s="1">
        <v>44714</v>
      </c>
      <c r="AH1024" s="1">
        <v>6.64</v>
      </c>
      <c r="AI1024" s="1">
        <v>44770</v>
      </c>
      <c r="AJ1024" s="1">
        <v>7.2229999999999999</v>
      </c>
      <c r="AK1024" s="1">
        <v>44770</v>
      </c>
      <c r="AL1024" s="1">
        <v>7.4450000000000003</v>
      </c>
      <c r="AM1024" s="1">
        <v>44770</v>
      </c>
      <c r="AN1024" s="1">
        <v>7.54</v>
      </c>
      <c r="AO1024" s="1">
        <v>44770</v>
      </c>
      <c r="AP1024" s="1">
        <v>7.62</v>
      </c>
      <c r="AQ1024" s="1">
        <v>44770</v>
      </c>
      <c r="AR1024" s="1">
        <v>7.4</v>
      </c>
      <c r="AS1024" s="1">
        <v>44770</v>
      </c>
      <c r="AT1024" s="1">
        <v>6.88</v>
      </c>
      <c r="AU1024" s="1">
        <v>44770</v>
      </c>
      <c r="AV1024" s="1">
        <v>6.42</v>
      </c>
      <c r="AW1024" s="1">
        <v>44770</v>
      </c>
      <c r="AX1024" s="1">
        <v>5.99</v>
      </c>
      <c r="AY1024" s="1">
        <v>44770</v>
      </c>
      <c r="AZ1024" s="1">
        <v>5.62</v>
      </c>
      <c r="BB1024" s="1">
        <v>44694</v>
      </c>
      <c r="BC1024" s="1">
        <v>5.75</v>
      </c>
      <c r="BD1024" s="1">
        <v>44713</v>
      </c>
      <c r="BE1024" s="1">
        <v>6.21</v>
      </c>
      <c r="BF1024" s="1">
        <v>44770</v>
      </c>
      <c r="BG1024" s="1">
        <v>7.4249999999999998</v>
      </c>
      <c r="BH1024" s="1">
        <v>44770</v>
      </c>
      <c r="BI1024" s="1">
        <v>7.4349999999999996</v>
      </c>
      <c r="BJ1024" s="1">
        <v>44770</v>
      </c>
      <c r="BK1024" s="1">
        <v>7.5250000000000004</v>
      </c>
      <c r="BL1024" s="1">
        <v>44770</v>
      </c>
      <c r="BM1024" s="1">
        <v>7.44</v>
      </c>
      <c r="BN1024" s="1">
        <v>44769</v>
      </c>
      <c r="BO1024" s="1">
        <v>7.1150000000000002</v>
      </c>
      <c r="BP1024" s="1">
        <v>44770</v>
      </c>
      <c r="BQ1024" s="1">
        <v>6.64</v>
      </c>
      <c r="BR1024" s="1">
        <v>44770</v>
      </c>
      <c r="BS1024" s="1">
        <v>5.9</v>
      </c>
      <c r="BT1024" s="1">
        <v>44770</v>
      </c>
      <c r="BU1024" s="1">
        <v>5.32</v>
      </c>
      <c r="BV1024" s="1">
        <v>44770</v>
      </c>
      <c r="BW1024" s="1">
        <v>4.93</v>
      </c>
      <c r="BY1024" s="1">
        <v>44699</v>
      </c>
      <c r="BZ1024" s="1">
        <v>5.4</v>
      </c>
      <c r="CA1024" s="1">
        <v>44707</v>
      </c>
      <c r="CB1024" s="1">
        <v>6.85</v>
      </c>
      <c r="CC1024" s="1">
        <v>44770</v>
      </c>
      <c r="CD1024" s="1">
        <v>12.516</v>
      </c>
      <c r="CE1024" s="1">
        <v>44770</v>
      </c>
      <c r="CF1024" s="1">
        <v>13.24</v>
      </c>
      <c r="CG1024" s="1">
        <v>44770</v>
      </c>
      <c r="CH1024" s="1">
        <v>13.6</v>
      </c>
      <c r="CI1024" s="1">
        <v>44770</v>
      </c>
      <c r="CJ1024" s="1">
        <v>13.65</v>
      </c>
      <c r="CK1024" s="1">
        <v>44770</v>
      </c>
      <c r="CL1024" s="1">
        <v>13.3</v>
      </c>
      <c r="CM1024" s="1">
        <v>44770</v>
      </c>
      <c r="CN1024" s="1">
        <v>12.93</v>
      </c>
      <c r="CO1024" s="1">
        <v>44762</v>
      </c>
      <c r="CP1024" s="1">
        <v>11.3</v>
      </c>
      <c r="CQ1024" s="1">
        <v>44762</v>
      </c>
      <c r="CR1024" s="1">
        <v>10.01</v>
      </c>
      <c r="CS1024" s="1">
        <v>44762</v>
      </c>
      <c r="CT1024" s="1">
        <v>9.2799999999999994</v>
      </c>
    </row>
    <row r="1025" spans="31:98" x14ac:dyDescent="0.2">
      <c r="AE1025" s="1">
        <v>44761</v>
      </c>
      <c r="AF1025" s="1">
        <v>6.5</v>
      </c>
      <c r="AG1025" s="1">
        <v>44713</v>
      </c>
      <c r="AH1025" s="1">
        <v>6.61</v>
      </c>
      <c r="AI1025" s="1">
        <v>44769</v>
      </c>
      <c r="AJ1025" s="1">
        <v>7.1375000000000002</v>
      </c>
      <c r="AK1025" s="1">
        <v>44769</v>
      </c>
      <c r="AL1025" s="1">
        <v>7.37</v>
      </c>
      <c r="AM1025" s="1">
        <v>44769</v>
      </c>
      <c r="AN1025" s="1">
        <v>7.4625000000000004</v>
      </c>
      <c r="AO1025" s="1">
        <v>44769</v>
      </c>
      <c r="AP1025" s="1">
        <v>7.55</v>
      </c>
      <c r="AQ1025" s="1">
        <v>44769</v>
      </c>
      <c r="AR1025" s="1">
        <v>7.3650000000000002</v>
      </c>
      <c r="AS1025" s="1">
        <v>44769</v>
      </c>
      <c r="AT1025" s="1">
        <v>6.84</v>
      </c>
      <c r="AU1025" s="1">
        <v>44769</v>
      </c>
      <c r="AV1025" s="1">
        <v>6.4050000000000002</v>
      </c>
      <c r="AW1025" s="1">
        <v>44769</v>
      </c>
      <c r="AX1025" s="1">
        <v>5.9749999999999996</v>
      </c>
      <c r="AY1025" s="1">
        <v>44769</v>
      </c>
      <c r="AZ1025" s="1">
        <v>5.57</v>
      </c>
      <c r="BB1025" s="1">
        <v>44693</v>
      </c>
      <c r="BC1025" s="1">
        <v>5.75</v>
      </c>
      <c r="BD1025" s="1">
        <v>44712</v>
      </c>
      <c r="BE1025" s="1">
        <v>6.19</v>
      </c>
      <c r="BF1025" s="1">
        <v>44769</v>
      </c>
      <c r="BG1025" s="1">
        <v>7.4649999999999999</v>
      </c>
      <c r="BH1025" s="1">
        <v>44769</v>
      </c>
      <c r="BI1025" s="1">
        <v>7.4850000000000003</v>
      </c>
      <c r="BJ1025" s="1">
        <v>44769</v>
      </c>
      <c r="BK1025" s="1">
        <v>7.6029999999999998</v>
      </c>
      <c r="BL1025" s="1">
        <v>44769</v>
      </c>
      <c r="BM1025" s="1">
        <v>7.5</v>
      </c>
      <c r="BN1025" s="1">
        <v>44768</v>
      </c>
      <c r="BO1025" s="1">
        <v>7.0750000000000002</v>
      </c>
      <c r="BP1025" s="1">
        <v>44769</v>
      </c>
      <c r="BQ1025" s="1">
        <v>6.69</v>
      </c>
      <c r="BR1025" s="1">
        <v>44769</v>
      </c>
      <c r="BS1025" s="1">
        <v>5.9550000000000001</v>
      </c>
      <c r="BT1025" s="1">
        <v>44769</v>
      </c>
      <c r="BU1025" s="1">
        <v>5.375</v>
      </c>
      <c r="BV1025" s="1">
        <v>44769</v>
      </c>
      <c r="BW1025" s="1">
        <v>4.9850000000000003</v>
      </c>
      <c r="BY1025" s="1">
        <v>44698</v>
      </c>
      <c r="BZ1025" s="1">
        <v>5.4</v>
      </c>
      <c r="CA1025" s="1">
        <v>44706</v>
      </c>
      <c r="CB1025" s="1">
        <v>6.81</v>
      </c>
      <c r="CC1025" s="1">
        <v>44769</v>
      </c>
      <c r="CD1025" s="1">
        <v>12.404999999999999</v>
      </c>
      <c r="CE1025" s="1">
        <v>44769</v>
      </c>
      <c r="CF1025" s="1">
        <v>12.968999999999999</v>
      </c>
      <c r="CG1025" s="1">
        <v>44769</v>
      </c>
      <c r="CH1025" s="1">
        <v>13.25</v>
      </c>
      <c r="CI1025" s="1">
        <v>44769</v>
      </c>
      <c r="CJ1025" s="1">
        <v>13.297000000000001</v>
      </c>
      <c r="CK1025" s="1">
        <v>44769</v>
      </c>
      <c r="CL1025" s="1">
        <v>13</v>
      </c>
      <c r="CM1025" s="1">
        <v>44769</v>
      </c>
      <c r="CN1025" s="1">
        <v>12.57</v>
      </c>
      <c r="CO1025" s="1">
        <v>44761</v>
      </c>
      <c r="CP1025" s="1">
        <v>11.53</v>
      </c>
      <c r="CQ1025" s="1">
        <v>44761</v>
      </c>
      <c r="CR1025" s="1">
        <v>10.220000000000001</v>
      </c>
      <c r="CS1025" s="1">
        <v>44761</v>
      </c>
      <c r="CT1025" s="1">
        <v>9.43</v>
      </c>
    </row>
    <row r="1026" spans="31:98" x14ac:dyDescent="0.2">
      <c r="AE1026" s="1">
        <v>44760</v>
      </c>
      <c r="AF1026" s="1">
        <v>6.5</v>
      </c>
      <c r="AG1026" s="1">
        <v>44712</v>
      </c>
      <c r="AH1026" s="1">
        <v>6.59</v>
      </c>
      <c r="AI1026" s="1">
        <v>44768</v>
      </c>
      <c r="AJ1026" s="1">
        <v>7.1165000000000003</v>
      </c>
      <c r="AK1026" s="1">
        <v>44768</v>
      </c>
      <c r="AL1026" s="1">
        <v>7.32</v>
      </c>
      <c r="AM1026" s="1">
        <v>44768</v>
      </c>
      <c r="AN1026" s="1">
        <v>7.35</v>
      </c>
      <c r="AO1026" s="1">
        <v>44768</v>
      </c>
      <c r="AP1026" s="1">
        <v>7.415</v>
      </c>
      <c r="AQ1026" s="1">
        <v>44768</v>
      </c>
      <c r="AR1026" s="1">
        <v>7.2249999999999996</v>
      </c>
      <c r="AS1026" s="1">
        <v>44768</v>
      </c>
      <c r="AT1026" s="1">
        <v>6.7625000000000002</v>
      </c>
      <c r="AU1026" s="1">
        <v>44768</v>
      </c>
      <c r="AV1026" s="1">
        <v>6.3224999999999998</v>
      </c>
      <c r="AW1026" s="1">
        <v>44768</v>
      </c>
      <c r="AX1026" s="1">
        <v>5.8875000000000002</v>
      </c>
      <c r="AY1026" s="1">
        <v>44768</v>
      </c>
      <c r="AZ1026" s="1">
        <v>5.4874999999999998</v>
      </c>
      <c r="BB1026" s="1">
        <v>44692</v>
      </c>
      <c r="BC1026" s="1">
        <v>5.75</v>
      </c>
      <c r="BD1026" s="1">
        <v>44711</v>
      </c>
      <c r="BE1026" s="1">
        <v>6.17</v>
      </c>
      <c r="BF1026" s="1">
        <v>44768</v>
      </c>
      <c r="BG1026" s="1">
        <v>7.47</v>
      </c>
      <c r="BH1026" s="1">
        <v>44768</v>
      </c>
      <c r="BI1026" s="1">
        <v>7.4749999999999996</v>
      </c>
      <c r="BJ1026" s="1">
        <v>44768</v>
      </c>
      <c r="BK1026" s="1">
        <v>7.55</v>
      </c>
      <c r="BL1026" s="1">
        <v>44768</v>
      </c>
      <c r="BM1026" s="1">
        <v>7.44</v>
      </c>
      <c r="BN1026" s="1">
        <v>44767</v>
      </c>
      <c r="BO1026" s="1">
        <v>7.1879999999999997</v>
      </c>
      <c r="BP1026" s="1">
        <v>44768</v>
      </c>
      <c r="BQ1026" s="1">
        <v>6.64</v>
      </c>
      <c r="BR1026" s="1">
        <v>44768</v>
      </c>
      <c r="BS1026" s="1">
        <v>5.9829999999999997</v>
      </c>
      <c r="BT1026" s="1">
        <v>44768</v>
      </c>
      <c r="BU1026" s="1">
        <v>5.4349999999999996</v>
      </c>
      <c r="BV1026" s="1">
        <v>44768</v>
      </c>
      <c r="BW1026" s="1">
        <v>5.085</v>
      </c>
      <c r="BY1026" s="1">
        <v>44697</v>
      </c>
      <c r="BZ1026" s="1">
        <v>5.4</v>
      </c>
      <c r="CA1026" s="1">
        <v>44705</v>
      </c>
      <c r="CB1026" s="1">
        <v>6.81</v>
      </c>
      <c r="CC1026" s="1">
        <v>44768</v>
      </c>
      <c r="CD1026" s="1">
        <v>12.117000000000001</v>
      </c>
      <c r="CE1026" s="1">
        <v>44768</v>
      </c>
      <c r="CF1026" s="1">
        <v>12.7</v>
      </c>
      <c r="CG1026" s="1">
        <v>44768</v>
      </c>
      <c r="CH1026" s="1">
        <v>12.9</v>
      </c>
      <c r="CI1026" s="1">
        <v>44768</v>
      </c>
      <c r="CJ1026" s="1">
        <v>12.95</v>
      </c>
      <c r="CK1026" s="1">
        <v>44768</v>
      </c>
      <c r="CL1026" s="1">
        <v>12.65</v>
      </c>
      <c r="CM1026" s="1">
        <v>44768</v>
      </c>
      <c r="CN1026" s="1">
        <v>12.29</v>
      </c>
      <c r="CO1026" s="1">
        <v>44760</v>
      </c>
      <c r="CP1026" s="1">
        <v>11.78</v>
      </c>
      <c r="CQ1026" s="1">
        <v>44760</v>
      </c>
      <c r="CR1026" s="1">
        <v>10.42</v>
      </c>
      <c r="CS1026" s="1">
        <v>44760</v>
      </c>
      <c r="CT1026" s="1">
        <v>9.61</v>
      </c>
    </row>
    <row r="1027" spans="31:98" x14ac:dyDescent="0.2">
      <c r="AE1027" s="1">
        <v>44757</v>
      </c>
      <c r="AF1027" s="1">
        <v>6.5</v>
      </c>
      <c r="AG1027" s="1">
        <v>44711</v>
      </c>
      <c r="AH1027" s="1">
        <v>6.56</v>
      </c>
      <c r="AI1027" s="1">
        <v>44767</v>
      </c>
      <c r="AJ1027" s="1">
        <v>7.1230000000000002</v>
      </c>
      <c r="AK1027" s="1">
        <v>44767</v>
      </c>
      <c r="AL1027" s="1">
        <v>7.3049999999999997</v>
      </c>
      <c r="AM1027" s="1">
        <v>44767</v>
      </c>
      <c r="AN1027" s="1">
        <v>7.33</v>
      </c>
      <c r="AO1027" s="1">
        <v>44767</v>
      </c>
      <c r="AP1027" s="1">
        <v>7.45</v>
      </c>
      <c r="AQ1027" s="1">
        <v>44767</v>
      </c>
      <c r="AR1027" s="1">
        <v>7.25</v>
      </c>
      <c r="AS1027" s="1">
        <v>44767</v>
      </c>
      <c r="AT1027" s="1">
        <v>6.8550000000000004</v>
      </c>
      <c r="AU1027" s="1">
        <v>44767</v>
      </c>
      <c r="AV1027" s="1">
        <v>6.45</v>
      </c>
      <c r="AW1027" s="1">
        <v>44767</v>
      </c>
      <c r="AX1027" s="1">
        <v>6.08</v>
      </c>
      <c r="AY1027" s="1">
        <v>44767</v>
      </c>
      <c r="AZ1027" s="1">
        <v>5.68</v>
      </c>
      <c r="BB1027" s="1">
        <v>44691</v>
      </c>
      <c r="BC1027" s="1">
        <v>5.75</v>
      </c>
      <c r="BD1027" s="1">
        <v>44708</v>
      </c>
      <c r="BE1027" s="1">
        <v>6.15</v>
      </c>
      <c r="BF1027" s="1">
        <v>44767</v>
      </c>
      <c r="BG1027" s="1">
        <v>7.4749999999999996</v>
      </c>
      <c r="BH1027" s="1">
        <v>44767</v>
      </c>
      <c r="BI1027" s="1">
        <v>7.4749999999999996</v>
      </c>
      <c r="BJ1027" s="1">
        <v>44767</v>
      </c>
      <c r="BK1027" s="1">
        <v>7.56</v>
      </c>
      <c r="BL1027" s="1">
        <v>44767</v>
      </c>
      <c r="BM1027" s="1">
        <v>7.52</v>
      </c>
      <c r="BN1027" s="1">
        <v>44764</v>
      </c>
      <c r="BO1027" s="1">
        <v>7.2750000000000004</v>
      </c>
      <c r="BP1027" s="1">
        <v>44767</v>
      </c>
      <c r="BQ1027" s="1">
        <v>6.8380000000000001</v>
      </c>
      <c r="BR1027" s="1">
        <v>44767</v>
      </c>
      <c r="BS1027" s="1">
        <v>6.165</v>
      </c>
      <c r="BT1027" s="1">
        <v>44767</v>
      </c>
      <c r="BU1027" s="1">
        <v>5.61</v>
      </c>
      <c r="BV1027" s="1">
        <v>44767</v>
      </c>
      <c r="BW1027" s="1">
        <v>5.2629999999999999</v>
      </c>
      <c r="BY1027" s="1">
        <v>44694</v>
      </c>
      <c r="BZ1027" s="1">
        <v>5.4</v>
      </c>
      <c r="CA1027" s="1">
        <v>44704</v>
      </c>
      <c r="CB1027" s="1">
        <v>6.81</v>
      </c>
      <c r="CC1027" s="1">
        <v>44767</v>
      </c>
      <c r="CD1027" s="1">
        <v>12</v>
      </c>
      <c r="CE1027" s="1">
        <v>44767</v>
      </c>
      <c r="CF1027" s="1">
        <v>12.515000000000001</v>
      </c>
      <c r="CG1027" s="1">
        <v>44767</v>
      </c>
      <c r="CH1027" s="1">
        <v>12.63</v>
      </c>
      <c r="CI1027" s="1">
        <v>44767</v>
      </c>
      <c r="CJ1027" s="1">
        <v>12.68</v>
      </c>
      <c r="CK1027" s="1">
        <v>44767</v>
      </c>
      <c r="CL1027" s="1">
        <v>12.43</v>
      </c>
      <c r="CM1027" s="1">
        <v>44767</v>
      </c>
      <c r="CN1027" s="1">
        <v>12.19</v>
      </c>
      <c r="CO1027" s="1">
        <v>44757</v>
      </c>
      <c r="CP1027" s="1">
        <v>11.92</v>
      </c>
      <c r="CQ1027" s="1">
        <v>44757</v>
      </c>
      <c r="CR1027" s="1">
        <v>10.56</v>
      </c>
      <c r="CS1027" s="1">
        <v>44757</v>
      </c>
      <c r="CT1027" s="1">
        <v>9.75</v>
      </c>
    </row>
    <row r="1028" spans="31:98" x14ac:dyDescent="0.2">
      <c r="AE1028" s="1">
        <v>44756</v>
      </c>
      <c r="AF1028" s="1">
        <v>6.5</v>
      </c>
      <c r="AG1028" s="1">
        <v>44708</v>
      </c>
      <c r="AH1028" s="1">
        <v>6.54</v>
      </c>
      <c r="AI1028" s="1">
        <v>44764</v>
      </c>
      <c r="AJ1028" s="1">
        <v>7.0910000000000002</v>
      </c>
      <c r="AK1028" s="1">
        <v>44764</v>
      </c>
      <c r="AL1028" s="1">
        <v>7.32</v>
      </c>
      <c r="AM1028" s="1">
        <v>44764</v>
      </c>
      <c r="AN1028" s="1">
        <v>7.375</v>
      </c>
      <c r="AO1028" s="1">
        <v>44764</v>
      </c>
      <c r="AP1028" s="1">
        <v>7.44</v>
      </c>
      <c r="AQ1028" s="1">
        <v>44764</v>
      </c>
      <c r="AR1028" s="1">
        <v>7.2750000000000004</v>
      </c>
      <c r="AS1028" s="1">
        <v>44764</v>
      </c>
      <c r="AT1028" s="1">
        <v>6.88</v>
      </c>
      <c r="AU1028" s="1">
        <v>44764</v>
      </c>
      <c r="AV1028" s="1">
        <v>6.4550000000000001</v>
      </c>
      <c r="AW1028" s="1">
        <v>44764</v>
      </c>
      <c r="AX1028" s="1">
        <v>6.04</v>
      </c>
      <c r="AY1028" s="1">
        <v>44764</v>
      </c>
      <c r="AZ1028" s="1">
        <v>5.6449999999999996</v>
      </c>
      <c r="BB1028" s="1">
        <v>44690</v>
      </c>
      <c r="BC1028" s="1">
        <v>5.75</v>
      </c>
      <c r="BD1028" s="1">
        <v>44707</v>
      </c>
      <c r="BE1028" s="1">
        <v>6.14</v>
      </c>
      <c r="BF1028" s="1">
        <v>44764</v>
      </c>
      <c r="BG1028" s="1">
        <v>7.5049999999999999</v>
      </c>
      <c r="BH1028" s="1">
        <v>44764</v>
      </c>
      <c r="BI1028" s="1">
        <v>7.51</v>
      </c>
      <c r="BJ1028" s="1">
        <v>44764</v>
      </c>
      <c r="BK1028" s="1">
        <v>7.6</v>
      </c>
      <c r="BL1028" s="1">
        <v>44764</v>
      </c>
      <c r="BM1028" s="1">
        <v>7.585</v>
      </c>
      <c r="BN1028" s="1">
        <v>44763</v>
      </c>
      <c r="BO1028" s="1">
        <v>7.45</v>
      </c>
      <c r="BP1028" s="1">
        <v>44764</v>
      </c>
      <c r="BQ1028" s="1">
        <v>6.91</v>
      </c>
      <c r="BR1028" s="1">
        <v>44764</v>
      </c>
      <c r="BS1028" s="1">
        <v>6.2380000000000004</v>
      </c>
      <c r="BT1028" s="1">
        <v>44764</v>
      </c>
      <c r="BU1028" s="1">
        <v>5.673</v>
      </c>
      <c r="BV1028" s="1">
        <v>44764</v>
      </c>
      <c r="BW1028" s="1">
        <v>5.3250000000000002</v>
      </c>
      <c r="BY1028" s="1">
        <v>44693</v>
      </c>
      <c r="BZ1028" s="1">
        <v>5.4</v>
      </c>
      <c r="CA1028" s="1">
        <v>44701</v>
      </c>
      <c r="CB1028" s="1">
        <v>6.81</v>
      </c>
      <c r="CC1028" s="1">
        <v>44764</v>
      </c>
      <c r="CD1028" s="1">
        <v>12.2</v>
      </c>
      <c r="CE1028" s="1">
        <v>44764</v>
      </c>
      <c r="CF1028" s="1">
        <v>12.805</v>
      </c>
      <c r="CG1028" s="1">
        <v>44764</v>
      </c>
      <c r="CH1028" s="1">
        <v>13.03</v>
      </c>
      <c r="CI1028" s="1">
        <v>44764</v>
      </c>
      <c r="CJ1028" s="1">
        <v>13.08</v>
      </c>
      <c r="CK1028" s="1">
        <v>44764</v>
      </c>
      <c r="CL1028" s="1">
        <v>12.78</v>
      </c>
      <c r="CM1028" s="1">
        <v>44764</v>
      </c>
      <c r="CN1028" s="1">
        <v>12.54</v>
      </c>
      <c r="CO1028" s="1">
        <v>44756</v>
      </c>
      <c r="CP1028" s="1">
        <v>11.75</v>
      </c>
      <c r="CQ1028" s="1">
        <v>44756</v>
      </c>
      <c r="CR1028" s="1">
        <v>10.39</v>
      </c>
      <c r="CS1028" s="1">
        <v>44756</v>
      </c>
      <c r="CT1028" s="1">
        <v>9.58</v>
      </c>
    </row>
    <row r="1029" spans="31:98" x14ac:dyDescent="0.2">
      <c r="AE1029" s="1">
        <v>44755</v>
      </c>
      <c r="AF1029" s="1">
        <v>6.5</v>
      </c>
      <c r="AG1029" s="1">
        <v>44707</v>
      </c>
      <c r="AH1029" s="1">
        <v>6.53</v>
      </c>
      <c r="AI1029" s="1">
        <v>44763</v>
      </c>
      <c r="AJ1029" s="1">
        <v>7.08</v>
      </c>
      <c r="AK1029" s="1">
        <v>44763</v>
      </c>
      <c r="AL1029" s="1">
        <v>7.2850000000000001</v>
      </c>
      <c r="AM1029" s="1">
        <v>44763</v>
      </c>
      <c r="AN1029" s="1">
        <v>7.38</v>
      </c>
      <c r="AO1029" s="1">
        <v>44763</v>
      </c>
      <c r="AP1029" s="1">
        <v>7.5</v>
      </c>
      <c r="AQ1029" s="1">
        <v>44763</v>
      </c>
      <c r="AR1029" s="1">
        <v>7.37</v>
      </c>
      <c r="AS1029" s="1">
        <v>44763</v>
      </c>
      <c r="AT1029" s="1">
        <v>6.9749999999999996</v>
      </c>
      <c r="AU1029" s="1">
        <v>44763</v>
      </c>
      <c r="AV1029" s="1">
        <v>6.61</v>
      </c>
      <c r="AW1029" s="1">
        <v>44763</v>
      </c>
      <c r="AX1029" s="1">
        <v>6.2649999999999997</v>
      </c>
      <c r="AY1029" s="1">
        <v>44763</v>
      </c>
      <c r="AZ1029" s="1">
        <v>5.91</v>
      </c>
      <c r="BB1029" s="1">
        <v>44687</v>
      </c>
      <c r="BC1029" s="1">
        <v>5.75</v>
      </c>
      <c r="BD1029" s="1">
        <v>44706</v>
      </c>
      <c r="BE1029" s="1">
        <v>6.13</v>
      </c>
      <c r="BF1029" s="1">
        <v>44763</v>
      </c>
      <c r="BG1029" s="1">
        <v>7.5750000000000002</v>
      </c>
      <c r="BH1029" s="1">
        <v>44763</v>
      </c>
      <c r="BI1029" s="1">
        <v>7.58</v>
      </c>
      <c r="BJ1029" s="1">
        <v>44763</v>
      </c>
      <c r="BK1029" s="1">
        <v>7.7050000000000001</v>
      </c>
      <c r="BL1029" s="1">
        <v>44763</v>
      </c>
      <c r="BM1029" s="1">
        <v>7.73</v>
      </c>
      <c r="BN1029" s="1">
        <v>44762</v>
      </c>
      <c r="BO1029" s="1">
        <v>7.4349999999999996</v>
      </c>
      <c r="BP1029" s="1">
        <v>44763</v>
      </c>
      <c r="BQ1029" s="1">
        <v>7.0750000000000002</v>
      </c>
      <c r="BR1029" s="1">
        <v>44763</v>
      </c>
      <c r="BS1029" s="1">
        <v>6.4</v>
      </c>
      <c r="BT1029" s="1">
        <v>44763</v>
      </c>
      <c r="BU1029" s="1">
        <v>5.8250000000000002</v>
      </c>
      <c r="BV1029" s="1">
        <v>44763</v>
      </c>
      <c r="BW1029" s="1">
        <v>5.4749999999999996</v>
      </c>
      <c r="BY1029" s="1">
        <v>44692</v>
      </c>
      <c r="BZ1029" s="1">
        <v>5.4</v>
      </c>
      <c r="CA1029" s="1">
        <v>44700</v>
      </c>
      <c r="CB1029" s="1">
        <v>6.81</v>
      </c>
      <c r="CC1029" s="1">
        <v>44763</v>
      </c>
      <c r="CD1029" s="1">
        <v>12.255000000000001</v>
      </c>
      <c r="CE1029" s="1">
        <v>44763</v>
      </c>
      <c r="CF1029" s="1">
        <v>12.9</v>
      </c>
      <c r="CG1029" s="1">
        <v>44763</v>
      </c>
      <c r="CH1029" s="1">
        <v>13.16</v>
      </c>
      <c r="CI1029" s="1">
        <v>44763</v>
      </c>
      <c r="CJ1029" s="1">
        <v>13.21</v>
      </c>
      <c r="CK1029" s="1">
        <v>44763</v>
      </c>
      <c r="CL1029" s="1">
        <v>12.98</v>
      </c>
      <c r="CM1029" s="1">
        <v>44763</v>
      </c>
      <c r="CN1029" s="1">
        <v>12.68</v>
      </c>
      <c r="CO1029" s="1">
        <v>44755</v>
      </c>
      <c r="CP1029" s="1">
        <v>11.98</v>
      </c>
      <c r="CQ1029" s="1">
        <v>44755</v>
      </c>
      <c r="CR1029" s="1">
        <v>10.62</v>
      </c>
      <c r="CS1029" s="1">
        <v>44755</v>
      </c>
      <c r="CT1029" s="1">
        <v>9.81</v>
      </c>
    </row>
    <row r="1030" spans="31:98" x14ac:dyDescent="0.2">
      <c r="AE1030" s="1">
        <v>44754</v>
      </c>
      <c r="AF1030" s="1">
        <v>6.5</v>
      </c>
      <c r="AG1030" s="1">
        <v>44706</v>
      </c>
      <c r="AH1030" s="1">
        <v>6.51</v>
      </c>
      <c r="AI1030" s="1">
        <v>44762</v>
      </c>
      <c r="AJ1030" s="1">
        <v>7.14</v>
      </c>
      <c r="AK1030" s="1">
        <v>44762</v>
      </c>
      <c r="AL1030" s="1">
        <v>7.4249999999999998</v>
      </c>
      <c r="AM1030" s="1">
        <v>44762</v>
      </c>
      <c r="AN1030" s="1">
        <v>7.4850000000000003</v>
      </c>
      <c r="AO1030" s="1">
        <v>44762</v>
      </c>
      <c r="AP1030" s="1">
        <v>7.5949999999999998</v>
      </c>
      <c r="AQ1030" s="1">
        <v>44762</v>
      </c>
      <c r="AR1030" s="1">
        <v>7.48</v>
      </c>
      <c r="AS1030" s="1">
        <v>44762</v>
      </c>
      <c r="AT1030" s="1">
        <v>7.1550000000000002</v>
      </c>
      <c r="AU1030" s="1">
        <v>44762</v>
      </c>
      <c r="AV1030" s="1">
        <v>6.82</v>
      </c>
      <c r="AW1030" s="1">
        <v>44762</v>
      </c>
      <c r="AX1030" s="1">
        <v>6.48</v>
      </c>
      <c r="AY1030" s="1">
        <v>44762</v>
      </c>
      <c r="AZ1030" s="1">
        <v>6.14</v>
      </c>
      <c r="BB1030" s="1">
        <v>44686</v>
      </c>
      <c r="BC1030" s="1">
        <v>5</v>
      </c>
      <c r="BD1030" s="1">
        <v>44705</v>
      </c>
      <c r="BE1030" s="1">
        <v>6.11</v>
      </c>
      <c r="BF1030" s="1">
        <v>44762</v>
      </c>
      <c r="BG1030" s="1">
        <v>7.59</v>
      </c>
      <c r="BH1030" s="1">
        <v>44762</v>
      </c>
      <c r="BI1030" s="1">
        <v>7.5650000000000004</v>
      </c>
      <c r="BJ1030" s="1">
        <v>44762</v>
      </c>
      <c r="BK1030" s="1">
        <v>7.71</v>
      </c>
      <c r="BL1030" s="1">
        <v>44762</v>
      </c>
      <c r="BM1030" s="1">
        <v>7.7350000000000003</v>
      </c>
      <c r="BN1030" s="1">
        <v>44761</v>
      </c>
      <c r="BO1030" s="1">
        <v>7.6849999999999996</v>
      </c>
      <c r="BP1030" s="1">
        <v>44762</v>
      </c>
      <c r="BQ1030" s="1">
        <v>7.0449999999999999</v>
      </c>
      <c r="BR1030" s="1">
        <v>44762</v>
      </c>
      <c r="BS1030" s="1">
        <v>6.37</v>
      </c>
      <c r="BT1030" s="1">
        <v>44762</v>
      </c>
      <c r="BU1030" s="1">
        <v>5.7629999999999999</v>
      </c>
      <c r="BV1030" s="1">
        <v>44762</v>
      </c>
      <c r="BW1030" s="1">
        <v>5.38</v>
      </c>
      <c r="BY1030" s="1">
        <v>44691</v>
      </c>
      <c r="BZ1030" s="1">
        <v>5.4</v>
      </c>
      <c r="CA1030" s="1">
        <v>44699</v>
      </c>
      <c r="CB1030" s="1">
        <v>6.81</v>
      </c>
      <c r="CC1030" s="1">
        <v>44762</v>
      </c>
      <c r="CD1030" s="1">
        <v>12.16</v>
      </c>
      <c r="CE1030" s="1">
        <v>44762</v>
      </c>
      <c r="CF1030" s="1">
        <v>12.66</v>
      </c>
      <c r="CG1030" s="1">
        <v>44762</v>
      </c>
      <c r="CH1030" s="1">
        <v>12.85</v>
      </c>
      <c r="CI1030" s="1">
        <v>44762</v>
      </c>
      <c r="CJ1030" s="1">
        <v>12.9</v>
      </c>
      <c r="CK1030" s="1">
        <v>44762</v>
      </c>
      <c r="CL1030" s="1">
        <v>12.68</v>
      </c>
      <c r="CM1030" s="1">
        <v>44762</v>
      </c>
      <c r="CN1030" s="1">
        <v>12.39</v>
      </c>
      <c r="CO1030" s="1">
        <v>44754</v>
      </c>
      <c r="CP1030" s="1">
        <v>11.23</v>
      </c>
      <c r="CQ1030" s="1">
        <v>44754</v>
      </c>
      <c r="CR1030" s="1">
        <v>10.06</v>
      </c>
      <c r="CS1030" s="1">
        <v>44754</v>
      </c>
      <c r="CT1030" s="1">
        <v>9.25</v>
      </c>
    </row>
    <row r="1031" spans="31:98" x14ac:dyDescent="0.2">
      <c r="AE1031" s="1">
        <v>44753</v>
      </c>
      <c r="AF1031" s="1">
        <v>6.5</v>
      </c>
      <c r="AG1031" s="1">
        <v>44705</v>
      </c>
      <c r="AH1031" s="1">
        <v>6.5</v>
      </c>
      <c r="AI1031" s="1">
        <v>44761</v>
      </c>
      <c r="AJ1031" s="1">
        <v>7.1219999999999999</v>
      </c>
      <c r="AK1031" s="1">
        <v>44761</v>
      </c>
      <c r="AL1031" s="1">
        <v>7.4050000000000002</v>
      </c>
      <c r="AM1031" s="1">
        <v>44761</v>
      </c>
      <c r="AN1031" s="1">
        <v>7.54</v>
      </c>
      <c r="AO1031" s="1">
        <v>44761</v>
      </c>
      <c r="AP1031" s="1">
        <v>7.62</v>
      </c>
      <c r="AQ1031" s="1">
        <v>44761</v>
      </c>
      <c r="AR1031" s="1">
        <v>7.5</v>
      </c>
      <c r="AS1031" s="1">
        <v>44761</v>
      </c>
      <c r="AT1031" s="1">
        <v>7.19</v>
      </c>
      <c r="AU1031" s="1">
        <v>44761</v>
      </c>
      <c r="AV1031" s="1">
        <v>6.915</v>
      </c>
      <c r="AW1031" s="1">
        <v>44761</v>
      </c>
      <c r="AX1031" s="1">
        <v>6.59</v>
      </c>
      <c r="AY1031" s="1">
        <v>44761</v>
      </c>
      <c r="AZ1031" s="1">
        <v>6.28</v>
      </c>
      <c r="BB1031" s="1">
        <v>44685</v>
      </c>
      <c r="BC1031" s="1">
        <v>5</v>
      </c>
      <c r="BD1031" s="1">
        <v>44704</v>
      </c>
      <c r="BE1031" s="1">
        <v>6.08</v>
      </c>
      <c r="BF1031" s="1">
        <v>44761</v>
      </c>
      <c r="BG1031" s="1">
        <v>7.6050000000000004</v>
      </c>
      <c r="BH1031" s="1">
        <v>44761</v>
      </c>
      <c r="BI1031" s="1">
        <v>7.6449999999999996</v>
      </c>
      <c r="BJ1031" s="1">
        <v>44761</v>
      </c>
      <c r="BK1031" s="1">
        <v>7.8650000000000002</v>
      </c>
      <c r="BL1031" s="1">
        <v>44761</v>
      </c>
      <c r="BM1031" s="1">
        <v>7.9749999999999996</v>
      </c>
      <c r="BN1031" s="1">
        <v>44760</v>
      </c>
      <c r="BO1031" s="1">
        <v>7.78</v>
      </c>
      <c r="BP1031" s="1">
        <v>44761</v>
      </c>
      <c r="BQ1031" s="1">
        <v>7.32</v>
      </c>
      <c r="BR1031" s="1">
        <v>44761</v>
      </c>
      <c r="BS1031" s="1">
        <v>6.5279999999999996</v>
      </c>
      <c r="BT1031" s="1">
        <v>44761</v>
      </c>
      <c r="BU1031" s="1">
        <v>5.8079999999999998</v>
      </c>
      <c r="BV1031" s="1">
        <v>44761</v>
      </c>
      <c r="BW1031" s="1">
        <v>5.3879999999999999</v>
      </c>
      <c r="BY1031" s="1">
        <v>44690</v>
      </c>
      <c r="BZ1031" s="1">
        <v>5.4</v>
      </c>
      <c r="CA1031" s="1">
        <v>44698</v>
      </c>
      <c r="CB1031" s="1">
        <v>6.81</v>
      </c>
      <c r="CC1031" s="1">
        <v>44761</v>
      </c>
      <c r="CD1031" s="1">
        <v>12.316000000000001</v>
      </c>
      <c r="CE1031" s="1">
        <v>44761</v>
      </c>
      <c r="CF1031" s="1">
        <v>12.943</v>
      </c>
      <c r="CG1031" s="1">
        <v>44761</v>
      </c>
      <c r="CH1031" s="1">
        <v>13.25</v>
      </c>
      <c r="CI1031" s="1">
        <v>44761</v>
      </c>
      <c r="CJ1031" s="1">
        <v>13.3</v>
      </c>
      <c r="CK1031" s="1">
        <v>44761</v>
      </c>
      <c r="CL1031" s="1">
        <v>13.2</v>
      </c>
      <c r="CM1031" s="1">
        <v>44761</v>
      </c>
      <c r="CN1031" s="1">
        <v>12.72</v>
      </c>
      <c r="CO1031" s="1">
        <v>44753</v>
      </c>
      <c r="CP1031" s="1">
        <v>10.81</v>
      </c>
      <c r="CQ1031" s="1">
        <v>44753</v>
      </c>
      <c r="CR1031" s="1">
        <v>9.61</v>
      </c>
      <c r="CS1031" s="1">
        <v>44753</v>
      </c>
      <c r="CT1031" s="1">
        <v>8.77</v>
      </c>
    </row>
    <row r="1032" spans="31:98" x14ac:dyDescent="0.2">
      <c r="AE1032" s="1">
        <v>44750</v>
      </c>
      <c r="AF1032" s="1">
        <v>6.5</v>
      </c>
      <c r="AG1032" s="1">
        <v>44704</v>
      </c>
      <c r="AH1032" s="1">
        <v>6.48</v>
      </c>
      <c r="AI1032" s="1">
        <v>44760</v>
      </c>
      <c r="AJ1032" s="1">
        <v>7.1130000000000004</v>
      </c>
      <c r="AK1032" s="1">
        <v>44760</v>
      </c>
      <c r="AL1032" s="1">
        <v>7.4550000000000001</v>
      </c>
      <c r="AM1032" s="1">
        <v>44760</v>
      </c>
      <c r="AN1032" s="1">
        <v>7.6</v>
      </c>
      <c r="AO1032" s="1">
        <v>44760</v>
      </c>
      <c r="AP1032" s="1">
        <v>7.66</v>
      </c>
      <c r="AQ1032" s="1">
        <v>44760</v>
      </c>
      <c r="AR1032" s="1">
        <v>7.5750000000000002</v>
      </c>
      <c r="AS1032" s="1">
        <v>44760</v>
      </c>
      <c r="AT1032" s="1">
        <v>7.2350000000000003</v>
      </c>
      <c r="AU1032" s="1">
        <v>44760</v>
      </c>
      <c r="AV1032" s="1">
        <v>6.9</v>
      </c>
      <c r="AW1032" s="1">
        <v>44760</v>
      </c>
      <c r="AX1032" s="1">
        <v>6.57</v>
      </c>
      <c r="AY1032" s="1">
        <v>44760</v>
      </c>
      <c r="AZ1032" s="1">
        <v>6.2649999999999997</v>
      </c>
      <c r="BB1032" s="1">
        <v>44684</v>
      </c>
      <c r="BC1032" s="1">
        <v>5</v>
      </c>
      <c r="BD1032" s="1">
        <v>44701</v>
      </c>
      <c r="BE1032" s="1">
        <v>6.06</v>
      </c>
      <c r="BF1032" s="1">
        <v>44760</v>
      </c>
      <c r="BG1032" s="1">
        <v>7.63</v>
      </c>
      <c r="BH1032" s="1">
        <v>44760</v>
      </c>
      <c r="BI1032" s="1">
        <v>7.6950000000000003</v>
      </c>
      <c r="BJ1032" s="1">
        <v>44760</v>
      </c>
      <c r="BK1032" s="1">
        <v>7.9850000000000003</v>
      </c>
      <c r="BL1032" s="1">
        <v>44760</v>
      </c>
      <c r="BM1032" s="1">
        <v>8.1150000000000002</v>
      </c>
      <c r="BN1032" s="1">
        <v>44757</v>
      </c>
      <c r="BO1032" s="1">
        <v>7.85</v>
      </c>
      <c r="BP1032" s="1">
        <v>44760</v>
      </c>
      <c r="BQ1032" s="1">
        <v>7.39</v>
      </c>
      <c r="BR1032" s="1">
        <v>44760</v>
      </c>
      <c r="BS1032" s="1">
        <v>6.5049999999999999</v>
      </c>
      <c r="BT1032" s="1">
        <v>44760</v>
      </c>
      <c r="BU1032" s="1">
        <v>5.79</v>
      </c>
      <c r="BV1032" s="1">
        <v>44760</v>
      </c>
      <c r="BW1032" s="1">
        <v>5.26</v>
      </c>
      <c r="BY1032" s="1">
        <v>44687</v>
      </c>
      <c r="BZ1032" s="1">
        <v>5.4</v>
      </c>
      <c r="CA1032" s="1">
        <v>44697</v>
      </c>
      <c r="CB1032" s="1">
        <v>6.81</v>
      </c>
      <c r="CC1032" s="1">
        <v>44760</v>
      </c>
      <c r="CD1032" s="1">
        <v>12.59</v>
      </c>
      <c r="CE1032" s="1">
        <v>44760</v>
      </c>
      <c r="CF1032" s="1">
        <v>13.51</v>
      </c>
      <c r="CG1032" s="1">
        <v>44760</v>
      </c>
      <c r="CH1032" s="1">
        <v>13.65</v>
      </c>
      <c r="CI1032" s="1">
        <v>44760</v>
      </c>
      <c r="CJ1032" s="1">
        <v>13.75</v>
      </c>
      <c r="CK1032" s="1">
        <v>44760</v>
      </c>
      <c r="CL1032" s="1">
        <v>13.55</v>
      </c>
      <c r="CM1032" s="1">
        <v>44760</v>
      </c>
      <c r="CN1032" s="1">
        <v>12.89</v>
      </c>
      <c r="CO1032" s="1">
        <v>44750</v>
      </c>
      <c r="CP1032" s="1">
        <v>10.79</v>
      </c>
      <c r="CQ1032" s="1">
        <v>44750</v>
      </c>
      <c r="CR1032" s="1">
        <v>9.59</v>
      </c>
      <c r="CS1032" s="1">
        <v>44750</v>
      </c>
      <c r="CT1032" s="1">
        <v>8.85</v>
      </c>
    </row>
    <row r="1033" spans="31:98" x14ac:dyDescent="0.2">
      <c r="AE1033" s="1">
        <v>44749</v>
      </c>
      <c r="AF1033" s="1">
        <v>6.5</v>
      </c>
      <c r="AG1033" s="1">
        <v>44701</v>
      </c>
      <c r="AH1033" s="1">
        <v>6.46</v>
      </c>
      <c r="AI1033" s="1">
        <v>44757</v>
      </c>
      <c r="AJ1033" s="1">
        <v>7.3289999999999997</v>
      </c>
      <c r="AK1033" s="1">
        <v>44757</v>
      </c>
      <c r="AL1033" s="1">
        <v>7.7249999999999996</v>
      </c>
      <c r="AM1033" s="1">
        <v>44757</v>
      </c>
      <c r="AN1033" s="1">
        <v>7.8550000000000004</v>
      </c>
      <c r="AO1033" s="1">
        <v>44757</v>
      </c>
      <c r="AP1033" s="1">
        <v>7.9550000000000001</v>
      </c>
      <c r="AQ1033" s="1">
        <v>44757</v>
      </c>
      <c r="AR1033" s="1">
        <v>7.835</v>
      </c>
      <c r="AS1033" s="1">
        <v>44757</v>
      </c>
      <c r="AT1033" s="1">
        <v>7.48</v>
      </c>
      <c r="AU1033" s="1">
        <v>44757</v>
      </c>
      <c r="AV1033" s="1">
        <v>7.12</v>
      </c>
      <c r="AW1033" s="1">
        <v>44757</v>
      </c>
      <c r="AX1033" s="1">
        <v>6.77</v>
      </c>
      <c r="AY1033" s="1">
        <v>44757</v>
      </c>
      <c r="AZ1033" s="1">
        <v>6.4450000000000003</v>
      </c>
      <c r="BB1033" s="1">
        <v>44683</v>
      </c>
      <c r="BC1033" s="1">
        <v>5</v>
      </c>
      <c r="BD1033" s="1">
        <v>44700</v>
      </c>
      <c r="BE1033" s="1">
        <v>6.06</v>
      </c>
      <c r="BF1033" s="1">
        <v>44757</v>
      </c>
      <c r="BG1033" s="1">
        <v>7.64</v>
      </c>
      <c r="BH1033" s="1">
        <v>44757</v>
      </c>
      <c r="BI1033" s="1">
        <v>7.7030000000000003</v>
      </c>
      <c r="BJ1033" s="1">
        <v>44757</v>
      </c>
      <c r="BK1033" s="1">
        <v>7.9950000000000001</v>
      </c>
      <c r="BL1033" s="1">
        <v>44757</v>
      </c>
      <c r="BM1033" s="1">
        <v>8.1549999999999994</v>
      </c>
      <c r="BN1033" s="1">
        <v>44756</v>
      </c>
      <c r="BO1033" s="1">
        <v>7.88</v>
      </c>
      <c r="BP1033" s="1">
        <v>44757</v>
      </c>
      <c r="BQ1033" s="1">
        <v>7.4130000000000003</v>
      </c>
      <c r="BR1033" s="1">
        <v>44757</v>
      </c>
      <c r="BS1033" s="1">
        <v>6.58</v>
      </c>
      <c r="BT1033" s="1">
        <v>44757</v>
      </c>
      <c r="BU1033" s="1">
        <v>5.8730000000000002</v>
      </c>
      <c r="BV1033" s="1">
        <v>44757</v>
      </c>
      <c r="BW1033" s="1">
        <v>5.33</v>
      </c>
      <c r="BY1033" s="1">
        <v>44686</v>
      </c>
      <c r="BZ1033" s="1">
        <v>5.4</v>
      </c>
      <c r="CA1033" s="1">
        <v>44694</v>
      </c>
      <c r="CB1033" s="1">
        <v>6.81</v>
      </c>
      <c r="CC1033" s="1">
        <v>44757</v>
      </c>
      <c r="CD1033" s="1">
        <v>12.567</v>
      </c>
      <c r="CE1033" s="1">
        <v>44757</v>
      </c>
      <c r="CF1033" s="1">
        <v>13.529</v>
      </c>
      <c r="CG1033" s="1">
        <v>44757</v>
      </c>
      <c r="CH1033" s="1">
        <v>13.7</v>
      </c>
      <c r="CI1033" s="1">
        <v>44757</v>
      </c>
      <c r="CJ1033" s="1">
        <v>13.8</v>
      </c>
      <c r="CK1033" s="1">
        <v>44757</v>
      </c>
      <c r="CL1033" s="1">
        <v>13.6</v>
      </c>
      <c r="CM1033" s="1">
        <v>44757</v>
      </c>
      <c r="CN1033" s="1">
        <v>13.03</v>
      </c>
      <c r="CO1033" s="1">
        <v>44749</v>
      </c>
      <c r="CP1033" s="1">
        <v>10.94</v>
      </c>
      <c r="CQ1033" s="1">
        <v>44749</v>
      </c>
      <c r="CR1033" s="1">
        <v>9.74</v>
      </c>
      <c r="CS1033" s="1">
        <v>44749</v>
      </c>
      <c r="CT1033" s="1">
        <v>8.73</v>
      </c>
    </row>
    <row r="1034" spans="31:98" x14ac:dyDescent="0.2">
      <c r="AE1034" s="1">
        <v>44748</v>
      </c>
      <c r="AF1034" s="1">
        <v>6</v>
      </c>
      <c r="AG1034" s="1">
        <v>44700</v>
      </c>
      <c r="AH1034" s="1">
        <v>6.45</v>
      </c>
      <c r="AI1034" s="1">
        <v>44756</v>
      </c>
      <c r="AJ1034" s="1">
        <v>7.42</v>
      </c>
      <c r="AK1034" s="1">
        <v>44756</v>
      </c>
      <c r="AL1034" s="1">
        <v>7.9550000000000001</v>
      </c>
      <c r="AM1034" s="1">
        <v>44756</v>
      </c>
      <c r="AN1034" s="1">
        <v>8.0549999999999997</v>
      </c>
      <c r="AO1034" s="1">
        <v>44756</v>
      </c>
      <c r="AP1034" s="1">
        <v>8.1999999999999993</v>
      </c>
      <c r="AQ1034" s="1">
        <v>44756</v>
      </c>
      <c r="AR1034" s="1">
        <v>8.08</v>
      </c>
      <c r="AS1034" s="1">
        <v>44756</v>
      </c>
      <c r="AT1034" s="1">
        <v>7.6950000000000003</v>
      </c>
      <c r="AU1034" s="1">
        <v>44756</v>
      </c>
      <c r="AV1034" s="1">
        <v>7.2750000000000004</v>
      </c>
      <c r="AW1034" s="1">
        <v>44756</v>
      </c>
      <c r="AX1034" s="1">
        <v>6.8849999999999998</v>
      </c>
      <c r="AY1034" s="1">
        <v>44756</v>
      </c>
      <c r="AZ1034" s="1">
        <v>6.59</v>
      </c>
      <c r="BB1034" s="1">
        <v>44680</v>
      </c>
      <c r="BC1034" s="1">
        <v>5</v>
      </c>
      <c r="BD1034" s="1">
        <v>44699</v>
      </c>
      <c r="BE1034" s="1">
        <v>6.05</v>
      </c>
      <c r="BF1034" s="1">
        <v>44756</v>
      </c>
      <c r="BG1034" s="1">
        <v>7.66</v>
      </c>
      <c r="BH1034" s="1">
        <v>44756</v>
      </c>
      <c r="BI1034" s="1">
        <v>7.7729999999999997</v>
      </c>
      <c r="BJ1034" s="1">
        <v>44756</v>
      </c>
      <c r="BK1034" s="1">
        <v>8.0500000000000007</v>
      </c>
      <c r="BL1034" s="1">
        <v>44756</v>
      </c>
      <c r="BM1034" s="1">
        <v>8.24</v>
      </c>
      <c r="BN1034" s="1">
        <v>44755</v>
      </c>
      <c r="BO1034" s="1">
        <v>7.7050000000000001</v>
      </c>
      <c r="BP1034" s="1">
        <v>44756</v>
      </c>
      <c r="BQ1034" s="1">
        <v>7.43</v>
      </c>
      <c r="BR1034" s="1">
        <v>44756</v>
      </c>
      <c r="BS1034" s="1">
        <v>6.55</v>
      </c>
      <c r="BT1034" s="1">
        <v>44756</v>
      </c>
      <c r="BU1034" s="1">
        <v>5.8179999999999996</v>
      </c>
      <c r="BV1034" s="1">
        <v>44756</v>
      </c>
      <c r="BW1034" s="1">
        <v>5.2380000000000004</v>
      </c>
      <c r="BY1034" s="1">
        <v>44685</v>
      </c>
      <c r="BZ1034" s="1">
        <v>5.4</v>
      </c>
      <c r="CA1034" s="1">
        <v>44693</v>
      </c>
      <c r="CB1034" s="1">
        <v>6.81</v>
      </c>
      <c r="CC1034" s="1">
        <v>44756</v>
      </c>
      <c r="CD1034" s="1">
        <v>12.576000000000001</v>
      </c>
      <c r="CE1034" s="1">
        <v>44756</v>
      </c>
      <c r="CF1034" s="1">
        <v>13.57</v>
      </c>
      <c r="CG1034" s="1">
        <v>44756</v>
      </c>
      <c r="CH1034" s="1">
        <v>13.85</v>
      </c>
      <c r="CI1034" s="1">
        <v>44756</v>
      </c>
      <c r="CJ1034" s="1">
        <v>13.95</v>
      </c>
      <c r="CK1034" s="1">
        <v>44756</v>
      </c>
      <c r="CL1034" s="1">
        <v>13.75</v>
      </c>
      <c r="CM1034" s="1">
        <v>44756</v>
      </c>
      <c r="CN1034" s="1">
        <v>12.86</v>
      </c>
      <c r="CO1034" s="1">
        <v>44748</v>
      </c>
      <c r="CP1034" s="1">
        <v>10.75</v>
      </c>
      <c r="CQ1034" s="1">
        <v>44748</v>
      </c>
      <c r="CR1034" s="1">
        <v>10.1</v>
      </c>
      <c r="CS1034" s="1">
        <v>44748</v>
      </c>
      <c r="CT1034" s="1">
        <v>9.49</v>
      </c>
    </row>
    <row r="1035" spans="31:98" x14ac:dyDescent="0.2">
      <c r="AE1035" s="1">
        <v>44747</v>
      </c>
      <c r="AF1035" s="1">
        <v>6</v>
      </c>
      <c r="AG1035" s="1">
        <v>44699</v>
      </c>
      <c r="AH1035" s="1">
        <v>6.45</v>
      </c>
      <c r="AI1035" s="1">
        <v>44755</v>
      </c>
      <c r="AJ1035" s="1">
        <v>7.391</v>
      </c>
      <c r="AK1035" s="1">
        <v>44755</v>
      </c>
      <c r="AL1035" s="1">
        <v>7.8150000000000004</v>
      </c>
      <c r="AM1035" s="1">
        <v>44755</v>
      </c>
      <c r="AN1035" s="1">
        <v>7.95</v>
      </c>
      <c r="AO1035" s="1">
        <v>44755</v>
      </c>
      <c r="AP1035" s="1">
        <v>8.0749999999999993</v>
      </c>
      <c r="AQ1035" s="1">
        <v>44755</v>
      </c>
      <c r="AR1035" s="1">
        <v>7.99</v>
      </c>
      <c r="AS1035" s="1">
        <v>44755</v>
      </c>
      <c r="AT1035" s="1">
        <v>7.585</v>
      </c>
      <c r="AU1035" s="1">
        <v>44755</v>
      </c>
      <c r="AV1035" s="1">
        <v>7.18</v>
      </c>
      <c r="AW1035" s="1">
        <v>44755</v>
      </c>
      <c r="AX1035" s="1">
        <v>6.79</v>
      </c>
      <c r="AY1035" s="1">
        <v>44755</v>
      </c>
      <c r="AZ1035" s="1">
        <v>6.5049999999999999</v>
      </c>
      <c r="BB1035" s="1">
        <v>44679</v>
      </c>
      <c r="BC1035" s="1">
        <v>5</v>
      </c>
      <c r="BD1035" s="1">
        <v>44698</v>
      </c>
      <c r="BE1035" s="1">
        <v>6.04</v>
      </c>
      <c r="BF1035" s="1">
        <v>44755</v>
      </c>
      <c r="BG1035" s="1">
        <v>7.67</v>
      </c>
      <c r="BH1035" s="1">
        <v>44755</v>
      </c>
      <c r="BI1035" s="1">
        <v>7.718</v>
      </c>
      <c r="BJ1035" s="1">
        <v>44755</v>
      </c>
      <c r="BK1035" s="1">
        <v>7.98</v>
      </c>
      <c r="BL1035" s="1">
        <v>44755</v>
      </c>
      <c r="BM1035" s="1">
        <v>8.1</v>
      </c>
      <c r="BN1035" s="1">
        <v>44754</v>
      </c>
      <c r="BO1035" s="1">
        <v>7.5</v>
      </c>
      <c r="BP1035" s="1">
        <v>44755</v>
      </c>
      <c r="BQ1035" s="1">
        <v>7.23</v>
      </c>
      <c r="BR1035" s="1">
        <v>44755</v>
      </c>
      <c r="BS1035" s="1">
        <v>6.4</v>
      </c>
      <c r="BT1035" s="1">
        <v>44755</v>
      </c>
      <c r="BU1035" s="1">
        <v>5.6779999999999999</v>
      </c>
      <c r="BV1035" s="1">
        <v>44755</v>
      </c>
      <c r="BW1035" s="1">
        <v>5.0979999999999999</v>
      </c>
      <c r="BY1035" s="1">
        <v>44684</v>
      </c>
      <c r="BZ1035" s="1">
        <v>5.4</v>
      </c>
      <c r="CA1035" s="1">
        <v>44692</v>
      </c>
      <c r="CB1035" s="1">
        <v>6.81</v>
      </c>
      <c r="CC1035" s="1">
        <v>44755</v>
      </c>
      <c r="CD1035" s="1">
        <v>12.57</v>
      </c>
      <c r="CE1035" s="1">
        <v>44755</v>
      </c>
      <c r="CF1035" s="1">
        <v>13.58</v>
      </c>
      <c r="CG1035" s="1">
        <v>44755</v>
      </c>
      <c r="CH1035" s="1">
        <v>14</v>
      </c>
      <c r="CI1035" s="1">
        <v>44755</v>
      </c>
      <c r="CJ1035" s="1">
        <v>14.05</v>
      </c>
      <c r="CK1035" s="1">
        <v>44755</v>
      </c>
      <c r="CL1035" s="1">
        <v>13.9</v>
      </c>
      <c r="CM1035" s="1">
        <v>44755</v>
      </c>
      <c r="CN1035" s="1">
        <v>13.09</v>
      </c>
      <c r="CO1035" s="1">
        <v>44747</v>
      </c>
      <c r="CP1035" s="1">
        <v>10.199999999999999</v>
      </c>
      <c r="CQ1035" s="1">
        <v>44747</v>
      </c>
      <c r="CR1035" s="1">
        <v>9.56</v>
      </c>
      <c r="CS1035" s="1">
        <v>44747</v>
      </c>
      <c r="CT1035" s="1">
        <v>8.94</v>
      </c>
    </row>
    <row r="1036" spans="31:98" x14ac:dyDescent="0.2">
      <c r="AE1036" s="1">
        <v>44746</v>
      </c>
      <c r="AF1036" s="1">
        <v>6</v>
      </c>
      <c r="AG1036" s="1">
        <v>44698</v>
      </c>
      <c r="AH1036" s="1">
        <v>6.44</v>
      </c>
      <c r="AI1036" s="1">
        <v>44754</v>
      </c>
      <c r="AJ1036" s="1">
        <v>7.2690000000000001</v>
      </c>
      <c r="AK1036" s="1">
        <v>44754</v>
      </c>
      <c r="AL1036" s="1">
        <v>7.59</v>
      </c>
      <c r="AM1036" s="1">
        <v>44754</v>
      </c>
      <c r="AN1036" s="1">
        <v>7.7</v>
      </c>
      <c r="AO1036" s="1">
        <v>44754</v>
      </c>
      <c r="AP1036" s="1">
        <v>7.78</v>
      </c>
      <c r="AQ1036" s="1">
        <v>44754</v>
      </c>
      <c r="AR1036" s="1">
        <v>7.7249999999999996</v>
      </c>
      <c r="AS1036" s="1">
        <v>44754</v>
      </c>
      <c r="AT1036" s="1">
        <v>7.24</v>
      </c>
      <c r="AU1036" s="1">
        <v>44754</v>
      </c>
      <c r="AV1036" s="1">
        <v>6.8449999999999998</v>
      </c>
      <c r="AW1036" s="1">
        <v>44754</v>
      </c>
      <c r="AX1036" s="1">
        <v>6.4550000000000001</v>
      </c>
      <c r="AY1036" s="1">
        <v>44754</v>
      </c>
      <c r="AZ1036" s="1">
        <v>6.18</v>
      </c>
      <c r="BB1036" s="1">
        <v>44678</v>
      </c>
      <c r="BC1036" s="1">
        <v>5</v>
      </c>
      <c r="BD1036" s="1">
        <v>44697</v>
      </c>
      <c r="BE1036" s="1">
        <v>6.03</v>
      </c>
      <c r="BF1036" s="1">
        <v>44754</v>
      </c>
      <c r="BG1036" s="1">
        <v>7.56</v>
      </c>
      <c r="BH1036" s="1">
        <v>44754</v>
      </c>
      <c r="BI1036" s="1">
        <v>7.62</v>
      </c>
      <c r="BJ1036" s="1">
        <v>44754</v>
      </c>
      <c r="BK1036" s="1">
        <v>7.8550000000000004</v>
      </c>
      <c r="BL1036" s="1">
        <v>44754</v>
      </c>
      <c r="BM1036" s="1">
        <v>7.9349999999999996</v>
      </c>
      <c r="BN1036" s="1">
        <v>44753</v>
      </c>
      <c r="BO1036" s="1">
        <v>7.3250000000000002</v>
      </c>
      <c r="BP1036" s="1">
        <v>44754</v>
      </c>
      <c r="BQ1036" s="1">
        <v>6.9749999999999996</v>
      </c>
      <c r="BR1036" s="1">
        <v>44754</v>
      </c>
      <c r="BS1036" s="1">
        <v>6.1449999999999996</v>
      </c>
      <c r="BT1036" s="1">
        <v>44754</v>
      </c>
      <c r="BU1036" s="1">
        <v>5.4249999999999998</v>
      </c>
      <c r="BV1036" s="1">
        <v>44754</v>
      </c>
      <c r="BW1036" s="1">
        <v>4.84</v>
      </c>
      <c r="BY1036" s="1">
        <v>44683</v>
      </c>
      <c r="BZ1036" s="1">
        <v>5.4</v>
      </c>
      <c r="CA1036" s="1">
        <v>44691</v>
      </c>
      <c r="CB1036" s="1">
        <v>6.8</v>
      </c>
      <c r="CC1036" s="1">
        <v>44754</v>
      </c>
      <c r="CD1036" s="1">
        <v>12.065</v>
      </c>
      <c r="CE1036" s="1">
        <v>44754</v>
      </c>
      <c r="CF1036" s="1">
        <v>12.75</v>
      </c>
      <c r="CG1036" s="1">
        <v>44754</v>
      </c>
      <c r="CH1036" s="1">
        <v>13.15</v>
      </c>
      <c r="CI1036" s="1">
        <v>44754</v>
      </c>
      <c r="CJ1036" s="1">
        <v>13.25</v>
      </c>
      <c r="CK1036" s="1">
        <v>44754</v>
      </c>
      <c r="CL1036" s="1">
        <v>13.05</v>
      </c>
      <c r="CM1036" s="1">
        <v>44754</v>
      </c>
      <c r="CN1036" s="1">
        <v>12.38</v>
      </c>
      <c r="CO1036" s="1">
        <v>44746</v>
      </c>
      <c r="CP1036" s="1">
        <v>9.6999999999999993</v>
      </c>
      <c r="CQ1036" s="1">
        <v>44746</v>
      </c>
      <c r="CR1036" s="1">
        <v>9.1</v>
      </c>
      <c r="CS1036" s="1">
        <v>44746</v>
      </c>
      <c r="CT1036" s="1">
        <v>8.52</v>
      </c>
    </row>
    <row r="1037" spans="31:98" x14ac:dyDescent="0.2">
      <c r="AE1037" s="1">
        <v>44743</v>
      </c>
      <c r="AF1037" s="1">
        <v>6</v>
      </c>
      <c r="AG1037" s="1">
        <v>44697</v>
      </c>
      <c r="AH1037" s="1">
        <v>6.42</v>
      </c>
      <c r="AI1037" s="1">
        <v>44753</v>
      </c>
      <c r="AJ1037" s="1">
        <v>7.09</v>
      </c>
      <c r="AK1037" s="1">
        <v>44753</v>
      </c>
      <c r="AL1037" s="1">
        <v>7.3449999999999998</v>
      </c>
      <c r="AM1037" s="1">
        <v>44753</v>
      </c>
      <c r="AN1037" s="1">
        <v>7.4249999999999998</v>
      </c>
      <c r="AO1037" s="1">
        <v>44753</v>
      </c>
      <c r="AP1037" s="1">
        <v>7.51</v>
      </c>
      <c r="AQ1037" s="1">
        <v>44753</v>
      </c>
      <c r="AR1037" s="1">
        <v>7.3650000000000002</v>
      </c>
      <c r="AS1037" s="1">
        <v>44753</v>
      </c>
      <c r="AT1037" s="1">
        <v>6.88</v>
      </c>
      <c r="AU1037" s="1">
        <v>44753</v>
      </c>
      <c r="AV1037" s="1">
        <v>6.5149999999999997</v>
      </c>
      <c r="AW1037" s="1">
        <v>44753</v>
      </c>
      <c r="AX1037" s="1">
        <v>6.1449999999999996</v>
      </c>
      <c r="AY1037" s="1">
        <v>44753</v>
      </c>
      <c r="AZ1037" s="1">
        <v>5.88</v>
      </c>
      <c r="BB1037" s="1">
        <v>44677</v>
      </c>
      <c r="BC1037" s="1">
        <v>5</v>
      </c>
      <c r="BD1037" s="1">
        <v>44694</v>
      </c>
      <c r="BE1037" s="1">
        <v>6.03</v>
      </c>
      <c r="BF1037" s="1">
        <v>44753</v>
      </c>
      <c r="BG1037" s="1">
        <v>7.54</v>
      </c>
      <c r="BH1037" s="1">
        <v>44753</v>
      </c>
      <c r="BI1037" s="1">
        <v>7.6029999999999998</v>
      </c>
      <c r="BJ1037" s="1">
        <v>44753</v>
      </c>
      <c r="BK1037" s="1">
        <v>7.77</v>
      </c>
      <c r="BL1037" s="1">
        <v>44753</v>
      </c>
      <c r="BM1037" s="1">
        <v>7.79</v>
      </c>
      <c r="BN1037" s="1">
        <v>44750</v>
      </c>
      <c r="BO1037" s="1">
        <v>7.3680000000000003</v>
      </c>
      <c r="BP1037" s="1">
        <v>44753</v>
      </c>
      <c r="BQ1037" s="1">
        <v>6.8529999999999998</v>
      </c>
      <c r="BR1037" s="1">
        <v>44753</v>
      </c>
      <c r="BS1037" s="1">
        <v>5.9850000000000003</v>
      </c>
      <c r="BT1037" s="1">
        <v>44753</v>
      </c>
      <c r="BU1037" s="1">
        <v>5.28</v>
      </c>
      <c r="BV1037" s="1">
        <v>44753</v>
      </c>
      <c r="BW1037" s="1">
        <v>4.6879999999999997</v>
      </c>
      <c r="BY1037" s="1">
        <v>44680</v>
      </c>
      <c r="BZ1037" s="1">
        <v>5.4</v>
      </c>
      <c r="CA1037" s="1">
        <v>44690</v>
      </c>
      <c r="CB1037" s="1">
        <v>6.8</v>
      </c>
      <c r="CC1037" s="1">
        <v>44753</v>
      </c>
      <c r="CD1037" s="1">
        <v>11.47</v>
      </c>
      <c r="CE1037" s="1">
        <v>44753</v>
      </c>
      <c r="CF1037" s="1">
        <v>12.04</v>
      </c>
      <c r="CG1037" s="1">
        <v>44753</v>
      </c>
      <c r="CH1037" s="1">
        <v>12.57</v>
      </c>
      <c r="CI1037" s="1">
        <v>44753</v>
      </c>
      <c r="CJ1037" s="1">
        <v>12.66</v>
      </c>
      <c r="CK1037" s="1">
        <v>44753</v>
      </c>
      <c r="CL1037" s="1">
        <v>12.41</v>
      </c>
      <c r="CM1037" s="1">
        <v>44753</v>
      </c>
      <c r="CN1037" s="1">
        <v>11.86</v>
      </c>
      <c r="CO1037" s="1">
        <v>44743</v>
      </c>
      <c r="CP1037" s="1">
        <v>9.5399999999999991</v>
      </c>
      <c r="CQ1037" s="1">
        <v>44743</v>
      </c>
      <c r="CR1037" s="1">
        <v>8.94</v>
      </c>
      <c r="CS1037" s="1">
        <v>44743</v>
      </c>
      <c r="CT1037" s="1">
        <v>8.4600000000000009</v>
      </c>
    </row>
    <row r="1038" spans="31:98" x14ac:dyDescent="0.2">
      <c r="AE1038" s="1">
        <v>44742</v>
      </c>
      <c r="AF1038" s="1">
        <v>6</v>
      </c>
      <c r="AG1038" s="1">
        <v>44694</v>
      </c>
      <c r="AH1038" s="1">
        <v>6.41</v>
      </c>
      <c r="AI1038" s="1">
        <v>44750</v>
      </c>
      <c r="AJ1038" s="1">
        <v>7.2249999999999996</v>
      </c>
      <c r="AK1038" s="1">
        <v>44750</v>
      </c>
      <c r="AL1038" s="1">
        <v>7.36</v>
      </c>
      <c r="AM1038" s="1">
        <v>44750</v>
      </c>
      <c r="AN1038" s="1">
        <v>7.5049999999999999</v>
      </c>
      <c r="AO1038" s="1">
        <v>44750</v>
      </c>
      <c r="AP1038" s="1">
        <v>7.5650000000000004</v>
      </c>
      <c r="AQ1038" s="1">
        <v>44750</v>
      </c>
      <c r="AR1038" s="1">
        <v>7.43</v>
      </c>
      <c r="AS1038" s="1">
        <v>44750</v>
      </c>
      <c r="AT1038" s="1">
        <v>7.12</v>
      </c>
      <c r="AU1038" s="1">
        <v>44750</v>
      </c>
      <c r="AV1038" s="1">
        <v>6.75</v>
      </c>
      <c r="AW1038" s="1">
        <v>44750</v>
      </c>
      <c r="AX1038" s="1">
        <v>6.32</v>
      </c>
      <c r="AY1038" s="1">
        <v>44750</v>
      </c>
      <c r="AZ1038" s="1">
        <v>5.94</v>
      </c>
      <c r="BB1038" s="1">
        <v>44676</v>
      </c>
      <c r="BC1038" s="1">
        <v>5</v>
      </c>
      <c r="BD1038" s="1">
        <v>44693</v>
      </c>
      <c r="BE1038" s="1">
        <v>6.03</v>
      </c>
      <c r="BF1038" s="1">
        <v>44750</v>
      </c>
      <c r="BG1038" s="1">
        <v>7.5350000000000001</v>
      </c>
      <c r="BH1038" s="1">
        <v>44750</v>
      </c>
      <c r="BI1038" s="1">
        <v>7.5979999999999999</v>
      </c>
      <c r="BJ1038" s="1">
        <v>44750</v>
      </c>
      <c r="BK1038" s="1">
        <v>7.7729999999999997</v>
      </c>
      <c r="BL1038" s="1">
        <v>44750</v>
      </c>
      <c r="BM1038" s="1">
        <v>7.7830000000000004</v>
      </c>
      <c r="BN1038" s="1">
        <v>44749</v>
      </c>
      <c r="BO1038" s="1">
        <v>7.1849999999999996</v>
      </c>
      <c r="BP1038" s="1">
        <v>44750</v>
      </c>
      <c r="BQ1038" s="1">
        <v>6.915</v>
      </c>
      <c r="BR1038" s="1">
        <v>44750</v>
      </c>
      <c r="BS1038" s="1">
        <v>5.9950000000000001</v>
      </c>
      <c r="BT1038" s="1">
        <v>44750</v>
      </c>
      <c r="BU1038" s="1">
        <v>5.3150000000000004</v>
      </c>
      <c r="BV1038" s="1">
        <v>44750</v>
      </c>
      <c r="BW1038" s="1">
        <v>4.7300000000000004</v>
      </c>
      <c r="BY1038" s="1">
        <v>44679</v>
      </c>
      <c r="BZ1038" s="1">
        <v>5.4</v>
      </c>
      <c r="CA1038" s="1">
        <v>44687</v>
      </c>
      <c r="CB1038" s="1">
        <v>6.79</v>
      </c>
      <c r="CC1038" s="1">
        <v>44750</v>
      </c>
      <c r="CD1038" s="1">
        <v>11.5</v>
      </c>
      <c r="CE1038" s="1">
        <v>44750</v>
      </c>
      <c r="CF1038" s="1">
        <v>12.12</v>
      </c>
      <c r="CG1038" s="1">
        <v>44750</v>
      </c>
      <c r="CH1038" s="1">
        <v>12.65</v>
      </c>
      <c r="CI1038" s="1">
        <v>44750</v>
      </c>
      <c r="CJ1038" s="1">
        <v>12.74</v>
      </c>
      <c r="CK1038" s="1">
        <v>44750</v>
      </c>
      <c r="CL1038" s="1">
        <v>12.49</v>
      </c>
      <c r="CM1038" s="1">
        <v>44750</v>
      </c>
      <c r="CN1038" s="1">
        <v>11.84</v>
      </c>
      <c r="CO1038" s="1">
        <v>44742</v>
      </c>
      <c r="CP1038" s="1">
        <v>9.6199999999999992</v>
      </c>
      <c r="CQ1038" s="1">
        <v>44742</v>
      </c>
      <c r="CR1038" s="1">
        <v>9.02</v>
      </c>
      <c r="CS1038" s="1">
        <v>44742</v>
      </c>
      <c r="CT1038" s="1">
        <v>8.44</v>
      </c>
    </row>
    <row r="1039" spans="31:98" x14ac:dyDescent="0.2">
      <c r="AE1039" s="1">
        <v>44741</v>
      </c>
      <c r="AF1039" s="1">
        <v>6</v>
      </c>
      <c r="AG1039" s="1">
        <v>44693</v>
      </c>
      <c r="AH1039" s="1">
        <v>6.4</v>
      </c>
      <c r="AI1039" s="1">
        <v>44749</v>
      </c>
      <c r="AJ1039" s="1">
        <v>7.55</v>
      </c>
      <c r="AK1039" s="1">
        <v>44749</v>
      </c>
      <c r="AL1039" s="1">
        <v>7.81</v>
      </c>
      <c r="AM1039" s="1">
        <v>44749</v>
      </c>
      <c r="AN1039" s="1">
        <v>7.96</v>
      </c>
      <c r="AO1039" s="1">
        <v>44749</v>
      </c>
      <c r="AP1039" s="1">
        <v>8.0350000000000001</v>
      </c>
      <c r="AQ1039" s="1">
        <v>44749</v>
      </c>
      <c r="AR1039" s="1">
        <v>7.9</v>
      </c>
      <c r="AS1039" s="1">
        <v>44749</v>
      </c>
      <c r="AT1039" s="1">
        <v>7.585</v>
      </c>
      <c r="AU1039" s="1">
        <v>44749</v>
      </c>
      <c r="AV1039" s="1">
        <v>7.21</v>
      </c>
      <c r="AW1039" s="1">
        <v>44749</v>
      </c>
      <c r="AX1039" s="1">
        <v>6.7450000000000001</v>
      </c>
      <c r="AY1039" s="1">
        <v>44749</v>
      </c>
      <c r="AZ1039" s="1">
        <v>6.34</v>
      </c>
      <c r="BB1039" s="1">
        <v>44673</v>
      </c>
      <c r="BC1039" s="1">
        <v>5</v>
      </c>
      <c r="BD1039" s="1">
        <v>44692</v>
      </c>
      <c r="BE1039" s="1">
        <v>6.02</v>
      </c>
      <c r="BF1039" s="1">
        <v>44749</v>
      </c>
      <c r="BG1039" s="1">
        <v>7.45</v>
      </c>
      <c r="BH1039" s="1">
        <v>44749</v>
      </c>
      <c r="BI1039" s="1">
        <v>7.6079999999999997</v>
      </c>
      <c r="BJ1039" s="1">
        <v>44749</v>
      </c>
      <c r="BK1039" s="1">
        <v>7.73</v>
      </c>
      <c r="BL1039" s="1">
        <v>44749</v>
      </c>
      <c r="BM1039" s="1">
        <v>7.75</v>
      </c>
      <c r="BN1039" s="1">
        <v>44748</v>
      </c>
      <c r="BO1039" s="1">
        <v>6.99</v>
      </c>
      <c r="BP1039" s="1">
        <v>44749</v>
      </c>
      <c r="BQ1039" s="1">
        <v>6.57</v>
      </c>
      <c r="BR1039" s="1">
        <v>44749</v>
      </c>
      <c r="BS1039" s="1">
        <v>5.7</v>
      </c>
      <c r="BT1039" s="1">
        <v>44749</v>
      </c>
      <c r="BU1039" s="1">
        <v>5.0049999999999999</v>
      </c>
      <c r="BV1039" s="1">
        <v>44749</v>
      </c>
      <c r="BW1039" s="1">
        <v>4.4800000000000004</v>
      </c>
      <c r="BY1039" s="1">
        <v>44678</v>
      </c>
      <c r="BZ1039" s="1">
        <v>5.4</v>
      </c>
      <c r="CA1039" s="1">
        <v>44686</v>
      </c>
      <c r="CB1039" s="1">
        <v>6.78</v>
      </c>
      <c r="CC1039" s="1">
        <v>44749</v>
      </c>
      <c r="CD1039" s="1">
        <v>11.7</v>
      </c>
      <c r="CE1039" s="1">
        <v>44749</v>
      </c>
      <c r="CF1039" s="1">
        <v>12.29</v>
      </c>
      <c r="CG1039" s="1">
        <v>44749</v>
      </c>
      <c r="CH1039" s="1">
        <v>12.83</v>
      </c>
      <c r="CI1039" s="1">
        <v>44749</v>
      </c>
      <c r="CJ1039" s="1">
        <v>12.81</v>
      </c>
      <c r="CK1039" s="1">
        <v>44749</v>
      </c>
      <c r="CL1039" s="1">
        <v>12.55</v>
      </c>
      <c r="CM1039" s="1">
        <v>44749</v>
      </c>
      <c r="CN1039" s="1">
        <v>12.14</v>
      </c>
      <c r="CO1039" s="1">
        <v>44741</v>
      </c>
      <c r="CP1039" s="1">
        <v>9.76</v>
      </c>
      <c r="CQ1039" s="1">
        <v>44741</v>
      </c>
      <c r="CR1039" s="1">
        <v>9.3000000000000007</v>
      </c>
      <c r="CS1039" s="1">
        <v>44741</v>
      </c>
      <c r="CT1039" s="1">
        <v>8.7200000000000006</v>
      </c>
    </row>
    <row r="1040" spans="31:98" x14ac:dyDescent="0.2">
      <c r="AE1040" s="1">
        <v>44740</v>
      </c>
      <c r="AF1040" s="1">
        <v>6</v>
      </c>
      <c r="AG1040" s="1">
        <v>44692</v>
      </c>
      <c r="AH1040" s="1">
        <v>6.39</v>
      </c>
      <c r="AI1040" s="1">
        <v>44748</v>
      </c>
      <c r="AJ1040" s="1">
        <v>7.8360000000000003</v>
      </c>
      <c r="AK1040" s="1">
        <v>44748</v>
      </c>
      <c r="AL1040" s="1">
        <v>8.0250000000000004</v>
      </c>
      <c r="AM1040" s="1">
        <v>44748</v>
      </c>
      <c r="AN1040" s="1">
        <v>8.16</v>
      </c>
      <c r="AO1040" s="1">
        <v>44748</v>
      </c>
      <c r="AP1040" s="1">
        <v>8.2050000000000001</v>
      </c>
      <c r="AQ1040" s="1">
        <v>44748</v>
      </c>
      <c r="AR1040" s="1">
        <v>8.0449999999999999</v>
      </c>
      <c r="AS1040" s="1">
        <v>44748</v>
      </c>
      <c r="AT1040" s="1">
        <v>7.665</v>
      </c>
      <c r="AU1040" s="1">
        <v>44748</v>
      </c>
      <c r="AV1040" s="1">
        <v>7.3049999999999997</v>
      </c>
      <c r="AW1040" s="1">
        <v>44748</v>
      </c>
      <c r="AX1040" s="1">
        <v>6.84</v>
      </c>
      <c r="AY1040" s="1">
        <v>44748</v>
      </c>
      <c r="AZ1040" s="1">
        <v>6.415</v>
      </c>
      <c r="BB1040" s="1">
        <v>44672</v>
      </c>
      <c r="BC1040" s="1">
        <v>5</v>
      </c>
      <c r="BD1040" s="1">
        <v>44691</v>
      </c>
      <c r="BE1040" s="1">
        <v>6.02</v>
      </c>
      <c r="BF1040" s="1">
        <v>44748</v>
      </c>
      <c r="BG1040" s="1">
        <v>7.34</v>
      </c>
      <c r="BH1040" s="1">
        <v>44748</v>
      </c>
      <c r="BI1040" s="1">
        <v>7.4279999999999999</v>
      </c>
      <c r="BJ1040" s="1">
        <v>44748</v>
      </c>
      <c r="BK1040" s="1">
        <v>7.4829999999999997</v>
      </c>
      <c r="BL1040" s="1">
        <v>44748</v>
      </c>
      <c r="BM1040" s="1">
        <v>7.3929999999999998</v>
      </c>
      <c r="BN1040" s="1">
        <v>44747</v>
      </c>
      <c r="BO1040" s="1">
        <v>6.99</v>
      </c>
      <c r="BP1040" s="1">
        <v>44748</v>
      </c>
      <c r="BQ1040" s="1">
        <v>6.1779999999999999</v>
      </c>
      <c r="BR1040" s="1">
        <v>44748</v>
      </c>
      <c r="BS1040" s="1">
        <v>5.423</v>
      </c>
      <c r="BT1040" s="1">
        <v>44748</v>
      </c>
      <c r="BU1040" s="1">
        <v>4.72</v>
      </c>
      <c r="BV1040" s="1">
        <v>44748</v>
      </c>
      <c r="BW1040" s="1">
        <v>4.2830000000000004</v>
      </c>
      <c r="BY1040" s="1">
        <v>44677</v>
      </c>
      <c r="BZ1040" s="1">
        <v>4.4000000000000004</v>
      </c>
      <c r="CA1040" s="1">
        <v>44685</v>
      </c>
      <c r="CB1040" s="1">
        <v>6.77</v>
      </c>
      <c r="CC1040" s="1">
        <v>44748</v>
      </c>
      <c r="CD1040" s="1">
        <v>10.54</v>
      </c>
      <c r="CE1040" s="1">
        <v>44748</v>
      </c>
      <c r="CF1040" s="1">
        <v>11.39</v>
      </c>
      <c r="CG1040" s="1">
        <v>44748</v>
      </c>
      <c r="CH1040" s="1">
        <v>11.98</v>
      </c>
      <c r="CI1040" s="1">
        <v>44748</v>
      </c>
      <c r="CJ1040" s="1">
        <v>12.31</v>
      </c>
      <c r="CK1040" s="1">
        <v>44748</v>
      </c>
      <c r="CL1040" s="1">
        <v>12.15</v>
      </c>
      <c r="CM1040" s="1">
        <v>44748</v>
      </c>
      <c r="CN1040" s="1">
        <v>11.685</v>
      </c>
      <c r="CO1040" s="1">
        <v>44740</v>
      </c>
      <c r="CP1040" s="1">
        <v>9.8800000000000008</v>
      </c>
      <c r="CQ1040" s="1">
        <v>44740</v>
      </c>
      <c r="CR1040" s="1">
        <v>9.48</v>
      </c>
      <c r="CS1040" s="1">
        <v>44740</v>
      </c>
      <c r="CT1040" s="1">
        <v>9.02</v>
      </c>
    </row>
    <row r="1041" spans="31:98" x14ac:dyDescent="0.2">
      <c r="AE1041" s="1">
        <v>44739</v>
      </c>
      <c r="AF1041" s="1">
        <v>6</v>
      </c>
      <c r="AG1041" s="1">
        <v>44691</v>
      </c>
      <c r="AH1041" s="1">
        <v>6.36</v>
      </c>
      <c r="AI1041" s="1">
        <v>44747</v>
      </c>
      <c r="AJ1041" s="1">
        <v>7.7590000000000003</v>
      </c>
      <c r="AK1041" s="1">
        <v>44747</v>
      </c>
      <c r="AL1041" s="1">
        <v>7.95</v>
      </c>
      <c r="AM1041" s="1">
        <v>44747</v>
      </c>
      <c r="AN1041" s="1">
        <v>8.1449999999999996</v>
      </c>
      <c r="AO1041" s="1">
        <v>44747</v>
      </c>
      <c r="AP1041" s="1">
        <v>8.1750000000000007</v>
      </c>
      <c r="AQ1041" s="1">
        <v>44747</v>
      </c>
      <c r="AR1041" s="1">
        <v>8.0449999999999999</v>
      </c>
      <c r="AS1041" s="1">
        <v>44747</v>
      </c>
      <c r="AT1041" s="1">
        <v>7.6749999999999998</v>
      </c>
      <c r="AU1041" s="1">
        <v>44747</v>
      </c>
      <c r="AV1041" s="1">
        <v>7.3224999999999998</v>
      </c>
      <c r="AW1041" s="1">
        <v>44747</v>
      </c>
      <c r="AX1041" s="1">
        <v>6.92</v>
      </c>
      <c r="AY1041" s="1">
        <v>44747</v>
      </c>
      <c r="AZ1041" s="1">
        <v>6.5149999999999997</v>
      </c>
      <c r="BB1041" s="1">
        <v>44671</v>
      </c>
      <c r="BC1041" s="1">
        <v>5</v>
      </c>
      <c r="BD1041" s="1">
        <v>44690</v>
      </c>
      <c r="BE1041" s="1">
        <v>6.01</v>
      </c>
      <c r="BF1041" s="1">
        <v>44747</v>
      </c>
      <c r="BG1041" s="1">
        <v>7.34</v>
      </c>
      <c r="BH1041" s="1">
        <v>44747</v>
      </c>
      <c r="BI1041" s="1">
        <v>7.4279999999999999</v>
      </c>
      <c r="BJ1041" s="1">
        <v>44747</v>
      </c>
      <c r="BK1041" s="1">
        <v>7.4829999999999997</v>
      </c>
      <c r="BL1041" s="1">
        <v>44747</v>
      </c>
      <c r="BM1041" s="1">
        <v>7.3929999999999998</v>
      </c>
      <c r="BN1041" s="1">
        <v>44746</v>
      </c>
      <c r="BO1041" s="1">
        <v>6.7779999999999996</v>
      </c>
      <c r="BP1041" s="1">
        <v>44747</v>
      </c>
      <c r="BQ1041" s="1">
        <v>6.1779999999999999</v>
      </c>
      <c r="BR1041" s="1">
        <v>44747</v>
      </c>
      <c r="BS1041" s="1">
        <v>5.423</v>
      </c>
      <c r="BT1041" s="1">
        <v>44747</v>
      </c>
      <c r="BU1041" s="1">
        <v>4.72</v>
      </c>
      <c r="BV1041" s="1">
        <v>44747</v>
      </c>
      <c r="BW1041" s="1">
        <v>4.2830000000000004</v>
      </c>
      <c r="BY1041" s="1">
        <v>44676</v>
      </c>
      <c r="BZ1041" s="1">
        <v>4.4000000000000004</v>
      </c>
      <c r="CA1041" s="1">
        <v>44684</v>
      </c>
      <c r="CB1041" s="1">
        <v>6.77</v>
      </c>
      <c r="CC1041" s="1">
        <v>44747</v>
      </c>
      <c r="CD1041" s="1">
        <v>9.4600000000000009</v>
      </c>
      <c r="CE1041" s="1">
        <v>44747</v>
      </c>
      <c r="CF1041" s="1">
        <v>10.15</v>
      </c>
      <c r="CG1041" s="1">
        <v>44747</v>
      </c>
      <c r="CH1041" s="1">
        <v>10.82</v>
      </c>
      <c r="CI1041" s="1">
        <v>44747</v>
      </c>
      <c r="CJ1041" s="1">
        <v>11.15</v>
      </c>
      <c r="CK1041" s="1">
        <v>44747</v>
      </c>
      <c r="CL1041" s="1">
        <v>11.15</v>
      </c>
      <c r="CM1041" s="1">
        <v>44747</v>
      </c>
      <c r="CN1041" s="1">
        <v>10.9</v>
      </c>
      <c r="CO1041" s="1">
        <v>44739</v>
      </c>
      <c r="CP1041" s="1">
        <v>9.4700000000000006</v>
      </c>
      <c r="CQ1041" s="1">
        <v>44739</v>
      </c>
      <c r="CR1041" s="1">
        <v>9.06</v>
      </c>
      <c r="CS1041" s="1">
        <v>44739</v>
      </c>
      <c r="CT1041" s="1">
        <v>8.6</v>
      </c>
    </row>
    <row r="1042" spans="31:98" x14ac:dyDescent="0.2">
      <c r="AE1042" s="1">
        <v>44736</v>
      </c>
      <c r="AF1042" s="1">
        <v>6</v>
      </c>
      <c r="AG1042" s="1">
        <v>44690</v>
      </c>
      <c r="AH1042" s="1">
        <v>6.31</v>
      </c>
      <c r="AI1042" s="1">
        <v>44746</v>
      </c>
      <c r="AJ1042" s="1">
        <v>7.5614999999999997</v>
      </c>
      <c r="AK1042" s="1">
        <v>44746</v>
      </c>
      <c r="AL1042" s="1">
        <v>7.7275</v>
      </c>
      <c r="AM1042" s="1">
        <v>44746</v>
      </c>
      <c r="AN1042" s="1">
        <v>7.8925000000000001</v>
      </c>
      <c r="AO1042" s="1">
        <v>44746</v>
      </c>
      <c r="AP1042" s="1">
        <v>7.9625000000000004</v>
      </c>
      <c r="AQ1042" s="1">
        <v>44746</v>
      </c>
      <c r="AR1042" s="1">
        <v>7.77</v>
      </c>
      <c r="AS1042" s="1">
        <v>44746</v>
      </c>
      <c r="AT1042" s="1">
        <v>7.42</v>
      </c>
      <c r="AU1042" s="1">
        <v>44746</v>
      </c>
      <c r="AV1042" s="1">
        <v>7.0575000000000001</v>
      </c>
      <c r="AW1042" s="1">
        <v>44746</v>
      </c>
      <c r="AX1042" s="1">
        <v>6.6475</v>
      </c>
      <c r="AY1042" s="1">
        <v>44746</v>
      </c>
      <c r="AZ1042" s="1">
        <v>6.2424999999999997</v>
      </c>
      <c r="BB1042" s="1">
        <v>44670</v>
      </c>
      <c r="BC1042" s="1">
        <v>5</v>
      </c>
      <c r="BD1042" s="1">
        <v>44687</v>
      </c>
      <c r="BE1042" s="1">
        <v>6.01</v>
      </c>
      <c r="BF1042" s="1">
        <v>44746</v>
      </c>
      <c r="BG1042" s="1">
        <v>7.32</v>
      </c>
      <c r="BH1042" s="1">
        <v>44746</v>
      </c>
      <c r="BI1042" s="1">
        <v>7.4279999999999999</v>
      </c>
      <c r="BJ1042" s="1">
        <v>44746</v>
      </c>
      <c r="BK1042" s="1">
        <v>7.4829999999999997</v>
      </c>
      <c r="BL1042" s="1">
        <v>44746</v>
      </c>
      <c r="BM1042" s="1">
        <v>7.3929999999999998</v>
      </c>
      <c r="BN1042" s="1">
        <v>44743</v>
      </c>
      <c r="BO1042" s="1">
        <v>6.78</v>
      </c>
      <c r="BP1042" s="1">
        <v>44746</v>
      </c>
      <c r="BQ1042" s="1">
        <v>6.1779999999999999</v>
      </c>
      <c r="BR1042" s="1">
        <v>44746</v>
      </c>
      <c r="BS1042" s="1">
        <v>5.423</v>
      </c>
      <c r="BT1042" s="1">
        <v>44746</v>
      </c>
      <c r="BU1042" s="1">
        <v>4.72</v>
      </c>
      <c r="BV1042" s="1">
        <v>44746</v>
      </c>
      <c r="BW1042" s="1">
        <v>4.2830000000000004</v>
      </c>
      <c r="BY1042" s="1">
        <v>44673</v>
      </c>
      <c r="BZ1042" s="1">
        <v>4.4000000000000004</v>
      </c>
      <c r="CA1042" s="1">
        <v>44683</v>
      </c>
      <c r="CB1042" s="1">
        <v>6.76</v>
      </c>
      <c r="CC1042" s="1">
        <v>44746</v>
      </c>
      <c r="CD1042" s="1">
        <v>9.23</v>
      </c>
      <c r="CE1042" s="1">
        <v>44746</v>
      </c>
      <c r="CF1042" s="1">
        <v>9.77</v>
      </c>
      <c r="CG1042" s="1">
        <v>44746</v>
      </c>
      <c r="CH1042" s="1">
        <v>10.31</v>
      </c>
      <c r="CI1042" s="1">
        <v>44746</v>
      </c>
      <c r="CJ1042" s="1">
        <v>10.57</v>
      </c>
      <c r="CK1042" s="1">
        <v>44746</v>
      </c>
      <c r="CL1042" s="1">
        <v>10.57</v>
      </c>
      <c r="CM1042" s="1">
        <v>44746</v>
      </c>
      <c r="CN1042" s="1">
        <v>10.34</v>
      </c>
      <c r="CO1042" s="1">
        <v>44736</v>
      </c>
      <c r="CP1042" s="1">
        <v>9.0549999999999997</v>
      </c>
      <c r="CQ1042" s="1">
        <v>44736</v>
      </c>
      <c r="CR1042" s="1">
        <v>8.6349999999999998</v>
      </c>
      <c r="CS1042" s="1">
        <v>44736</v>
      </c>
      <c r="CT1042" s="1">
        <v>8.1950000000000003</v>
      </c>
    </row>
    <row r="1043" spans="31:98" x14ac:dyDescent="0.2">
      <c r="AE1043" s="1">
        <v>44735</v>
      </c>
      <c r="AF1043" s="1">
        <v>6</v>
      </c>
      <c r="AG1043" s="1">
        <v>44687</v>
      </c>
      <c r="AH1043" s="1">
        <v>6.33</v>
      </c>
      <c r="AI1043" s="1">
        <v>44743</v>
      </c>
      <c r="AJ1043" s="1">
        <v>7.5389999999999997</v>
      </c>
      <c r="AK1043" s="1">
        <v>44743</v>
      </c>
      <c r="AL1043" s="1">
        <v>7.78</v>
      </c>
      <c r="AM1043" s="1">
        <v>44743</v>
      </c>
      <c r="AN1043" s="1">
        <v>7.915</v>
      </c>
      <c r="AO1043" s="1">
        <v>44743</v>
      </c>
      <c r="AP1043" s="1">
        <v>8</v>
      </c>
      <c r="AQ1043" s="1">
        <v>44743</v>
      </c>
      <c r="AR1043" s="1">
        <v>7.8449999999999998</v>
      </c>
      <c r="AS1043" s="1">
        <v>44743</v>
      </c>
      <c r="AT1043" s="1">
        <v>7.4450000000000003</v>
      </c>
      <c r="AU1043" s="1">
        <v>44743</v>
      </c>
      <c r="AV1043" s="1">
        <v>7.03</v>
      </c>
      <c r="AW1043" s="1">
        <v>44743</v>
      </c>
      <c r="AX1043" s="1">
        <v>6.625</v>
      </c>
      <c r="AY1043" s="1">
        <v>44743</v>
      </c>
      <c r="AZ1043" s="1">
        <v>6.21</v>
      </c>
      <c r="BB1043" s="1">
        <v>44665</v>
      </c>
      <c r="BC1043" s="1">
        <v>5</v>
      </c>
      <c r="BD1043" s="1">
        <v>44686</v>
      </c>
      <c r="BE1043" s="1">
        <v>5.56</v>
      </c>
      <c r="BF1043" s="1">
        <v>44743</v>
      </c>
      <c r="BG1043" s="1">
        <v>7.3250000000000002</v>
      </c>
      <c r="BH1043" s="1">
        <v>44743</v>
      </c>
      <c r="BI1043" s="1">
        <v>7.42</v>
      </c>
      <c r="BJ1043" s="1">
        <v>44743</v>
      </c>
      <c r="BK1043" s="1">
        <v>7.48</v>
      </c>
      <c r="BL1043" s="1">
        <v>44743</v>
      </c>
      <c r="BM1043" s="1">
        <v>7.39</v>
      </c>
      <c r="BN1043" s="1">
        <v>44742</v>
      </c>
      <c r="BO1043" s="1">
        <v>7.06</v>
      </c>
      <c r="BP1043" s="1">
        <v>44743</v>
      </c>
      <c r="BQ1043" s="1">
        <v>6.18</v>
      </c>
      <c r="BR1043" s="1">
        <v>44743</v>
      </c>
      <c r="BS1043" s="1">
        <v>5.4829999999999997</v>
      </c>
      <c r="BT1043" s="1">
        <v>44743</v>
      </c>
      <c r="BU1043" s="1">
        <v>4.835</v>
      </c>
      <c r="BV1043" s="1">
        <v>44743</v>
      </c>
      <c r="BW1043" s="1">
        <v>4.3049999999999997</v>
      </c>
      <c r="BY1043" s="1">
        <v>44672</v>
      </c>
      <c r="BZ1043" s="1">
        <v>4.4000000000000004</v>
      </c>
      <c r="CA1043" s="1">
        <v>44680</v>
      </c>
      <c r="CB1043" s="1">
        <v>6.76</v>
      </c>
      <c r="CC1043" s="1">
        <v>44743</v>
      </c>
      <c r="CD1043" s="1">
        <v>9.16</v>
      </c>
      <c r="CE1043" s="1">
        <v>44743</v>
      </c>
      <c r="CF1043" s="1">
        <v>9.5399999999999991</v>
      </c>
      <c r="CG1043" s="1">
        <v>44743</v>
      </c>
      <c r="CH1043" s="1">
        <v>10.08</v>
      </c>
      <c r="CI1043" s="1">
        <v>44743</v>
      </c>
      <c r="CJ1043" s="1">
        <v>10.45</v>
      </c>
      <c r="CK1043" s="1">
        <v>44743</v>
      </c>
      <c r="CL1043" s="1">
        <v>10.45</v>
      </c>
      <c r="CM1043" s="1">
        <v>44743</v>
      </c>
      <c r="CN1043" s="1">
        <v>10.18</v>
      </c>
      <c r="CO1043" s="1">
        <v>44735</v>
      </c>
      <c r="CP1043" s="1">
        <v>8.8699999999999992</v>
      </c>
      <c r="CQ1043" s="1">
        <v>44735</v>
      </c>
      <c r="CR1043" s="1">
        <v>8.48</v>
      </c>
      <c r="CS1043" s="1">
        <v>44735</v>
      </c>
      <c r="CT1043" s="1">
        <v>8.07</v>
      </c>
    </row>
    <row r="1044" spans="31:98" x14ac:dyDescent="0.2">
      <c r="AE1044" s="1">
        <v>44734</v>
      </c>
      <c r="AF1044" s="1">
        <v>6</v>
      </c>
      <c r="AG1044" s="1">
        <v>44686</v>
      </c>
      <c r="AH1044" s="1">
        <v>6.34</v>
      </c>
      <c r="AI1044" s="1">
        <v>44742</v>
      </c>
      <c r="AJ1044" s="1">
        <v>7.7</v>
      </c>
      <c r="AK1044" s="1">
        <v>44742</v>
      </c>
      <c r="AL1044" s="1">
        <v>7.94</v>
      </c>
      <c r="AM1044" s="1">
        <v>44742</v>
      </c>
      <c r="AN1044" s="1">
        <v>8.1300000000000008</v>
      </c>
      <c r="AO1044" s="1">
        <v>44742</v>
      </c>
      <c r="AP1044" s="1">
        <v>8.2550000000000008</v>
      </c>
      <c r="AQ1044" s="1">
        <v>44742</v>
      </c>
      <c r="AR1044" s="1">
        <v>8.1649999999999991</v>
      </c>
      <c r="AS1044" s="1">
        <v>44742</v>
      </c>
      <c r="AT1044" s="1">
        <v>7.8</v>
      </c>
      <c r="AU1044" s="1">
        <v>44742</v>
      </c>
      <c r="AV1044" s="1">
        <v>7.41</v>
      </c>
      <c r="AW1044" s="1">
        <v>44742</v>
      </c>
      <c r="AX1044" s="1">
        <v>7.05</v>
      </c>
      <c r="AY1044" s="1">
        <v>44742</v>
      </c>
      <c r="AZ1044" s="1">
        <v>6.72</v>
      </c>
      <c r="BB1044" s="1">
        <v>44664</v>
      </c>
      <c r="BC1044" s="1">
        <v>5</v>
      </c>
      <c r="BD1044" s="1">
        <v>44685</v>
      </c>
      <c r="BE1044" s="1">
        <v>5.53</v>
      </c>
      <c r="BF1044" s="1">
        <v>44742</v>
      </c>
      <c r="BG1044" s="1">
        <v>7.32</v>
      </c>
      <c r="BH1044" s="1">
        <v>44742</v>
      </c>
      <c r="BI1044" s="1">
        <v>7.4850000000000003</v>
      </c>
      <c r="BJ1044" s="1">
        <v>44742</v>
      </c>
      <c r="BK1044" s="1">
        <v>7.5250000000000004</v>
      </c>
      <c r="BL1044" s="1">
        <v>44742</v>
      </c>
      <c r="BM1044" s="1">
        <v>7.51</v>
      </c>
      <c r="BN1044" s="1">
        <v>44741</v>
      </c>
      <c r="BO1044" s="1">
        <v>7.31</v>
      </c>
      <c r="BP1044" s="1">
        <v>44742</v>
      </c>
      <c r="BQ1044" s="1">
        <v>6.5350000000000001</v>
      </c>
      <c r="BR1044" s="1">
        <v>44742</v>
      </c>
      <c r="BS1044" s="1">
        <v>5.8780000000000001</v>
      </c>
      <c r="BT1044" s="1">
        <v>44742</v>
      </c>
      <c r="BU1044" s="1">
        <v>5.2729999999999997</v>
      </c>
      <c r="BV1044" s="1">
        <v>44742</v>
      </c>
      <c r="BW1044" s="1">
        <v>4.75</v>
      </c>
      <c r="BY1044" s="1">
        <v>44671</v>
      </c>
      <c r="BZ1044" s="1">
        <v>4.4000000000000004</v>
      </c>
      <c r="CA1044" s="1">
        <v>44679</v>
      </c>
      <c r="CB1044" s="1">
        <v>6.75</v>
      </c>
      <c r="CC1044" s="1">
        <v>44742</v>
      </c>
      <c r="CD1044" s="1">
        <v>9.16</v>
      </c>
      <c r="CE1044" s="1">
        <v>44742</v>
      </c>
      <c r="CF1044" s="1">
        <v>9.48</v>
      </c>
      <c r="CG1044" s="1">
        <v>44742</v>
      </c>
      <c r="CH1044" s="1">
        <v>10.02</v>
      </c>
      <c r="CI1044" s="1">
        <v>44742</v>
      </c>
      <c r="CJ1044" s="1">
        <v>10.39</v>
      </c>
      <c r="CK1044" s="1">
        <v>44742</v>
      </c>
      <c r="CL1044" s="1">
        <v>10.39</v>
      </c>
      <c r="CM1044" s="1">
        <v>44742</v>
      </c>
      <c r="CN1044" s="1">
        <v>10.220000000000001</v>
      </c>
      <c r="CO1044" s="1">
        <v>44734</v>
      </c>
      <c r="CP1044" s="1">
        <v>9.7125000000000004</v>
      </c>
      <c r="CQ1044" s="1">
        <v>44734</v>
      </c>
      <c r="CR1044" s="1">
        <v>9.3574999999999999</v>
      </c>
      <c r="CS1044" s="1">
        <v>44734</v>
      </c>
      <c r="CT1044" s="1">
        <v>8.9979999999999993</v>
      </c>
    </row>
    <row r="1045" spans="31:98" x14ac:dyDescent="0.2">
      <c r="AE1045" s="1">
        <v>44733</v>
      </c>
      <c r="AF1045" s="1">
        <v>6</v>
      </c>
      <c r="AG1045" s="1">
        <v>44685</v>
      </c>
      <c r="AH1045" s="1">
        <v>6.24</v>
      </c>
      <c r="AI1045" s="1">
        <v>44741</v>
      </c>
      <c r="AJ1045" s="1">
        <v>7.7110000000000003</v>
      </c>
      <c r="AK1045" s="1">
        <v>44741</v>
      </c>
      <c r="AL1045" s="1">
        <v>7.9550000000000001</v>
      </c>
      <c r="AM1045" s="1">
        <v>44741</v>
      </c>
      <c r="AN1045" s="1">
        <v>8.18</v>
      </c>
      <c r="AO1045" s="1">
        <v>44741</v>
      </c>
      <c r="AP1045" s="1">
        <v>8.32</v>
      </c>
      <c r="AQ1045" s="1">
        <v>44741</v>
      </c>
      <c r="AR1045" s="1">
        <v>8.25</v>
      </c>
      <c r="AS1045" s="1">
        <v>44741</v>
      </c>
      <c r="AT1045" s="1">
        <v>7.99</v>
      </c>
      <c r="AU1045" s="1">
        <v>44741</v>
      </c>
      <c r="AV1045" s="1">
        <v>7.64</v>
      </c>
      <c r="AW1045" s="1">
        <v>44741</v>
      </c>
      <c r="AX1045" s="1">
        <v>7.3150000000000004</v>
      </c>
      <c r="AY1045" s="1">
        <v>44741</v>
      </c>
      <c r="AZ1045" s="1">
        <v>6.99</v>
      </c>
      <c r="BB1045" s="1">
        <v>44663</v>
      </c>
      <c r="BC1045" s="1">
        <v>5</v>
      </c>
      <c r="BD1045" s="1">
        <v>44684</v>
      </c>
      <c r="BE1045" s="1">
        <v>5.51</v>
      </c>
      <c r="BF1045" s="1">
        <v>44741</v>
      </c>
      <c r="BG1045" s="1">
        <v>7.3550000000000004</v>
      </c>
      <c r="BH1045" s="1">
        <v>44741</v>
      </c>
      <c r="BI1045" s="1">
        <v>7.585</v>
      </c>
      <c r="BJ1045" s="1">
        <v>44741</v>
      </c>
      <c r="BK1045" s="1">
        <v>7.61</v>
      </c>
      <c r="BL1045" s="1">
        <v>44741</v>
      </c>
      <c r="BM1045" s="1">
        <v>7.625</v>
      </c>
      <c r="BN1045" s="1">
        <v>44740</v>
      </c>
      <c r="BO1045" s="1">
        <v>7.37</v>
      </c>
      <c r="BP1045" s="1">
        <v>44741</v>
      </c>
      <c r="BQ1045" s="1">
        <v>6.75</v>
      </c>
      <c r="BR1045" s="1">
        <v>44741</v>
      </c>
      <c r="BS1045" s="1">
        <v>6.2080000000000002</v>
      </c>
      <c r="BT1045" s="1">
        <v>44741</v>
      </c>
      <c r="BU1045" s="1">
        <v>5.6180000000000003</v>
      </c>
      <c r="BV1045" s="1">
        <v>44741</v>
      </c>
      <c r="BW1045" s="1">
        <v>5.1180000000000003</v>
      </c>
      <c r="BY1045" s="1">
        <v>44670</v>
      </c>
      <c r="BZ1045" s="1">
        <v>4.4000000000000004</v>
      </c>
      <c r="CA1045" s="1">
        <v>44678</v>
      </c>
      <c r="CB1045" s="1">
        <v>6.72</v>
      </c>
      <c r="CC1045" s="1">
        <v>44741</v>
      </c>
      <c r="CD1045" s="1">
        <v>9.17</v>
      </c>
      <c r="CE1045" s="1">
        <v>44741</v>
      </c>
      <c r="CF1045" s="1">
        <v>9.3699999999999992</v>
      </c>
      <c r="CG1045" s="1">
        <v>44741</v>
      </c>
      <c r="CH1045" s="1">
        <v>9.9700000000000006</v>
      </c>
      <c r="CI1045" s="1">
        <v>44741</v>
      </c>
      <c r="CJ1045" s="1">
        <v>10.33</v>
      </c>
      <c r="CK1045" s="1">
        <v>44741</v>
      </c>
      <c r="CL1045" s="1">
        <v>10.33</v>
      </c>
      <c r="CM1045" s="1">
        <v>44741</v>
      </c>
      <c r="CN1045" s="1">
        <v>10.199999999999999</v>
      </c>
      <c r="CO1045" s="1">
        <v>44733</v>
      </c>
      <c r="CP1045" s="1">
        <v>9.9275000000000002</v>
      </c>
      <c r="CQ1045" s="1">
        <v>44733</v>
      </c>
      <c r="CR1045" s="1">
        <v>9.5824999999999996</v>
      </c>
      <c r="CS1045" s="1">
        <v>44733</v>
      </c>
      <c r="CT1045" s="1">
        <v>9.2225000000000001</v>
      </c>
    </row>
    <row r="1046" spans="31:98" x14ac:dyDescent="0.2">
      <c r="AE1046" s="1">
        <v>44732</v>
      </c>
      <c r="AF1046" s="1">
        <v>6</v>
      </c>
      <c r="AG1046" s="1">
        <v>44683</v>
      </c>
      <c r="AH1046" s="1">
        <v>6.14</v>
      </c>
      <c r="AI1046" s="1">
        <v>44740</v>
      </c>
      <c r="AJ1046" s="1">
        <v>7.7039999999999997</v>
      </c>
      <c r="AK1046" s="1">
        <v>44740</v>
      </c>
      <c r="AL1046" s="1">
        <v>7.9024999999999999</v>
      </c>
      <c r="AM1046" s="1">
        <v>44740</v>
      </c>
      <c r="AN1046" s="1">
        <v>8.16</v>
      </c>
      <c r="AO1046" s="1">
        <v>44740</v>
      </c>
      <c r="AP1046" s="1">
        <v>8.35</v>
      </c>
      <c r="AQ1046" s="1">
        <v>44740</v>
      </c>
      <c r="AR1046" s="1">
        <v>8.3074999999999992</v>
      </c>
      <c r="AS1046" s="1">
        <v>44740</v>
      </c>
      <c r="AT1046" s="1">
        <v>8.0449999999999999</v>
      </c>
      <c r="AU1046" s="1">
        <v>44740</v>
      </c>
      <c r="AV1046" s="1">
        <v>7.6875</v>
      </c>
      <c r="AW1046" s="1">
        <v>44740</v>
      </c>
      <c r="AX1046" s="1">
        <v>7.3825000000000003</v>
      </c>
      <c r="AY1046" s="1">
        <v>44740</v>
      </c>
      <c r="AZ1046" s="1">
        <v>7.0774999999999997</v>
      </c>
      <c r="BB1046" s="1">
        <v>44662</v>
      </c>
      <c r="BC1046" s="1">
        <v>5</v>
      </c>
      <c r="BD1046" s="1">
        <v>44683</v>
      </c>
      <c r="BE1046" s="1">
        <v>5.49</v>
      </c>
      <c r="BF1046" s="1">
        <v>44740</v>
      </c>
      <c r="BG1046" s="1">
        <v>7.33</v>
      </c>
      <c r="BH1046" s="1">
        <v>44740</v>
      </c>
      <c r="BI1046" s="1">
        <v>7.5549999999999997</v>
      </c>
      <c r="BJ1046" s="1">
        <v>44740</v>
      </c>
      <c r="BK1046" s="1">
        <v>7.625</v>
      </c>
      <c r="BL1046" s="1">
        <v>44740</v>
      </c>
      <c r="BM1046" s="1">
        <v>7.63</v>
      </c>
      <c r="BN1046" s="1">
        <v>44739</v>
      </c>
      <c r="BO1046" s="1">
        <v>7.3550000000000004</v>
      </c>
      <c r="BP1046" s="1">
        <v>44740</v>
      </c>
      <c r="BQ1046" s="1">
        <v>6.8849999999999998</v>
      </c>
      <c r="BR1046" s="1">
        <v>44740</v>
      </c>
      <c r="BS1046" s="1">
        <v>6.37</v>
      </c>
      <c r="BT1046" s="1">
        <v>44740</v>
      </c>
      <c r="BU1046" s="1">
        <v>5.7850000000000001</v>
      </c>
      <c r="BV1046" s="1">
        <v>44740</v>
      </c>
      <c r="BW1046" s="1">
        <v>5.28</v>
      </c>
      <c r="BY1046" s="1">
        <v>44669</v>
      </c>
      <c r="BZ1046" s="1">
        <v>4.4000000000000004</v>
      </c>
      <c r="CA1046" s="1">
        <v>44677</v>
      </c>
      <c r="CB1046" s="1">
        <v>6.62</v>
      </c>
      <c r="CC1046" s="1">
        <v>44740</v>
      </c>
      <c r="CD1046" s="1">
        <v>9.09</v>
      </c>
      <c r="CE1046" s="1">
        <v>44740</v>
      </c>
      <c r="CF1046" s="1">
        <v>9.4</v>
      </c>
      <c r="CG1046" s="1">
        <v>44740</v>
      </c>
      <c r="CH1046" s="1">
        <v>9.91</v>
      </c>
      <c r="CI1046" s="1">
        <v>44740</v>
      </c>
      <c r="CJ1046" s="1">
        <v>10.5</v>
      </c>
      <c r="CK1046" s="1">
        <v>44740</v>
      </c>
      <c r="CL1046" s="1">
        <v>10.45</v>
      </c>
      <c r="CM1046" s="1">
        <v>44740</v>
      </c>
      <c r="CN1046" s="1">
        <v>10.234999999999999</v>
      </c>
      <c r="CO1046" s="1">
        <v>44732</v>
      </c>
      <c r="CP1046" s="1">
        <v>9.9625000000000004</v>
      </c>
      <c r="CQ1046" s="1">
        <v>44732</v>
      </c>
      <c r="CR1046" s="1">
        <v>9.6174999999999997</v>
      </c>
      <c r="CS1046" s="1">
        <v>44732</v>
      </c>
      <c r="CT1046" s="1">
        <v>9.2575000000000003</v>
      </c>
    </row>
    <row r="1047" spans="31:98" x14ac:dyDescent="0.2">
      <c r="AE1047" s="1">
        <v>44729</v>
      </c>
      <c r="AF1047" s="1">
        <v>6</v>
      </c>
      <c r="AG1047" s="1">
        <v>44680</v>
      </c>
      <c r="AH1047" s="1">
        <v>6.05</v>
      </c>
      <c r="AI1047" s="1">
        <v>44739</v>
      </c>
      <c r="AJ1047" s="1">
        <v>7.6574999999999998</v>
      </c>
      <c r="AK1047" s="1">
        <v>44739</v>
      </c>
      <c r="AL1047" s="1">
        <v>7.7949999999999999</v>
      </c>
      <c r="AM1047" s="1">
        <v>44739</v>
      </c>
      <c r="AN1047" s="1">
        <v>8.0399999999999991</v>
      </c>
      <c r="AO1047" s="1">
        <v>44739</v>
      </c>
      <c r="AP1047" s="1">
        <v>8.25</v>
      </c>
      <c r="AQ1047" s="1">
        <v>44739</v>
      </c>
      <c r="AR1047" s="1">
        <v>8.2249999999999996</v>
      </c>
      <c r="AS1047" s="1">
        <v>44739</v>
      </c>
      <c r="AT1047" s="1">
        <v>7.9649999999999999</v>
      </c>
      <c r="AU1047" s="1">
        <v>44739</v>
      </c>
      <c r="AV1047" s="1">
        <v>7.6150000000000002</v>
      </c>
      <c r="AW1047" s="1">
        <v>44739</v>
      </c>
      <c r="AX1047" s="1">
        <v>7.31</v>
      </c>
      <c r="AY1047" s="1">
        <v>44739</v>
      </c>
      <c r="AZ1047" s="1">
        <v>7.0049999999999999</v>
      </c>
      <c r="BB1047" s="1">
        <v>44659</v>
      </c>
      <c r="BC1047" s="1">
        <v>5</v>
      </c>
      <c r="BD1047" s="1">
        <v>44680</v>
      </c>
      <c r="BE1047" s="1">
        <v>5.47</v>
      </c>
      <c r="BF1047" s="1">
        <v>44739</v>
      </c>
      <c r="BG1047" s="1">
        <v>7.335</v>
      </c>
      <c r="BH1047" s="1">
        <v>44739</v>
      </c>
      <c r="BI1047" s="1">
        <v>7.5350000000000001</v>
      </c>
      <c r="BJ1047" s="1">
        <v>44739</v>
      </c>
      <c r="BK1047" s="1">
        <v>7.5949999999999998</v>
      </c>
      <c r="BL1047" s="1">
        <v>44739</v>
      </c>
      <c r="BM1047" s="1">
        <v>7.6</v>
      </c>
      <c r="BN1047" s="1">
        <v>44736</v>
      </c>
      <c r="BO1047" s="1">
        <v>7.2949999999999999</v>
      </c>
      <c r="BP1047" s="1">
        <v>44739</v>
      </c>
      <c r="BQ1047" s="1">
        <v>6.89</v>
      </c>
      <c r="BR1047" s="1">
        <v>44739</v>
      </c>
      <c r="BS1047" s="1">
        <v>6.3230000000000004</v>
      </c>
      <c r="BT1047" s="1">
        <v>44739</v>
      </c>
      <c r="BU1047" s="1">
        <v>5.7350000000000003</v>
      </c>
      <c r="BV1047" s="1">
        <v>44739</v>
      </c>
      <c r="BW1047" s="1">
        <v>5.2149999999999999</v>
      </c>
      <c r="BY1047" s="1">
        <v>44666</v>
      </c>
      <c r="BZ1047" s="1">
        <v>4.4000000000000004</v>
      </c>
      <c r="CA1047" s="1">
        <v>44676</v>
      </c>
      <c r="CB1047" s="1">
        <v>6.61</v>
      </c>
      <c r="CC1047" s="1">
        <v>44739</v>
      </c>
      <c r="CD1047" s="1">
        <v>8.6199999999999992</v>
      </c>
      <c r="CE1047" s="1">
        <v>44739</v>
      </c>
      <c r="CF1047" s="1">
        <v>9.06</v>
      </c>
      <c r="CG1047" s="1">
        <v>44739</v>
      </c>
      <c r="CH1047" s="1">
        <v>9.4499999999999993</v>
      </c>
      <c r="CI1047" s="1">
        <v>44739</v>
      </c>
      <c r="CJ1047" s="1">
        <v>10.07</v>
      </c>
      <c r="CK1047" s="1">
        <v>44739</v>
      </c>
      <c r="CL1047" s="1">
        <v>10.07</v>
      </c>
      <c r="CM1047" s="1">
        <v>44739</v>
      </c>
      <c r="CN1047" s="1">
        <v>9.86</v>
      </c>
      <c r="CO1047" s="1">
        <v>44729</v>
      </c>
      <c r="CP1047" s="1">
        <v>9.8424999999999994</v>
      </c>
      <c r="CQ1047" s="1">
        <v>44729</v>
      </c>
      <c r="CR1047" s="1">
        <v>9.5625</v>
      </c>
      <c r="CS1047" s="1">
        <v>44729</v>
      </c>
      <c r="CT1047" s="1">
        <v>9.2675000000000001</v>
      </c>
    </row>
    <row r="1048" spans="31:98" x14ac:dyDescent="0.2">
      <c r="AE1048" s="1">
        <v>44728</v>
      </c>
      <c r="AF1048" s="1">
        <v>6</v>
      </c>
      <c r="AG1048" s="1">
        <v>44679</v>
      </c>
      <c r="AH1048" s="1">
        <v>5.95</v>
      </c>
      <c r="AI1048" s="1">
        <v>44736</v>
      </c>
      <c r="AJ1048" s="1">
        <v>7.5540000000000003</v>
      </c>
      <c r="AK1048" s="1">
        <v>44736</v>
      </c>
      <c r="AL1048" s="1">
        <v>7.6550000000000002</v>
      </c>
      <c r="AM1048" s="1">
        <v>44736</v>
      </c>
      <c r="AN1048" s="1">
        <v>7.9</v>
      </c>
      <c r="AO1048" s="1">
        <v>44736</v>
      </c>
      <c r="AP1048" s="1">
        <v>8.06</v>
      </c>
      <c r="AQ1048" s="1">
        <v>44736</v>
      </c>
      <c r="AR1048" s="1">
        <v>8.0150000000000006</v>
      </c>
      <c r="AS1048" s="1">
        <v>44736</v>
      </c>
      <c r="AT1048" s="1">
        <v>7.7350000000000003</v>
      </c>
      <c r="AU1048" s="1">
        <v>44736</v>
      </c>
      <c r="AV1048" s="1">
        <v>7.39</v>
      </c>
      <c r="AW1048" s="1">
        <v>44736</v>
      </c>
      <c r="AX1048" s="1">
        <v>7.085</v>
      </c>
      <c r="AY1048" s="1">
        <v>44736</v>
      </c>
      <c r="AZ1048" s="1">
        <v>6.78</v>
      </c>
      <c r="BB1048" s="1">
        <v>44658</v>
      </c>
      <c r="BC1048" s="1">
        <v>5</v>
      </c>
      <c r="BD1048" s="1">
        <v>44679</v>
      </c>
      <c r="BE1048" s="1">
        <v>5.45</v>
      </c>
      <c r="BF1048" s="1">
        <v>44736</v>
      </c>
      <c r="BG1048" s="1">
        <v>7.35</v>
      </c>
      <c r="BH1048" s="1">
        <v>44736</v>
      </c>
      <c r="BI1048" s="1">
        <v>7.4850000000000003</v>
      </c>
      <c r="BJ1048" s="1">
        <v>44736</v>
      </c>
      <c r="BK1048" s="1">
        <v>7.5149999999999997</v>
      </c>
      <c r="BL1048" s="1">
        <v>44736</v>
      </c>
      <c r="BM1048" s="1">
        <v>7.5149999999999997</v>
      </c>
      <c r="BN1048" s="1">
        <v>44735</v>
      </c>
      <c r="BO1048" s="1">
        <v>7.2249999999999996</v>
      </c>
      <c r="BP1048" s="1">
        <v>44736</v>
      </c>
      <c r="BQ1048" s="1">
        <v>6.8449999999999998</v>
      </c>
      <c r="BR1048" s="1">
        <v>44736</v>
      </c>
      <c r="BS1048" s="1">
        <v>6.31</v>
      </c>
      <c r="BT1048" s="1">
        <v>44736</v>
      </c>
      <c r="BU1048" s="1">
        <v>5.6429999999999998</v>
      </c>
      <c r="BV1048" s="1">
        <v>44736</v>
      </c>
      <c r="BW1048" s="1">
        <v>5.1529999999999996</v>
      </c>
      <c r="BY1048" s="1">
        <v>44665</v>
      </c>
      <c r="BZ1048" s="1">
        <v>4.4000000000000004</v>
      </c>
      <c r="CA1048" s="1">
        <v>44673</v>
      </c>
      <c r="CB1048" s="1">
        <v>6.6</v>
      </c>
      <c r="CC1048" s="1">
        <v>44736</v>
      </c>
      <c r="CD1048" s="1">
        <v>8.4</v>
      </c>
      <c r="CE1048" s="1">
        <v>44736</v>
      </c>
      <c r="CF1048" s="1">
        <v>8.9</v>
      </c>
      <c r="CG1048" s="1">
        <v>44736</v>
      </c>
      <c r="CH1048" s="1">
        <v>9.34</v>
      </c>
      <c r="CI1048" s="1">
        <v>44736</v>
      </c>
      <c r="CJ1048" s="1">
        <v>9.7449999999999992</v>
      </c>
      <c r="CK1048" s="1">
        <v>44736</v>
      </c>
      <c r="CL1048" s="1">
        <v>9.6750000000000007</v>
      </c>
      <c r="CM1048" s="1">
        <v>44736</v>
      </c>
      <c r="CN1048" s="1">
        <v>9.3800000000000008</v>
      </c>
      <c r="CO1048" s="1">
        <v>44728</v>
      </c>
      <c r="CP1048" s="1">
        <v>9.8424999999999994</v>
      </c>
      <c r="CQ1048" s="1">
        <v>44728</v>
      </c>
      <c r="CR1048" s="1">
        <v>9.5625</v>
      </c>
      <c r="CS1048" s="1">
        <v>44728</v>
      </c>
      <c r="CT1048" s="1">
        <v>9.2675000000000001</v>
      </c>
    </row>
    <row r="1049" spans="31:98" x14ac:dyDescent="0.2">
      <c r="AE1049" s="1">
        <v>44727</v>
      </c>
      <c r="AF1049" s="1">
        <v>6</v>
      </c>
      <c r="AG1049" s="1">
        <v>44678</v>
      </c>
      <c r="AH1049" s="1">
        <v>5.88</v>
      </c>
      <c r="AI1049" s="1">
        <v>44735</v>
      </c>
      <c r="AJ1049" s="1">
        <v>7.4295</v>
      </c>
      <c r="AK1049" s="1">
        <v>44735</v>
      </c>
      <c r="AL1049" s="1">
        <v>7.56</v>
      </c>
      <c r="AM1049" s="1">
        <v>44735</v>
      </c>
      <c r="AN1049" s="1">
        <v>7.7549999999999999</v>
      </c>
      <c r="AO1049" s="1">
        <v>44735</v>
      </c>
      <c r="AP1049" s="1">
        <v>7.915</v>
      </c>
      <c r="AQ1049" s="1">
        <v>44735</v>
      </c>
      <c r="AR1049" s="1">
        <v>7.835</v>
      </c>
      <c r="AS1049" s="1">
        <v>44735</v>
      </c>
      <c r="AT1049" s="1">
        <v>7.5149999999999997</v>
      </c>
      <c r="AU1049" s="1">
        <v>44735</v>
      </c>
      <c r="AV1049" s="1">
        <v>7.21</v>
      </c>
      <c r="AW1049" s="1">
        <v>44735</v>
      </c>
      <c r="AX1049" s="1">
        <v>6.86</v>
      </c>
      <c r="AY1049" s="1">
        <v>44735</v>
      </c>
      <c r="AZ1049" s="1">
        <v>6.61</v>
      </c>
      <c r="BB1049" s="1">
        <v>44657</v>
      </c>
      <c r="BC1049" s="1">
        <v>5</v>
      </c>
      <c r="BD1049" s="1">
        <v>44678</v>
      </c>
      <c r="BE1049" s="1">
        <v>5.43</v>
      </c>
      <c r="BF1049" s="1">
        <v>44735</v>
      </c>
      <c r="BG1049" s="1">
        <v>7.3550000000000004</v>
      </c>
      <c r="BH1049" s="1">
        <v>44735</v>
      </c>
      <c r="BI1049" s="1">
        <v>7.44</v>
      </c>
      <c r="BJ1049" s="1">
        <v>44735</v>
      </c>
      <c r="BK1049" s="1">
        <v>7.4550000000000001</v>
      </c>
      <c r="BL1049" s="1">
        <v>44735</v>
      </c>
      <c r="BM1049" s="1">
        <v>7.4249999999999998</v>
      </c>
      <c r="BN1049" s="1">
        <v>44734</v>
      </c>
      <c r="BO1049" s="1">
        <v>7.4880000000000004</v>
      </c>
      <c r="BP1049" s="1">
        <v>44735</v>
      </c>
      <c r="BQ1049" s="1">
        <v>6.76</v>
      </c>
      <c r="BR1049" s="1">
        <v>44735</v>
      </c>
      <c r="BS1049" s="1">
        <v>6.2649999999999997</v>
      </c>
      <c r="BT1049" s="1">
        <v>44735</v>
      </c>
      <c r="BU1049" s="1">
        <v>5.63</v>
      </c>
      <c r="BV1049" s="1">
        <v>44735</v>
      </c>
      <c r="BW1049" s="1">
        <v>5.133</v>
      </c>
      <c r="BY1049" s="1">
        <v>44664</v>
      </c>
      <c r="BZ1049" s="1">
        <v>4.4000000000000004</v>
      </c>
      <c r="CA1049" s="1">
        <v>44672</v>
      </c>
      <c r="CB1049" s="1">
        <v>6.6</v>
      </c>
      <c r="CC1049" s="1">
        <v>44735</v>
      </c>
      <c r="CD1049" s="1">
        <v>8.17</v>
      </c>
      <c r="CE1049" s="1">
        <v>44735</v>
      </c>
      <c r="CF1049" s="1">
        <v>8.61</v>
      </c>
      <c r="CG1049" s="1">
        <v>44735</v>
      </c>
      <c r="CH1049" s="1">
        <v>9.11</v>
      </c>
      <c r="CI1049" s="1">
        <v>44735</v>
      </c>
      <c r="CJ1049" s="1">
        <v>9.5500000000000007</v>
      </c>
      <c r="CK1049" s="1">
        <v>44735</v>
      </c>
      <c r="CL1049" s="1">
        <v>9.43</v>
      </c>
      <c r="CM1049" s="1">
        <v>44735</v>
      </c>
      <c r="CN1049" s="1">
        <v>9.14</v>
      </c>
      <c r="CO1049" s="1">
        <v>44727</v>
      </c>
      <c r="CP1049" s="1">
        <v>9.8224999999999998</v>
      </c>
      <c r="CQ1049" s="1">
        <v>44727</v>
      </c>
      <c r="CR1049" s="1">
        <v>9.5625</v>
      </c>
      <c r="CS1049" s="1">
        <v>44727</v>
      </c>
      <c r="CT1049" s="1">
        <v>9.3074999999999992</v>
      </c>
    </row>
    <row r="1050" spans="31:98" x14ac:dyDescent="0.2">
      <c r="AE1050" s="1">
        <v>44726</v>
      </c>
      <c r="AF1050" s="1">
        <v>6</v>
      </c>
      <c r="AG1050" s="1">
        <v>44677</v>
      </c>
      <c r="AH1050" s="1">
        <v>5.84</v>
      </c>
      <c r="AI1050" s="1">
        <v>44734</v>
      </c>
      <c r="AJ1050" s="1">
        <v>7.5140000000000002</v>
      </c>
      <c r="AK1050" s="1">
        <v>44734</v>
      </c>
      <c r="AL1050" s="1">
        <v>7.7450000000000001</v>
      </c>
      <c r="AM1050" s="1">
        <v>44734</v>
      </c>
      <c r="AN1050" s="1">
        <v>8.0250000000000004</v>
      </c>
      <c r="AO1050" s="1">
        <v>44734</v>
      </c>
      <c r="AP1050" s="1">
        <v>8.2100000000000009</v>
      </c>
      <c r="AQ1050" s="1">
        <v>44734</v>
      </c>
      <c r="AR1050" s="1">
        <v>8.1950000000000003</v>
      </c>
      <c r="AS1050" s="1">
        <v>44734</v>
      </c>
      <c r="AT1050" s="1">
        <v>7.8550000000000004</v>
      </c>
      <c r="AU1050" s="1">
        <v>44734</v>
      </c>
      <c r="AV1050" s="1">
        <v>7.63</v>
      </c>
      <c r="AW1050" s="1">
        <v>44734</v>
      </c>
      <c r="AX1050" s="1">
        <v>7.3849999999999998</v>
      </c>
      <c r="AY1050" s="1">
        <v>44734</v>
      </c>
      <c r="AZ1050" s="1">
        <v>7.08</v>
      </c>
      <c r="BB1050" s="1">
        <v>44656</v>
      </c>
      <c r="BC1050" s="1">
        <v>5</v>
      </c>
      <c r="BD1050" s="1">
        <v>44677</v>
      </c>
      <c r="BE1050" s="1">
        <v>5.42</v>
      </c>
      <c r="BF1050" s="1">
        <v>44734</v>
      </c>
      <c r="BG1050" s="1">
        <v>7.4</v>
      </c>
      <c r="BH1050" s="1">
        <v>44734</v>
      </c>
      <c r="BI1050" s="1">
        <v>7.4930000000000003</v>
      </c>
      <c r="BJ1050" s="1">
        <v>44734</v>
      </c>
      <c r="BK1050" s="1">
        <v>7.5149999999999997</v>
      </c>
      <c r="BL1050" s="1">
        <v>44734</v>
      </c>
      <c r="BM1050" s="1">
        <v>7.5949999999999998</v>
      </c>
      <c r="BN1050" s="1">
        <v>44733</v>
      </c>
      <c r="BO1050" s="1">
        <v>7.7249999999999996</v>
      </c>
      <c r="BP1050" s="1">
        <v>44734</v>
      </c>
      <c r="BQ1050" s="1">
        <v>7.1</v>
      </c>
      <c r="BR1050" s="1">
        <v>44734</v>
      </c>
      <c r="BS1050" s="1">
        <v>6.75</v>
      </c>
      <c r="BT1050" s="1">
        <v>44734</v>
      </c>
      <c r="BU1050" s="1">
        <v>6.1950000000000003</v>
      </c>
      <c r="BV1050" s="1">
        <v>44734</v>
      </c>
      <c r="BW1050" s="1">
        <v>5.7279999999999998</v>
      </c>
      <c r="BY1050" s="1">
        <v>44663</v>
      </c>
      <c r="BZ1050" s="1">
        <v>4.4000000000000004</v>
      </c>
      <c r="CA1050" s="1">
        <v>44671</v>
      </c>
      <c r="CB1050" s="1">
        <v>6.6</v>
      </c>
      <c r="CC1050" s="1">
        <v>44734</v>
      </c>
      <c r="CD1050" s="1">
        <v>8.2528000000000006</v>
      </c>
      <c r="CE1050" s="1">
        <v>44734</v>
      </c>
      <c r="CF1050" s="1">
        <v>8.7545000000000002</v>
      </c>
      <c r="CG1050" s="1">
        <v>44734</v>
      </c>
      <c r="CH1050" s="1">
        <v>9.27</v>
      </c>
      <c r="CI1050" s="1">
        <v>44734</v>
      </c>
      <c r="CJ1050" s="1">
        <v>9.8800000000000008</v>
      </c>
      <c r="CK1050" s="1">
        <v>44734</v>
      </c>
      <c r="CL1050" s="1">
        <v>9.9574999999999996</v>
      </c>
      <c r="CM1050" s="1">
        <v>44734</v>
      </c>
      <c r="CN1050" s="1">
        <v>9.8328000000000007</v>
      </c>
      <c r="CO1050" s="1">
        <v>44726</v>
      </c>
      <c r="CP1050" s="1">
        <v>9.8324999999999996</v>
      </c>
      <c r="CQ1050" s="1">
        <v>44726</v>
      </c>
      <c r="CR1050" s="1">
        <v>9.5625</v>
      </c>
      <c r="CS1050" s="1">
        <v>44726</v>
      </c>
      <c r="CT1050" s="1">
        <v>9.3074999999999992</v>
      </c>
    </row>
    <row r="1051" spans="31:98" x14ac:dyDescent="0.2">
      <c r="AE1051" s="1">
        <v>44725</v>
      </c>
      <c r="AF1051" s="1">
        <v>6</v>
      </c>
      <c r="AG1051" s="1">
        <v>44676</v>
      </c>
      <c r="AH1051" s="1">
        <v>5.79</v>
      </c>
      <c r="AI1051" s="1">
        <v>44733</v>
      </c>
      <c r="AJ1051" s="1">
        <v>7.7510000000000003</v>
      </c>
      <c r="AK1051" s="1">
        <v>44733</v>
      </c>
      <c r="AL1051" s="1">
        <v>7.9749999999999996</v>
      </c>
      <c r="AM1051" s="1">
        <v>44733</v>
      </c>
      <c r="AN1051" s="1">
        <v>8.32</v>
      </c>
      <c r="AO1051" s="1">
        <v>44733</v>
      </c>
      <c r="AP1051" s="1">
        <v>8.5</v>
      </c>
      <c r="AQ1051" s="1">
        <v>44733</v>
      </c>
      <c r="AR1051" s="1">
        <v>8.4949999999999992</v>
      </c>
      <c r="AS1051" s="1">
        <v>44733</v>
      </c>
      <c r="AT1051" s="1">
        <v>8.2850000000000001</v>
      </c>
      <c r="AU1051" s="1">
        <v>44733</v>
      </c>
      <c r="AV1051" s="1">
        <v>8.0500000000000007</v>
      </c>
      <c r="AW1051" s="1">
        <v>44733</v>
      </c>
      <c r="AX1051" s="1">
        <v>7.8150000000000004</v>
      </c>
      <c r="AY1051" s="1">
        <v>44733</v>
      </c>
      <c r="AZ1051" s="1">
        <v>7.56</v>
      </c>
      <c r="BB1051" s="1">
        <v>44655</v>
      </c>
      <c r="BC1051" s="1">
        <v>5</v>
      </c>
      <c r="BD1051" s="1">
        <v>44676</v>
      </c>
      <c r="BE1051" s="1">
        <v>5.4</v>
      </c>
      <c r="BF1051" s="1">
        <v>44733</v>
      </c>
      <c r="BG1051" s="1">
        <v>7.46</v>
      </c>
      <c r="BH1051" s="1">
        <v>44733</v>
      </c>
      <c r="BI1051" s="1">
        <v>7.6280000000000001</v>
      </c>
      <c r="BJ1051" s="1">
        <v>44733</v>
      </c>
      <c r="BK1051" s="1">
        <v>7.66</v>
      </c>
      <c r="BL1051" s="1">
        <v>44733</v>
      </c>
      <c r="BM1051" s="1">
        <v>7.7850000000000001</v>
      </c>
      <c r="BN1051" s="1">
        <v>44732</v>
      </c>
      <c r="BO1051" s="1">
        <v>7.875</v>
      </c>
      <c r="BP1051" s="1">
        <v>44733</v>
      </c>
      <c r="BQ1051" s="1">
        <v>7.4749999999999996</v>
      </c>
      <c r="BR1051" s="1">
        <v>44733</v>
      </c>
      <c r="BS1051" s="1">
        <v>7.165</v>
      </c>
      <c r="BT1051" s="1">
        <v>44733</v>
      </c>
      <c r="BU1051" s="1">
        <v>6.73</v>
      </c>
      <c r="BV1051" s="1">
        <v>44733</v>
      </c>
      <c r="BW1051" s="1">
        <v>6.3</v>
      </c>
      <c r="BY1051" s="1">
        <v>44662</v>
      </c>
      <c r="BZ1051" s="1">
        <v>4.4000000000000004</v>
      </c>
      <c r="CA1051" s="1">
        <v>44670</v>
      </c>
      <c r="CB1051" s="1">
        <v>6.6</v>
      </c>
      <c r="CC1051" s="1">
        <v>44733</v>
      </c>
      <c r="CD1051" s="1">
        <v>8.2750000000000004</v>
      </c>
      <c r="CE1051" s="1">
        <v>44733</v>
      </c>
      <c r="CF1051" s="1">
        <v>8.8925000000000001</v>
      </c>
      <c r="CG1051" s="1">
        <v>44733</v>
      </c>
      <c r="CH1051" s="1">
        <v>9.4450000000000003</v>
      </c>
      <c r="CI1051" s="1">
        <v>44733</v>
      </c>
      <c r="CJ1051" s="1">
        <v>10.055</v>
      </c>
      <c r="CK1051" s="1">
        <v>44733</v>
      </c>
      <c r="CL1051" s="1">
        <v>10.154999999999999</v>
      </c>
      <c r="CM1051" s="1">
        <v>44733</v>
      </c>
      <c r="CN1051" s="1">
        <v>10.1225</v>
      </c>
      <c r="CO1051" s="1">
        <v>44725</v>
      </c>
      <c r="CP1051" s="1">
        <v>9.8424999999999994</v>
      </c>
      <c r="CQ1051" s="1">
        <v>44725</v>
      </c>
      <c r="CR1051" s="1">
        <v>9.5724999999999998</v>
      </c>
      <c r="CS1051" s="1">
        <v>44725</v>
      </c>
      <c r="CT1051" s="1">
        <v>9.3175000000000008</v>
      </c>
    </row>
    <row r="1052" spans="31:98" x14ac:dyDescent="0.2">
      <c r="AE1052" s="1">
        <v>44722</v>
      </c>
      <c r="AF1052" s="1">
        <v>6</v>
      </c>
      <c r="AG1052" s="1">
        <v>44673</v>
      </c>
      <c r="AH1052" s="1">
        <v>5.74</v>
      </c>
      <c r="AI1052" s="1">
        <v>44732</v>
      </c>
      <c r="AJ1052" s="1">
        <v>7.8150000000000004</v>
      </c>
      <c r="AK1052" s="1">
        <v>44732</v>
      </c>
      <c r="AL1052" s="1">
        <v>8.15</v>
      </c>
      <c r="AM1052" s="1">
        <v>44732</v>
      </c>
      <c r="AN1052" s="1">
        <v>8.51</v>
      </c>
      <c r="AO1052" s="1">
        <v>44732</v>
      </c>
      <c r="AP1052" s="1">
        <v>8.7149999999999999</v>
      </c>
      <c r="AQ1052" s="1">
        <v>44732</v>
      </c>
      <c r="AR1052" s="1">
        <v>8.7149999999999999</v>
      </c>
      <c r="AS1052" s="1">
        <v>44732</v>
      </c>
      <c r="AT1052" s="1">
        <v>8.51</v>
      </c>
      <c r="AU1052" s="1">
        <v>44732</v>
      </c>
      <c r="AV1052" s="1">
        <v>8.2799999999999994</v>
      </c>
      <c r="AW1052" s="1">
        <v>44732</v>
      </c>
      <c r="AX1052" s="1">
        <v>8.0449999999999999</v>
      </c>
      <c r="AY1052" s="1">
        <v>44732</v>
      </c>
      <c r="AZ1052" s="1">
        <v>7.7750000000000004</v>
      </c>
      <c r="BB1052" s="1">
        <v>44652</v>
      </c>
      <c r="BC1052" s="1">
        <v>5</v>
      </c>
      <c r="BD1052" s="1">
        <v>44673</v>
      </c>
      <c r="BE1052" s="1">
        <v>5.4</v>
      </c>
      <c r="BF1052" s="1">
        <v>44732</v>
      </c>
      <c r="BG1052" s="1">
        <v>7.56</v>
      </c>
      <c r="BH1052" s="1">
        <v>44732</v>
      </c>
      <c r="BI1052" s="1">
        <v>7.7130000000000001</v>
      </c>
      <c r="BJ1052" s="1">
        <v>44732</v>
      </c>
      <c r="BK1052" s="1">
        <v>7.7450000000000001</v>
      </c>
      <c r="BL1052" s="1">
        <v>44732</v>
      </c>
      <c r="BM1052" s="1">
        <v>7.9450000000000003</v>
      </c>
      <c r="BN1052" s="1">
        <v>44729</v>
      </c>
      <c r="BO1052" s="1">
        <v>7.8129999999999997</v>
      </c>
      <c r="BP1052" s="1">
        <v>44732</v>
      </c>
      <c r="BQ1052" s="1">
        <v>7.6150000000000002</v>
      </c>
      <c r="BR1052" s="1">
        <v>44732</v>
      </c>
      <c r="BS1052" s="1">
        <v>7.3029999999999999</v>
      </c>
      <c r="BT1052" s="1">
        <v>44732</v>
      </c>
      <c r="BU1052" s="1">
        <v>6.8630000000000004</v>
      </c>
      <c r="BV1052" s="1">
        <v>44732</v>
      </c>
      <c r="BW1052" s="1">
        <v>6.423</v>
      </c>
      <c r="BY1052" s="1">
        <v>44659</v>
      </c>
      <c r="BZ1052" s="1">
        <v>4.4000000000000004</v>
      </c>
      <c r="CA1052" s="1">
        <v>44665</v>
      </c>
      <c r="CB1052" s="1">
        <v>6.6</v>
      </c>
      <c r="CC1052" s="1">
        <v>44732</v>
      </c>
      <c r="CD1052" s="1">
        <v>8.31</v>
      </c>
      <c r="CE1052" s="1">
        <v>44732</v>
      </c>
      <c r="CF1052" s="1">
        <v>8.9275000000000002</v>
      </c>
      <c r="CG1052" s="1">
        <v>44732</v>
      </c>
      <c r="CH1052" s="1">
        <v>9.49</v>
      </c>
      <c r="CI1052" s="1">
        <v>44732</v>
      </c>
      <c r="CJ1052" s="1">
        <v>10.09</v>
      </c>
      <c r="CK1052" s="1">
        <v>44732</v>
      </c>
      <c r="CL1052" s="1">
        <v>10.19</v>
      </c>
      <c r="CM1052" s="1">
        <v>44732</v>
      </c>
      <c r="CN1052" s="1">
        <v>10.157500000000001</v>
      </c>
      <c r="CO1052" s="1">
        <v>44722</v>
      </c>
      <c r="CP1052" s="1">
        <v>9.0075000000000003</v>
      </c>
      <c r="CQ1052" s="1">
        <v>44722</v>
      </c>
      <c r="CR1052" s="1">
        <v>8.7274999999999991</v>
      </c>
      <c r="CS1052" s="1">
        <v>44722</v>
      </c>
      <c r="CT1052" s="1">
        <v>8.4924999999999997</v>
      </c>
    </row>
    <row r="1053" spans="31:98" x14ac:dyDescent="0.2">
      <c r="AE1053" s="1">
        <v>44721</v>
      </c>
      <c r="AF1053" s="1">
        <v>6</v>
      </c>
      <c r="AG1053" s="1">
        <v>44672</v>
      </c>
      <c r="AH1053" s="1">
        <v>5.68</v>
      </c>
      <c r="AI1053" s="1">
        <v>44729</v>
      </c>
      <c r="AJ1053" s="1">
        <v>7.7060000000000004</v>
      </c>
      <c r="AK1053" s="1">
        <v>44729</v>
      </c>
      <c r="AL1053" s="1">
        <v>8.0250000000000004</v>
      </c>
      <c r="AM1053" s="1">
        <v>44729</v>
      </c>
      <c r="AN1053" s="1">
        <v>8.33</v>
      </c>
      <c r="AO1053" s="1">
        <v>44729</v>
      </c>
      <c r="AP1053" s="1">
        <v>8.4574999999999996</v>
      </c>
      <c r="AQ1053" s="1">
        <v>44729</v>
      </c>
      <c r="AR1053" s="1">
        <v>8.4574999999999996</v>
      </c>
      <c r="AS1053" s="1">
        <v>44729</v>
      </c>
      <c r="AT1053" s="1">
        <v>8.2974999999999994</v>
      </c>
      <c r="AU1053" s="1">
        <v>44729</v>
      </c>
      <c r="AV1053" s="1">
        <v>8.1174999999999997</v>
      </c>
      <c r="AW1053" s="1">
        <v>44729</v>
      </c>
      <c r="AX1053" s="1">
        <v>7.9074999999999998</v>
      </c>
      <c r="AY1053" s="1">
        <v>44729</v>
      </c>
      <c r="AZ1053" s="1">
        <v>7.6375000000000002</v>
      </c>
      <c r="BB1053" s="1">
        <v>44651</v>
      </c>
      <c r="BC1053" s="1">
        <v>4.5</v>
      </c>
      <c r="BD1053" s="1">
        <v>44672</v>
      </c>
      <c r="BE1053" s="1">
        <v>5.39</v>
      </c>
      <c r="BF1053" s="1">
        <v>44729</v>
      </c>
      <c r="BG1053" s="1">
        <v>7.5</v>
      </c>
      <c r="BH1053" s="1">
        <v>44729</v>
      </c>
      <c r="BI1053" s="1">
        <v>7.665</v>
      </c>
      <c r="BJ1053" s="1">
        <v>44729</v>
      </c>
      <c r="BK1053" s="1">
        <v>7.69</v>
      </c>
      <c r="BL1053" s="1">
        <v>44729</v>
      </c>
      <c r="BM1053" s="1">
        <v>7.8780000000000001</v>
      </c>
      <c r="BN1053" s="1">
        <v>44728</v>
      </c>
      <c r="BO1053" s="1">
        <v>7.8150000000000004</v>
      </c>
      <c r="BP1053" s="1">
        <v>44729</v>
      </c>
      <c r="BQ1053" s="1">
        <v>7.4880000000000004</v>
      </c>
      <c r="BR1053" s="1">
        <v>44729</v>
      </c>
      <c r="BS1053" s="1">
        <v>7.1479999999999997</v>
      </c>
      <c r="BT1053" s="1">
        <v>44729</v>
      </c>
      <c r="BU1053" s="1">
        <v>6.7130000000000001</v>
      </c>
      <c r="BV1053" s="1">
        <v>44729</v>
      </c>
      <c r="BW1053" s="1">
        <v>6.2649999999999997</v>
      </c>
      <c r="BY1053" s="1">
        <v>44658</v>
      </c>
      <c r="BZ1053" s="1">
        <v>4.4000000000000004</v>
      </c>
      <c r="CA1053" s="1">
        <v>44664</v>
      </c>
      <c r="CB1053" s="1">
        <v>6.6</v>
      </c>
      <c r="CC1053" s="1">
        <v>44729</v>
      </c>
      <c r="CD1053" s="1">
        <v>8.15</v>
      </c>
      <c r="CE1053" s="1">
        <v>44729</v>
      </c>
      <c r="CF1053" s="1">
        <v>8.6775000000000002</v>
      </c>
      <c r="CG1053" s="1">
        <v>44729</v>
      </c>
      <c r="CH1053" s="1">
        <v>9.1999999999999993</v>
      </c>
      <c r="CI1053" s="1">
        <v>44729</v>
      </c>
      <c r="CJ1053" s="1">
        <v>9.7324999999999999</v>
      </c>
      <c r="CK1053" s="1">
        <v>44729</v>
      </c>
      <c r="CL1053" s="1">
        <v>9.91</v>
      </c>
      <c r="CM1053" s="1">
        <v>44729</v>
      </c>
      <c r="CN1053" s="1">
        <v>9.9124999999999996</v>
      </c>
      <c r="CO1053" s="1">
        <v>44721</v>
      </c>
      <c r="CP1053" s="1">
        <v>8.7675000000000001</v>
      </c>
      <c r="CQ1053" s="1">
        <v>44721</v>
      </c>
      <c r="CR1053" s="1">
        <v>8.4875000000000007</v>
      </c>
      <c r="CS1053" s="1">
        <v>44721</v>
      </c>
      <c r="CT1053" s="1">
        <v>8.2524999999999995</v>
      </c>
    </row>
    <row r="1054" spans="31:98" x14ac:dyDescent="0.2">
      <c r="AE1054" s="1">
        <v>44720</v>
      </c>
      <c r="AF1054" s="1">
        <v>6</v>
      </c>
      <c r="AG1054" s="1">
        <v>44671</v>
      </c>
      <c r="AH1054" s="1">
        <v>5.65</v>
      </c>
      <c r="AI1054" s="1">
        <v>44728</v>
      </c>
      <c r="AJ1054" s="1">
        <v>7.5640000000000001</v>
      </c>
      <c r="AK1054" s="1">
        <v>44728</v>
      </c>
      <c r="AL1054" s="1">
        <v>7.85</v>
      </c>
      <c r="AM1054" s="1">
        <v>44728</v>
      </c>
      <c r="AN1054" s="1">
        <v>8.1199999999999992</v>
      </c>
      <c r="AO1054" s="1">
        <v>44728</v>
      </c>
      <c r="AP1054" s="1">
        <v>8.26</v>
      </c>
      <c r="AQ1054" s="1">
        <v>44728</v>
      </c>
      <c r="AR1054" s="1">
        <v>8.2349999999999994</v>
      </c>
      <c r="AS1054" s="1">
        <v>44728</v>
      </c>
      <c r="AT1054" s="1">
        <v>8.0850000000000009</v>
      </c>
      <c r="AU1054" s="1">
        <v>44728</v>
      </c>
      <c r="AV1054" s="1">
        <v>7.89</v>
      </c>
      <c r="AW1054" s="1">
        <v>44728</v>
      </c>
      <c r="AX1054" s="1">
        <v>7.6749999999999998</v>
      </c>
      <c r="AY1054" s="1">
        <v>44728</v>
      </c>
      <c r="AZ1054" s="1">
        <v>7.46</v>
      </c>
      <c r="BB1054" s="1">
        <v>44650</v>
      </c>
      <c r="BC1054" s="1">
        <v>4.5</v>
      </c>
      <c r="BD1054" s="1">
        <v>44671</v>
      </c>
      <c r="BE1054" s="1">
        <v>5.4</v>
      </c>
      <c r="BF1054" s="1">
        <v>44728</v>
      </c>
      <c r="BG1054" s="1">
        <v>7.4749999999999996</v>
      </c>
      <c r="BH1054" s="1">
        <v>44728</v>
      </c>
      <c r="BI1054" s="1">
        <v>7.63</v>
      </c>
      <c r="BJ1054" s="1">
        <v>44728</v>
      </c>
      <c r="BK1054" s="1">
        <v>7.67</v>
      </c>
      <c r="BL1054" s="1">
        <v>44728</v>
      </c>
      <c r="BM1054" s="1">
        <v>7.8550000000000004</v>
      </c>
      <c r="BN1054" s="1">
        <v>44727</v>
      </c>
      <c r="BO1054" s="1">
        <v>7.62</v>
      </c>
      <c r="BP1054" s="1">
        <v>44728</v>
      </c>
      <c r="BQ1054" s="1">
        <v>7.5149999999999997</v>
      </c>
      <c r="BR1054" s="1">
        <v>44728</v>
      </c>
      <c r="BS1054" s="1">
        <v>7.173</v>
      </c>
      <c r="BT1054" s="1">
        <v>44728</v>
      </c>
      <c r="BU1054" s="1">
        <v>6.7380000000000004</v>
      </c>
      <c r="BV1054" s="1">
        <v>44728</v>
      </c>
      <c r="BW1054" s="1">
        <v>6.29</v>
      </c>
      <c r="BY1054" s="1">
        <v>44657</v>
      </c>
      <c r="BZ1054" s="1">
        <v>4.4000000000000004</v>
      </c>
      <c r="CA1054" s="1">
        <v>44663</v>
      </c>
      <c r="CB1054" s="1">
        <v>6.6</v>
      </c>
      <c r="CC1054" s="1">
        <v>44728</v>
      </c>
      <c r="CD1054" s="1">
        <v>8.15</v>
      </c>
      <c r="CE1054" s="1">
        <v>44728</v>
      </c>
      <c r="CF1054" s="1">
        <v>8.6775000000000002</v>
      </c>
      <c r="CG1054" s="1">
        <v>44728</v>
      </c>
      <c r="CH1054" s="1">
        <v>9.3550000000000004</v>
      </c>
      <c r="CI1054" s="1">
        <v>44728</v>
      </c>
      <c r="CJ1054" s="1">
        <v>9.7324999999999999</v>
      </c>
      <c r="CK1054" s="1">
        <v>44728</v>
      </c>
      <c r="CL1054" s="1">
        <v>9.91</v>
      </c>
      <c r="CM1054" s="1">
        <v>44728</v>
      </c>
      <c r="CN1054" s="1">
        <v>9.9124999999999996</v>
      </c>
      <c r="CO1054" s="1">
        <v>44720</v>
      </c>
      <c r="CP1054" s="1">
        <v>8.5749999999999993</v>
      </c>
      <c r="CQ1054" s="1">
        <v>44720</v>
      </c>
      <c r="CR1054" s="1">
        <v>8.2949999999999999</v>
      </c>
      <c r="CS1054" s="1">
        <v>44720</v>
      </c>
      <c r="CT1054" s="1">
        <v>8.06</v>
      </c>
    </row>
    <row r="1055" spans="31:98" x14ac:dyDescent="0.2">
      <c r="AE1055" s="1">
        <v>44719</v>
      </c>
      <c r="AF1055" s="1">
        <v>5.25</v>
      </c>
      <c r="AG1055" s="1">
        <v>44670</v>
      </c>
      <c r="AH1055" s="1">
        <v>5.57</v>
      </c>
      <c r="AI1055" s="1">
        <v>44727</v>
      </c>
      <c r="AJ1055" s="1">
        <v>7.5625</v>
      </c>
      <c r="AK1055" s="1">
        <v>44727</v>
      </c>
      <c r="AL1055" s="1">
        <v>7.85</v>
      </c>
      <c r="AM1055" s="1">
        <v>44727</v>
      </c>
      <c r="AN1055" s="1">
        <v>8.1199999999999992</v>
      </c>
      <c r="AO1055" s="1">
        <v>44727</v>
      </c>
      <c r="AP1055" s="1">
        <v>8.26</v>
      </c>
      <c r="AQ1055" s="1">
        <v>44727</v>
      </c>
      <c r="AR1055" s="1">
        <v>8.2349999999999994</v>
      </c>
      <c r="AS1055" s="1">
        <v>44727</v>
      </c>
      <c r="AT1055" s="1">
        <v>8.0850000000000009</v>
      </c>
      <c r="AU1055" s="1">
        <v>44727</v>
      </c>
      <c r="AV1055" s="1">
        <v>7.89</v>
      </c>
      <c r="AW1055" s="1">
        <v>44727</v>
      </c>
      <c r="AX1055" s="1">
        <v>7.6749999999999998</v>
      </c>
      <c r="AY1055" s="1">
        <v>44727</v>
      </c>
      <c r="AZ1055" s="1">
        <v>7.46</v>
      </c>
      <c r="BB1055" s="1">
        <v>44649</v>
      </c>
      <c r="BC1055" s="1">
        <v>4.5</v>
      </c>
      <c r="BD1055" s="1">
        <v>44670</v>
      </c>
      <c r="BE1055" s="1">
        <v>5.38</v>
      </c>
      <c r="BF1055" s="1">
        <v>44727</v>
      </c>
      <c r="BG1055" s="1">
        <v>7.335</v>
      </c>
      <c r="BH1055" s="1">
        <v>44727</v>
      </c>
      <c r="BI1055" s="1">
        <v>7.4630000000000001</v>
      </c>
      <c r="BJ1055" s="1">
        <v>44727</v>
      </c>
      <c r="BK1055" s="1">
        <v>7.55</v>
      </c>
      <c r="BL1055" s="1">
        <v>44727</v>
      </c>
      <c r="BM1055" s="1">
        <v>7.64</v>
      </c>
      <c r="BN1055" s="1">
        <v>44726</v>
      </c>
      <c r="BO1055" s="1">
        <v>7.5650000000000004</v>
      </c>
      <c r="BP1055" s="1">
        <v>44727</v>
      </c>
      <c r="BQ1055" s="1">
        <v>7.3150000000000004</v>
      </c>
      <c r="BR1055" s="1">
        <v>44727</v>
      </c>
      <c r="BS1055" s="1">
        <v>7.008</v>
      </c>
      <c r="BT1055" s="1">
        <v>44727</v>
      </c>
      <c r="BU1055" s="1">
        <v>6.5650000000000004</v>
      </c>
      <c r="BV1055" s="1">
        <v>44727</v>
      </c>
      <c r="BW1055" s="1">
        <v>6.12</v>
      </c>
      <c r="BY1055" s="1">
        <v>44656</v>
      </c>
      <c r="BZ1055" s="1">
        <v>4.4000000000000004</v>
      </c>
      <c r="CA1055" s="1">
        <v>44662</v>
      </c>
      <c r="CB1055" s="1">
        <v>6.59</v>
      </c>
      <c r="CC1055" s="1">
        <v>44727</v>
      </c>
      <c r="CD1055" s="1">
        <v>7.79</v>
      </c>
      <c r="CE1055" s="1">
        <v>44727</v>
      </c>
      <c r="CF1055" s="1">
        <v>8.2874999999999996</v>
      </c>
      <c r="CG1055" s="1">
        <v>44727</v>
      </c>
      <c r="CH1055" s="1">
        <v>8.84</v>
      </c>
      <c r="CI1055" s="1">
        <v>44727</v>
      </c>
      <c r="CJ1055" s="1">
        <v>9.5924999999999994</v>
      </c>
      <c r="CK1055" s="1">
        <v>44727</v>
      </c>
      <c r="CL1055" s="1">
        <v>9.8800000000000008</v>
      </c>
      <c r="CM1055" s="1">
        <v>44727</v>
      </c>
      <c r="CN1055" s="1">
        <v>10.032500000000001</v>
      </c>
      <c r="CO1055" s="1">
        <v>44719</v>
      </c>
      <c r="CP1055" s="1">
        <v>8.2249999999999996</v>
      </c>
      <c r="CQ1055" s="1">
        <v>44719</v>
      </c>
      <c r="CR1055" s="1">
        <v>7.9450000000000003</v>
      </c>
      <c r="CS1055" s="1">
        <v>44719</v>
      </c>
      <c r="CT1055" s="1">
        <v>7.71</v>
      </c>
    </row>
    <row r="1056" spans="31:98" x14ac:dyDescent="0.2">
      <c r="AE1056" s="1">
        <v>44718</v>
      </c>
      <c r="AF1056" s="1">
        <v>5.25</v>
      </c>
      <c r="AG1056" s="1">
        <v>44666</v>
      </c>
      <c r="AH1056" s="1">
        <v>5.54</v>
      </c>
      <c r="AI1056" s="1">
        <v>44726</v>
      </c>
      <c r="AJ1056" s="1">
        <v>7.5075000000000003</v>
      </c>
      <c r="AK1056" s="1">
        <v>44726</v>
      </c>
      <c r="AL1056" s="1">
        <v>7.78</v>
      </c>
      <c r="AM1056" s="1">
        <v>44726</v>
      </c>
      <c r="AN1056" s="1">
        <v>8.0250000000000004</v>
      </c>
      <c r="AO1056" s="1">
        <v>44726</v>
      </c>
      <c r="AP1056" s="1">
        <v>8.1750000000000007</v>
      </c>
      <c r="AQ1056" s="1">
        <v>44726</v>
      </c>
      <c r="AR1056" s="1">
        <v>8.1750000000000007</v>
      </c>
      <c r="AS1056" s="1">
        <v>44726</v>
      </c>
      <c r="AT1056" s="1">
        <v>8.1150000000000002</v>
      </c>
      <c r="AU1056" s="1">
        <v>44726</v>
      </c>
      <c r="AV1056" s="1">
        <v>7.86</v>
      </c>
      <c r="AW1056" s="1">
        <v>44726</v>
      </c>
      <c r="AX1056" s="1">
        <v>7.5750000000000002</v>
      </c>
      <c r="AY1056" s="1">
        <v>44726</v>
      </c>
      <c r="AZ1056" s="1">
        <v>7.35</v>
      </c>
      <c r="BB1056" s="1">
        <v>44648</v>
      </c>
      <c r="BC1056" s="1">
        <v>4.5</v>
      </c>
      <c r="BD1056" s="1">
        <v>44665</v>
      </c>
      <c r="BE1056" s="1">
        <v>5.37</v>
      </c>
      <c r="BF1056" s="1">
        <v>44726</v>
      </c>
      <c r="BG1056" s="1">
        <v>7.3</v>
      </c>
      <c r="BH1056" s="1">
        <v>44726</v>
      </c>
      <c r="BI1056" s="1">
        <v>7.4249999999999998</v>
      </c>
      <c r="BJ1056" s="1">
        <v>44726</v>
      </c>
      <c r="BK1056" s="1">
        <v>7.5149999999999997</v>
      </c>
      <c r="BL1056" s="1">
        <v>44726</v>
      </c>
      <c r="BM1056" s="1">
        <v>7.6050000000000004</v>
      </c>
      <c r="BN1056" s="1">
        <v>44725</v>
      </c>
      <c r="BO1056" s="1">
        <v>7.5</v>
      </c>
      <c r="BP1056" s="1">
        <v>44726</v>
      </c>
      <c r="BQ1056" s="1">
        <v>7.29</v>
      </c>
      <c r="BR1056" s="1">
        <v>44726</v>
      </c>
      <c r="BS1056" s="1">
        <v>6.9880000000000004</v>
      </c>
      <c r="BT1056" s="1">
        <v>44726</v>
      </c>
      <c r="BU1056" s="1">
        <v>6.5549999999999997</v>
      </c>
      <c r="BV1056" s="1">
        <v>44726</v>
      </c>
      <c r="BW1056" s="1">
        <v>6.0750000000000002</v>
      </c>
      <c r="BY1056" s="1">
        <v>44655</v>
      </c>
      <c r="BZ1056" s="1">
        <v>4.4000000000000004</v>
      </c>
      <c r="CA1056" s="1">
        <v>44659</v>
      </c>
      <c r="CB1056" s="1">
        <v>6.57</v>
      </c>
      <c r="CC1056" s="1">
        <v>44726</v>
      </c>
      <c r="CD1056" s="1">
        <v>7.76</v>
      </c>
      <c r="CE1056" s="1">
        <v>44726</v>
      </c>
      <c r="CF1056" s="1">
        <v>8.2475000000000005</v>
      </c>
      <c r="CG1056" s="1">
        <v>44726</v>
      </c>
      <c r="CH1056" s="1">
        <v>8.8000000000000007</v>
      </c>
      <c r="CI1056" s="1">
        <v>44726</v>
      </c>
      <c r="CJ1056" s="1">
        <v>9.4924999999999997</v>
      </c>
      <c r="CK1056" s="1">
        <v>44726</v>
      </c>
      <c r="CL1056" s="1">
        <v>9.8800000000000008</v>
      </c>
      <c r="CM1056" s="1">
        <v>44726</v>
      </c>
      <c r="CN1056" s="1">
        <v>9.9924999999999997</v>
      </c>
      <c r="CO1056" s="1">
        <v>44718</v>
      </c>
      <c r="CP1056" s="1">
        <v>8.2149999999999999</v>
      </c>
      <c r="CQ1056" s="1">
        <v>44718</v>
      </c>
      <c r="CR1056" s="1">
        <v>7.9050000000000002</v>
      </c>
      <c r="CS1056" s="1">
        <v>44718</v>
      </c>
      <c r="CT1056" s="1">
        <v>7.64</v>
      </c>
    </row>
    <row r="1057" spans="31:98" x14ac:dyDescent="0.2">
      <c r="AE1057" s="1">
        <v>44715</v>
      </c>
      <c r="AF1057" s="1">
        <v>5.25</v>
      </c>
      <c r="AG1057" s="1">
        <v>44665</v>
      </c>
      <c r="AH1057" s="1">
        <v>5.51</v>
      </c>
      <c r="AI1057" s="1">
        <v>44725</v>
      </c>
      <c r="AJ1057" s="1">
        <v>7.4974999999999996</v>
      </c>
      <c r="AK1057" s="1">
        <v>44725</v>
      </c>
      <c r="AL1057" s="1">
        <v>7.7249999999999996</v>
      </c>
      <c r="AM1057" s="1">
        <v>44725</v>
      </c>
      <c r="AN1057" s="1">
        <v>7.95</v>
      </c>
      <c r="AO1057" s="1">
        <v>44725</v>
      </c>
      <c r="AP1057" s="1">
        <v>8.1199999999999992</v>
      </c>
      <c r="AQ1057" s="1">
        <v>44725</v>
      </c>
      <c r="AR1057" s="1">
        <v>8.125</v>
      </c>
      <c r="AS1057" s="1">
        <v>44725</v>
      </c>
      <c r="AT1057" s="1">
        <v>8.0274999999999999</v>
      </c>
      <c r="AU1057" s="1">
        <v>44725</v>
      </c>
      <c r="AV1057" s="1">
        <v>7.7824999999999998</v>
      </c>
      <c r="AW1057" s="1">
        <v>44725</v>
      </c>
      <c r="AX1057" s="1">
        <v>7.4974999999999996</v>
      </c>
      <c r="AY1057" s="1">
        <v>44725</v>
      </c>
      <c r="AZ1057" s="1">
        <v>7.2725</v>
      </c>
      <c r="BB1057" s="1">
        <v>44645</v>
      </c>
      <c r="BC1057" s="1">
        <v>4.5</v>
      </c>
      <c r="BD1057" s="1">
        <v>44664</v>
      </c>
      <c r="BE1057" s="1">
        <v>5.35</v>
      </c>
      <c r="BF1057" s="1">
        <v>44725</v>
      </c>
      <c r="BG1057" s="1">
        <v>7.2350000000000003</v>
      </c>
      <c r="BH1057" s="1">
        <v>44725</v>
      </c>
      <c r="BI1057" s="1">
        <v>7.3879999999999999</v>
      </c>
      <c r="BJ1057" s="1">
        <v>44725</v>
      </c>
      <c r="BK1057" s="1">
        <v>7.46</v>
      </c>
      <c r="BL1057" s="1">
        <v>44725</v>
      </c>
      <c r="BM1057" s="1">
        <v>7.5350000000000001</v>
      </c>
      <c r="BN1057" s="1">
        <v>44722</v>
      </c>
      <c r="BO1057" s="1">
        <v>7.3550000000000004</v>
      </c>
      <c r="BP1057" s="1">
        <v>44725</v>
      </c>
      <c r="BQ1057" s="1">
        <v>7.2249999999999996</v>
      </c>
      <c r="BR1057" s="1">
        <v>44725</v>
      </c>
      <c r="BS1057" s="1">
        <v>6.9249999999999998</v>
      </c>
      <c r="BT1057" s="1">
        <v>44725</v>
      </c>
      <c r="BU1057" s="1">
        <v>6.4950000000000001</v>
      </c>
      <c r="BV1057" s="1">
        <v>44725</v>
      </c>
      <c r="BW1057" s="1">
        <v>6.0149999999999997</v>
      </c>
      <c r="BY1057" s="1">
        <v>44652</v>
      </c>
      <c r="BZ1057" s="1">
        <v>4.4000000000000004</v>
      </c>
      <c r="CA1057" s="1">
        <v>44658</v>
      </c>
      <c r="CB1057" s="1">
        <v>6.56</v>
      </c>
      <c r="CC1057" s="1">
        <v>44725</v>
      </c>
      <c r="CD1057" s="1">
        <v>7.68</v>
      </c>
      <c r="CE1057" s="1">
        <v>44725</v>
      </c>
      <c r="CF1057" s="1">
        <v>8.1575000000000006</v>
      </c>
      <c r="CG1057" s="1">
        <v>44725</v>
      </c>
      <c r="CH1057" s="1">
        <v>8.6199999999999992</v>
      </c>
      <c r="CI1057" s="1">
        <v>44725</v>
      </c>
      <c r="CJ1057" s="1">
        <v>9.5625</v>
      </c>
      <c r="CK1057" s="1">
        <v>44725</v>
      </c>
      <c r="CL1057" s="1">
        <v>9.99</v>
      </c>
      <c r="CM1057" s="1">
        <v>44725</v>
      </c>
      <c r="CN1057" s="1">
        <v>10.0025</v>
      </c>
      <c r="CO1057" s="1">
        <v>44715</v>
      </c>
      <c r="CP1057" s="1">
        <v>8.2149999999999999</v>
      </c>
      <c r="CQ1057" s="1">
        <v>44715</v>
      </c>
      <c r="CR1057" s="1">
        <v>7.9050000000000002</v>
      </c>
      <c r="CS1057" s="1">
        <v>44715</v>
      </c>
      <c r="CT1057" s="1">
        <v>7.64</v>
      </c>
    </row>
    <row r="1058" spans="31:98" x14ac:dyDescent="0.2">
      <c r="AE1058" s="1">
        <v>44714</v>
      </c>
      <c r="AF1058" s="1">
        <v>5.25</v>
      </c>
      <c r="AG1058" s="1">
        <v>44664</v>
      </c>
      <c r="AH1058" s="1">
        <v>5.47</v>
      </c>
      <c r="AI1058" s="1">
        <v>44722</v>
      </c>
      <c r="AJ1058" s="1">
        <v>7.3</v>
      </c>
      <c r="AK1058" s="1">
        <v>44722</v>
      </c>
      <c r="AL1058" s="1">
        <v>7.5250000000000004</v>
      </c>
      <c r="AM1058" s="1">
        <v>44722</v>
      </c>
      <c r="AN1058" s="1">
        <v>7.6849999999999996</v>
      </c>
      <c r="AO1058" s="1">
        <v>44722</v>
      </c>
      <c r="AP1058" s="1">
        <v>7.82</v>
      </c>
      <c r="AQ1058" s="1">
        <v>44722</v>
      </c>
      <c r="AR1058" s="1">
        <v>7.8150000000000004</v>
      </c>
      <c r="AS1058" s="1">
        <v>44722</v>
      </c>
      <c r="AT1058" s="1">
        <v>7.7</v>
      </c>
      <c r="AU1058" s="1">
        <v>44722</v>
      </c>
      <c r="AV1058" s="1">
        <v>7.44</v>
      </c>
      <c r="AW1058" s="1">
        <v>44722</v>
      </c>
      <c r="AX1058" s="1">
        <v>7.15</v>
      </c>
      <c r="AY1058" s="1">
        <v>44722</v>
      </c>
      <c r="AZ1058" s="1">
        <v>6.9249999999999998</v>
      </c>
      <c r="BB1058" s="1">
        <v>44644</v>
      </c>
      <c r="BC1058" s="1">
        <v>4.5</v>
      </c>
      <c r="BD1058" s="1">
        <v>44663</v>
      </c>
      <c r="BE1058" s="1">
        <v>5.34</v>
      </c>
      <c r="BF1058" s="1">
        <v>44722</v>
      </c>
      <c r="BG1058" s="1">
        <v>7.1849999999999996</v>
      </c>
      <c r="BH1058" s="1">
        <v>44722</v>
      </c>
      <c r="BI1058" s="1">
        <v>7.3529999999999998</v>
      </c>
      <c r="BJ1058" s="1">
        <v>44722</v>
      </c>
      <c r="BK1058" s="1">
        <v>7.4050000000000002</v>
      </c>
      <c r="BL1058" s="1">
        <v>44722</v>
      </c>
      <c r="BM1058" s="1">
        <v>7.4550000000000001</v>
      </c>
      <c r="BN1058" s="1">
        <v>44721</v>
      </c>
      <c r="BO1058" s="1">
        <v>7.0650000000000004</v>
      </c>
      <c r="BP1058" s="1">
        <v>44722</v>
      </c>
      <c r="BQ1058" s="1">
        <v>7.03</v>
      </c>
      <c r="BR1058" s="1">
        <v>44722</v>
      </c>
      <c r="BS1058" s="1">
        <v>6.6349999999999998</v>
      </c>
      <c r="BT1058" s="1">
        <v>44722</v>
      </c>
      <c r="BU1058" s="1">
        <v>6.0049999999999999</v>
      </c>
      <c r="BV1058" s="1">
        <v>44722</v>
      </c>
      <c r="BW1058" s="1">
        <v>5.5579999999999998</v>
      </c>
      <c r="BY1058" s="1">
        <v>44650</v>
      </c>
      <c r="BZ1058" s="1">
        <v>4.4000000000000004</v>
      </c>
      <c r="CA1058" s="1">
        <v>44657</v>
      </c>
      <c r="CB1058" s="1">
        <v>6.54</v>
      </c>
      <c r="CC1058" s="1">
        <v>44722</v>
      </c>
      <c r="CD1058" s="1">
        <v>7.6</v>
      </c>
      <c r="CE1058" s="1">
        <v>44722</v>
      </c>
      <c r="CF1058" s="1">
        <v>8.0175000000000001</v>
      </c>
      <c r="CG1058" s="1">
        <v>44722</v>
      </c>
      <c r="CH1058" s="1">
        <v>8.42</v>
      </c>
      <c r="CI1058" s="1">
        <v>44722</v>
      </c>
      <c r="CJ1058" s="1">
        <v>9.0724999999999998</v>
      </c>
      <c r="CK1058" s="1">
        <v>44722</v>
      </c>
      <c r="CL1058" s="1">
        <v>9.25</v>
      </c>
      <c r="CM1058" s="1">
        <v>44722</v>
      </c>
      <c r="CN1058" s="1">
        <v>9.1775000000000002</v>
      </c>
      <c r="CO1058" s="1">
        <v>44714</v>
      </c>
      <c r="CP1058" s="1">
        <v>8.2050000000000001</v>
      </c>
      <c r="CQ1058" s="1">
        <v>44714</v>
      </c>
      <c r="CR1058" s="1">
        <v>7.9050000000000002</v>
      </c>
      <c r="CS1058" s="1">
        <v>44714</v>
      </c>
      <c r="CT1058" s="1">
        <v>7.64</v>
      </c>
    </row>
    <row r="1059" spans="31:98" x14ac:dyDescent="0.2">
      <c r="AE1059" s="1">
        <v>44713</v>
      </c>
      <c r="AF1059" s="1">
        <v>5.25</v>
      </c>
      <c r="AG1059" s="1">
        <v>44663</v>
      </c>
      <c r="AH1059" s="1">
        <v>5.43</v>
      </c>
      <c r="AI1059" s="1">
        <v>44721</v>
      </c>
      <c r="AJ1059" s="1">
        <v>7.22</v>
      </c>
      <c r="AK1059" s="1">
        <v>44721</v>
      </c>
      <c r="AL1059" s="1">
        <v>7.42</v>
      </c>
      <c r="AM1059" s="1">
        <v>44721</v>
      </c>
      <c r="AN1059" s="1">
        <v>7.5750000000000002</v>
      </c>
      <c r="AO1059" s="1">
        <v>44721</v>
      </c>
      <c r="AP1059" s="1">
        <v>7.6624999999999996</v>
      </c>
      <c r="AQ1059" s="1">
        <v>44721</v>
      </c>
      <c r="AR1059" s="1">
        <v>7.64</v>
      </c>
      <c r="AS1059" s="1">
        <v>44721</v>
      </c>
      <c r="AT1059" s="1">
        <v>7.4950000000000001</v>
      </c>
      <c r="AU1059" s="1">
        <v>44721</v>
      </c>
      <c r="AV1059" s="1">
        <v>7.24</v>
      </c>
      <c r="AW1059" s="1">
        <v>44721</v>
      </c>
      <c r="AX1059" s="1">
        <v>6.96</v>
      </c>
      <c r="AY1059" s="1">
        <v>44721</v>
      </c>
      <c r="AZ1059" s="1">
        <v>6.6849999999999996</v>
      </c>
      <c r="BB1059" s="1">
        <v>44643</v>
      </c>
      <c r="BC1059" s="1">
        <v>4.5</v>
      </c>
      <c r="BD1059" s="1">
        <v>44662</v>
      </c>
      <c r="BE1059" s="1">
        <v>5.33</v>
      </c>
      <c r="BF1059" s="1">
        <v>44721</v>
      </c>
      <c r="BG1059" s="1">
        <v>7.08</v>
      </c>
      <c r="BH1059" s="1">
        <v>44721</v>
      </c>
      <c r="BI1059" s="1">
        <v>7.13</v>
      </c>
      <c r="BJ1059" s="1">
        <v>44721</v>
      </c>
      <c r="BK1059" s="1">
        <v>7.15</v>
      </c>
      <c r="BL1059" s="1">
        <v>44721</v>
      </c>
      <c r="BM1059" s="1">
        <v>7.15</v>
      </c>
      <c r="BN1059" s="1">
        <v>44720</v>
      </c>
      <c r="BO1059" s="1">
        <v>7.03</v>
      </c>
      <c r="BP1059" s="1">
        <v>44721</v>
      </c>
      <c r="BQ1059" s="1">
        <v>6.8049999999999997</v>
      </c>
      <c r="BR1059" s="1">
        <v>44721</v>
      </c>
      <c r="BS1059" s="1">
        <v>6.4</v>
      </c>
      <c r="BT1059" s="1">
        <v>44721</v>
      </c>
      <c r="BU1059" s="1">
        <v>5.82</v>
      </c>
      <c r="BV1059" s="1">
        <v>44721</v>
      </c>
      <c r="BW1059" s="1">
        <v>5.4130000000000003</v>
      </c>
      <c r="BY1059" s="1">
        <v>44649</v>
      </c>
      <c r="BZ1059" s="1">
        <v>4.4000000000000004</v>
      </c>
      <c r="CA1059" s="1">
        <v>44656</v>
      </c>
      <c r="CB1059" s="1">
        <v>6.49</v>
      </c>
      <c r="CC1059" s="1">
        <v>44721</v>
      </c>
      <c r="CD1059" s="1">
        <v>7.47</v>
      </c>
      <c r="CE1059" s="1">
        <v>44721</v>
      </c>
      <c r="CF1059" s="1">
        <v>7.7675000000000001</v>
      </c>
      <c r="CG1059" s="1">
        <v>44721</v>
      </c>
      <c r="CH1059" s="1">
        <v>8.06</v>
      </c>
      <c r="CI1059" s="1">
        <v>44721</v>
      </c>
      <c r="CJ1059" s="1">
        <v>8.7025000000000006</v>
      </c>
      <c r="CK1059" s="1">
        <v>44721</v>
      </c>
      <c r="CL1059" s="1">
        <v>9.01</v>
      </c>
      <c r="CM1059" s="1">
        <v>44721</v>
      </c>
      <c r="CN1059" s="1">
        <v>8.9375</v>
      </c>
      <c r="CO1059" s="1">
        <v>44713</v>
      </c>
      <c r="CP1059" s="1">
        <v>8.2050000000000001</v>
      </c>
      <c r="CQ1059" s="1">
        <v>44713</v>
      </c>
      <c r="CR1059" s="1">
        <v>7.9050000000000002</v>
      </c>
      <c r="CS1059" s="1">
        <v>44713</v>
      </c>
      <c r="CT1059" s="1">
        <v>7.64</v>
      </c>
    </row>
    <row r="1060" spans="31:98" x14ac:dyDescent="0.2">
      <c r="AE1060" s="1">
        <v>44712</v>
      </c>
      <c r="AF1060" s="1">
        <v>5.25</v>
      </c>
      <c r="AG1060" s="1">
        <v>44662</v>
      </c>
      <c r="AH1060" s="1">
        <v>5.37</v>
      </c>
      <c r="AI1060" s="1">
        <v>44720</v>
      </c>
      <c r="AJ1060" s="1">
        <v>7.1630000000000003</v>
      </c>
      <c r="AK1060" s="1">
        <v>44720</v>
      </c>
      <c r="AL1060" s="1">
        <v>7.5129999999999999</v>
      </c>
      <c r="AM1060" s="1">
        <v>44720</v>
      </c>
      <c r="AN1060" s="1">
        <v>7.6849999999999996</v>
      </c>
      <c r="AO1060" s="1">
        <v>44720</v>
      </c>
      <c r="AP1060" s="1">
        <v>7.8049999999999997</v>
      </c>
      <c r="AQ1060" s="1">
        <v>44720</v>
      </c>
      <c r="AR1060" s="1">
        <v>7.8150000000000004</v>
      </c>
      <c r="AS1060" s="1">
        <v>44720</v>
      </c>
      <c r="AT1060" s="1">
        <v>7.6</v>
      </c>
      <c r="AU1060" s="1">
        <v>44720</v>
      </c>
      <c r="AV1060" s="1">
        <v>7.2949999999999999</v>
      </c>
      <c r="AW1060" s="1">
        <v>44720</v>
      </c>
      <c r="AX1060" s="1">
        <v>6.9749999999999996</v>
      </c>
      <c r="AY1060" s="1">
        <v>44720</v>
      </c>
      <c r="AZ1060" s="1">
        <v>6.6550000000000002</v>
      </c>
      <c r="BB1060" s="1">
        <v>44642</v>
      </c>
      <c r="BC1060" s="1">
        <v>4.5</v>
      </c>
      <c r="BD1060" s="1">
        <v>44659</v>
      </c>
      <c r="BE1060" s="1">
        <v>5.32</v>
      </c>
      <c r="BF1060" s="1">
        <v>44720</v>
      </c>
      <c r="BG1060" s="1">
        <v>7.07</v>
      </c>
      <c r="BH1060" s="1">
        <v>44720</v>
      </c>
      <c r="BI1060" s="1">
        <v>7.093</v>
      </c>
      <c r="BJ1060" s="1">
        <v>44720</v>
      </c>
      <c r="BK1060" s="1">
        <v>7.11</v>
      </c>
      <c r="BL1060" s="1">
        <v>44720</v>
      </c>
      <c r="BM1060" s="1">
        <v>7.1</v>
      </c>
      <c r="BN1060" s="1">
        <v>44719</v>
      </c>
      <c r="BO1060" s="1">
        <v>6.9249999999999998</v>
      </c>
      <c r="BP1060" s="1">
        <v>44720</v>
      </c>
      <c r="BQ1060" s="1">
        <v>6.6749999999999998</v>
      </c>
      <c r="BR1060" s="1">
        <v>44720</v>
      </c>
      <c r="BS1060" s="1">
        <v>6.2649999999999997</v>
      </c>
      <c r="BT1060" s="1">
        <v>44720</v>
      </c>
      <c r="BU1060" s="1">
        <v>5.6079999999999997</v>
      </c>
      <c r="BV1060" s="1">
        <v>44720</v>
      </c>
      <c r="BW1060" s="1">
        <v>5.1829999999999998</v>
      </c>
      <c r="BY1060" s="1">
        <v>44648</v>
      </c>
      <c r="BZ1060" s="1">
        <v>4.4000000000000004</v>
      </c>
      <c r="CA1060" s="1">
        <v>44655</v>
      </c>
      <c r="CB1060" s="1">
        <v>6.48</v>
      </c>
      <c r="CC1060" s="1">
        <v>44720</v>
      </c>
      <c r="CD1060" s="1">
        <v>7.47</v>
      </c>
      <c r="CE1060" s="1">
        <v>44720</v>
      </c>
      <c r="CF1060" s="1">
        <v>7.7050000000000001</v>
      </c>
      <c r="CG1060" s="1">
        <v>44720</v>
      </c>
      <c r="CH1060" s="1">
        <v>7.9974999999999996</v>
      </c>
      <c r="CI1060" s="1">
        <v>44720</v>
      </c>
      <c r="CJ1060" s="1">
        <v>8.61</v>
      </c>
      <c r="CK1060" s="1">
        <v>44720</v>
      </c>
      <c r="CL1060" s="1">
        <v>8.8175000000000008</v>
      </c>
      <c r="CM1060" s="1">
        <v>44720</v>
      </c>
      <c r="CN1060" s="1">
        <v>8.7449999999999992</v>
      </c>
      <c r="CO1060" s="1">
        <v>44712</v>
      </c>
      <c r="CP1060" s="1">
        <v>8.1549999999999994</v>
      </c>
      <c r="CQ1060" s="1">
        <v>44712</v>
      </c>
      <c r="CR1060" s="1">
        <v>7.835</v>
      </c>
      <c r="CS1060" s="1">
        <v>44712</v>
      </c>
      <c r="CT1060" s="1">
        <v>7.57</v>
      </c>
    </row>
    <row r="1061" spans="31:98" x14ac:dyDescent="0.2">
      <c r="AE1061" s="1">
        <v>44711</v>
      </c>
      <c r="AF1061" s="1">
        <v>5.25</v>
      </c>
      <c r="AG1061" s="1">
        <v>44659</v>
      </c>
      <c r="AH1061" s="1">
        <v>5.32</v>
      </c>
      <c r="AI1061" s="1">
        <v>44719</v>
      </c>
      <c r="AJ1061" s="1">
        <v>7.1675000000000004</v>
      </c>
      <c r="AK1061" s="1">
        <v>44719</v>
      </c>
      <c r="AL1061" s="1">
        <v>7.5449999999999999</v>
      </c>
      <c r="AM1061" s="1">
        <v>44719</v>
      </c>
      <c r="AN1061" s="1">
        <v>7.6749999999999998</v>
      </c>
      <c r="AO1061" s="1">
        <v>44719</v>
      </c>
      <c r="AP1061" s="1">
        <v>7.9</v>
      </c>
      <c r="AQ1061" s="1">
        <v>44719</v>
      </c>
      <c r="AR1061" s="1">
        <v>7.89</v>
      </c>
      <c r="AS1061" s="1">
        <v>44719</v>
      </c>
      <c r="AT1061" s="1">
        <v>7.6349999999999998</v>
      </c>
      <c r="AU1061" s="1">
        <v>44719</v>
      </c>
      <c r="AV1061" s="1">
        <v>7.3150000000000004</v>
      </c>
      <c r="AW1061" s="1">
        <v>44719</v>
      </c>
      <c r="AX1061" s="1">
        <v>6.9950000000000001</v>
      </c>
      <c r="AY1061" s="1">
        <v>44719</v>
      </c>
      <c r="AZ1061" s="1">
        <v>6.6749999999999998</v>
      </c>
      <c r="BB1061" s="1">
        <v>44641</v>
      </c>
      <c r="BC1061" s="1">
        <v>4.5</v>
      </c>
      <c r="BD1061" s="1">
        <v>44658</v>
      </c>
      <c r="BE1061" s="1">
        <v>5.31</v>
      </c>
      <c r="BF1061" s="1">
        <v>44719</v>
      </c>
      <c r="BG1061" s="1">
        <v>6.9550000000000001</v>
      </c>
      <c r="BH1061" s="1">
        <v>44719</v>
      </c>
      <c r="BI1061" s="1">
        <v>6.9550000000000001</v>
      </c>
      <c r="BJ1061" s="1">
        <v>44719</v>
      </c>
      <c r="BK1061" s="1">
        <v>6.9850000000000003</v>
      </c>
      <c r="BL1061" s="1">
        <v>44719</v>
      </c>
      <c r="BM1061" s="1">
        <v>6.91</v>
      </c>
      <c r="BN1061" s="1">
        <v>44718</v>
      </c>
      <c r="BO1061" s="1">
        <v>6.7380000000000004</v>
      </c>
      <c r="BP1061" s="1">
        <v>44719</v>
      </c>
      <c r="BQ1061" s="1">
        <v>6.5650000000000004</v>
      </c>
      <c r="BR1061" s="1">
        <v>44719</v>
      </c>
      <c r="BS1061" s="1">
        <v>6.165</v>
      </c>
      <c r="BT1061" s="1">
        <v>44719</v>
      </c>
      <c r="BU1061" s="1">
        <v>5.4649999999999999</v>
      </c>
      <c r="BV1061" s="1">
        <v>44719</v>
      </c>
      <c r="BW1061" s="1">
        <v>5.01</v>
      </c>
      <c r="BY1061" s="1">
        <v>44645</v>
      </c>
      <c r="BZ1061" s="1">
        <v>4.4000000000000004</v>
      </c>
      <c r="CA1061" s="1">
        <v>44652</v>
      </c>
      <c r="CB1061" s="1">
        <v>6.48</v>
      </c>
      <c r="CC1061" s="1">
        <v>44719</v>
      </c>
      <c r="CD1061" s="1">
        <v>7.42</v>
      </c>
      <c r="CE1061" s="1">
        <v>44719</v>
      </c>
      <c r="CF1061" s="1">
        <v>7.6449999999999996</v>
      </c>
      <c r="CG1061" s="1">
        <v>44719</v>
      </c>
      <c r="CH1061" s="1">
        <v>7.8875000000000002</v>
      </c>
      <c r="CI1061" s="1">
        <v>44719</v>
      </c>
      <c r="CJ1061" s="1">
        <v>8.4499999999999993</v>
      </c>
      <c r="CK1061" s="1">
        <v>44719</v>
      </c>
      <c r="CL1061" s="1">
        <v>8.4774999999999991</v>
      </c>
      <c r="CM1061" s="1">
        <v>44719</v>
      </c>
      <c r="CN1061" s="1">
        <v>8.3949999999999996</v>
      </c>
      <c r="CO1061" s="1">
        <v>44711</v>
      </c>
      <c r="CP1061" s="1">
        <v>8.0350000000000001</v>
      </c>
      <c r="CQ1061" s="1">
        <v>44711</v>
      </c>
      <c r="CR1061" s="1">
        <v>7.7149999999999999</v>
      </c>
      <c r="CS1061" s="1">
        <v>44711</v>
      </c>
      <c r="CT1061" s="1">
        <v>7.45</v>
      </c>
    </row>
    <row r="1062" spans="31:98" x14ac:dyDescent="0.2">
      <c r="AE1062" s="1">
        <v>44708</v>
      </c>
      <c r="AF1062" s="1">
        <v>5.25</v>
      </c>
      <c r="AG1062" s="1">
        <v>44658</v>
      </c>
      <c r="AH1062" s="1">
        <v>5.26</v>
      </c>
      <c r="AI1062" s="1">
        <v>44718</v>
      </c>
      <c r="AJ1062" s="1">
        <v>7.1479999999999997</v>
      </c>
      <c r="AK1062" s="1">
        <v>44718</v>
      </c>
      <c r="AL1062" s="1">
        <v>7.5049999999999999</v>
      </c>
      <c r="AM1062" s="1">
        <v>44718</v>
      </c>
      <c r="AN1062" s="1">
        <v>7.63</v>
      </c>
      <c r="AO1062" s="1">
        <v>44718</v>
      </c>
      <c r="AP1062" s="1">
        <v>7.8</v>
      </c>
      <c r="AQ1062" s="1">
        <v>44718</v>
      </c>
      <c r="AR1062" s="1">
        <v>7.7949999999999999</v>
      </c>
      <c r="AS1062" s="1">
        <v>44718</v>
      </c>
      <c r="AT1062" s="1">
        <v>7.55</v>
      </c>
      <c r="AU1062" s="1">
        <v>44718</v>
      </c>
      <c r="AV1062" s="1">
        <v>7.23</v>
      </c>
      <c r="AW1062" s="1">
        <v>44718</v>
      </c>
      <c r="AX1062" s="1">
        <v>6.915</v>
      </c>
      <c r="AY1062" s="1">
        <v>44718</v>
      </c>
      <c r="AZ1062" s="1">
        <v>6.61</v>
      </c>
      <c r="BB1062" s="1">
        <v>44638</v>
      </c>
      <c r="BC1062" s="1">
        <v>4.5</v>
      </c>
      <c r="BD1062" s="1">
        <v>44657</v>
      </c>
      <c r="BE1062" s="1">
        <v>5.3</v>
      </c>
      <c r="BF1062" s="1">
        <v>44718</v>
      </c>
      <c r="BG1062" s="1">
        <v>6.875</v>
      </c>
      <c r="BH1062" s="1">
        <v>44718</v>
      </c>
      <c r="BI1062" s="1">
        <v>6.875</v>
      </c>
      <c r="BJ1062" s="1">
        <v>44718</v>
      </c>
      <c r="BK1062" s="1">
        <v>6.8959999999999999</v>
      </c>
      <c r="BL1062" s="1">
        <v>44718</v>
      </c>
      <c r="BM1062" s="1">
        <v>6.8550000000000004</v>
      </c>
      <c r="BN1062" s="1">
        <v>44715</v>
      </c>
      <c r="BO1062" s="1">
        <v>6.5449999999999999</v>
      </c>
      <c r="BP1062" s="1">
        <v>44718</v>
      </c>
      <c r="BQ1062" s="1">
        <v>6.4550000000000001</v>
      </c>
      <c r="BR1062" s="1">
        <v>44718</v>
      </c>
      <c r="BS1062" s="1">
        <v>6.04</v>
      </c>
      <c r="BT1062" s="1">
        <v>44718</v>
      </c>
      <c r="BU1062" s="1">
        <v>5.3929999999999998</v>
      </c>
      <c r="BV1062" s="1">
        <v>44718</v>
      </c>
      <c r="BW1062" s="1">
        <v>4.9779999999999998</v>
      </c>
      <c r="BY1062" s="1">
        <v>44644</v>
      </c>
      <c r="BZ1062" s="1">
        <v>4.4000000000000004</v>
      </c>
      <c r="CA1062" s="1">
        <v>44651</v>
      </c>
      <c r="CB1062" s="1">
        <v>6.48</v>
      </c>
      <c r="CC1062" s="1">
        <v>44718</v>
      </c>
      <c r="CD1062" s="1">
        <v>7.41</v>
      </c>
      <c r="CE1062" s="1">
        <v>44718</v>
      </c>
      <c r="CF1062" s="1">
        <v>7.6349999999999998</v>
      </c>
      <c r="CG1062" s="1">
        <v>44718</v>
      </c>
      <c r="CH1062" s="1">
        <v>7.8775000000000004</v>
      </c>
      <c r="CI1062" s="1">
        <v>44718</v>
      </c>
      <c r="CJ1062" s="1">
        <v>8.44</v>
      </c>
      <c r="CK1062" s="1">
        <v>44718</v>
      </c>
      <c r="CL1062" s="1">
        <v>8.4674999999999994</v>
      </c>
      <c r="CM1062" s="1">
        <v>44718</v>
      </c>
      <c r="CN1062" s="1">
        <v>8.3849999999999998</v>
      </c>
      <c r="CO1062" s="1">
        <v>44708</v>
      </c>
      <c r="CP1062" s="1">
        <v>8.0549999999999997</v>
      </c>
      <c r="CQ1062" s="1">
        <v>44708</v>
      </c>
      <c r="CR1062" s="1">
        <v>7.7350000000000003</v>
      </c>
      <c r="CS1062" s="1">
        <v>44708</v>
      </c>
      <c r="CT1062" s="1">
        <v>7.47</v>
      </c>
    </row>
    <row r="1063" spans="31:98" x14ac:dyDescent="0.2">
      <c r="AE1063" s="1">
        <v>44707</v>
      </c>
      <c r="AF1063" s="1">
        <v>5.25</v>
      </c>
      <c r="AG1063" s="1">
        <v>44657</v>
      </c>
      <c r="AH1063" s="1">
        <v>4.92</v>
      </c>
      <c r="AI1063" s="1">
        <v>44715</v>
      </c>
      <c r="AJ1063" s="1">
        <v>7.06</v>
      </c>
      <c r="AK1063" s="1">
        <v>44715</v>
      </c>
      <c r="AL1063" s="1">
        <v>7.45</v>
      </c>
      <c r="AM1063" s="1">
        <v>44715</v>
      </c>
      <c r="AN1063" s="1">
        <v>7.58</v>
      </c>
      <c r="AO1063" s="1">
        <v>44715</v>
      </c>
      <c r="AP1063" s="1">
        <v>7.7575000000000003</v>
      </c>
      <c r="AQ1063" s="1">
        <v>44715</v>
      </c>
      <c r="AR1063" s="1">
        <v>7.7549999999999999</v>
      </c>
      <c r="AS1063" s="1">
        <v>44715</v>
      </c>
      <c r="AT1063" s="1">
        <v>7.49</v>
      </c>
      <c r="AU1063" s="1">
        <v>44715</v>
      </c>
      <c r="AV1063" s="1">
        <v>7.12</v>
      </c>
      <c r="AW1063" s="1">
        <v>44715</v>
      </c>
      <c r="AX1063" s="1">
        <v>6.8</v>
      </c>
      <c r="AY1063" s="1">
        <v>44715</v>
      </c>
      <c r="AZ1063" s="1">
        <v>6.4924999999999997</v>
      </c>
      <c r="BB1063" s="1">
        <v>44637</v>
      </c>
      <c r="BC1063" s="1">
        <v>4.5</v>
      </c>
      <c r="BD1063" s="1">
        <v>44656</v>
      </c>
      <c r="BE1063" s="1">
        <v>5.29</v>
      </c>
      <c r="BF1063" s="1">
        <v>44715</v>
      </c>
      <c r="BG1063" s="1">
        <v>6.73</v>
      </c>
      <c r="BH1063" s="1">
        <v>44715</v>
      </c>
      <c r="BI1063" s="1">
        <v>6.7450000000000001</v>
      </c>
      <c r="BJ1063" s="1">
        <v>44715</v>
      </c>
      <c r="BK1063" s="1">
        <v>6.79</v>
      </c>
      <c r="BL1063" s="1">
        <v>44715</v>
      </c>
      <c r="BM1063" s="1">
        <v>6.7249999999999996</v>
      </c>
      <c r="BN1063" s="1">
        <v>44714</v>
      </c>
      <c r="BO1063" s="1">
        <v>6.5449999999999999</v>
      </c>
      <c r="BP1063" s="1">
        <v>44715</v>
      </c>
      <c r="BQ1063" s="1">
        <v>6.23</v>
      </c>
      <c r="BR1063" s="1">
        <v>44715</v>
      </c>
      <c r="BS1063" s="1">
        <v>5.8550000000000004</v>
      </c>
      <c r="BT1063" s="1">
        <v>44715</v>
      </c>
      <c r="BU1063" s="1">
        <v>5.22</v>
      </c>
      <c r="BV1063" s="1">
        <v>44715</v>
      </c>
      <c r="BW1063" s="1">
        <v>4.8</v>
      </c>
      <c r="BY1063" s="1">
        <v>44643</v>
      </c>
      <c r="BZ1063" s="1">
        <v>4.4000000000000004</v>
      </c>
      <c r="CA1063" s="1">
        <v>44650</v>
      </c>
      <c r="CB1063" s="1">
        <v>6.48</v>
      </c>
      <c r="CC1063" s="1">
        <v>44715</v>
      </c>
      <c r="CD1063" s="1">
        <v>7.41</v>
      </c>
      <c r="CE1063" s="1">
        <v>44715</v>
      </c>
      <c r="CF1063" s="1">
        <v>7.6349999999999998</v>
      </c>
      <c r="CG1063" s="1">
        <v>44715</v>
      </c>
      <c r="CH1063" s="1">
        <v>7.875</v>
      </c>
      <c r="CI1063" s="1">
        <v>44715</v>
      </c>
      <c r="CJ1063" s="1">
        <v>8.44</v>
      </c>
      <c r="CK1063" s="1">
        <v>44715</v>
      </c>
      <c r="CL1063" s="1">
        <v>8.4678000000000004</v>
      </c>
      <c r="CM1063" s="1">
        <v>44715</v>
      </c>
      <c r="CN1063" s="1">
        <v>8.3849999999999998</v>
      </c>
      <c r="CO1063" s="1">
        <v>44707</v>
      </c>
      <c r="CP1063" s="1">
        <v>7.915</v>
      </c>
      <c r="CQ1063" s="1">
        <v>44707</v>
      </c>
      <c r="CR1063" s="1">
        <v>7.6050000000000004</v>
      </c>
      <c r="CS1063" s="1">
        <v>44707</v>
      </c>
      <c r="CT1063" s="1">
        <v>7.34</v>
      </c>
    </row>
    <row r="1064" spans="31:98" x14ac:dyDescent="0.2">
      <c r="AE1064" s="1">
        <v>44706</v>
      </c>
      <c r="AF1064" s="1">
        <v>5.25</v>
      </c>
      <c r="AG1064" s="1">
        <v>44656</v>
      </c>
      <c r="AH1064" s="1">
        <v>4.9000000000000004</v>
      </c>
      <c r="AI1064" s="1">
        <v>44714</v>
      </c>
      <c r="AJ1064" s="1">
        <v>7.06</v>
      </c>
      <c r="AK1064" s="1">
        <v>44714</v>
      </c>
      <c r="AL1064" s="1">
        <v>7.45</v>
      </c>
      <c r="AM1064" s="1">
        <v>44714</v>
      </c>
      <c r="AN1064" s="1">
        <v>7.58</v>
      </c>
      <c r="AO1064" s="1">
        <v>44714</v>
      </c>
      <c r="AP1064" s="1">
        <v>7.7575000000000003</v>
      </c>
      <c r="AQ1064" s="1">
        <v>44714</v>
      </c>
      <c r="AR1064" s="1">
        <v>7.7549999999999999</v>
      </c>
      <c r="AS1064" s="1">
        <v>44714</v>
      </c>
      <c r="AT1064" s="1">
        <v>7.49</v>
      </c>
      <c r="AU1064" s="1">
        <v>44714</v>
      </c>
      <c r="AV1064" s="1">
        <v>7.12</v>
      </c>
      <c r="AW1064" s="1">
        <v>44714</v>
      </c>
      <c r="AX1064" s="1">
        <v>6.8</v>
      </c>
      <c r="AY1064" s="1">
        <v>44714</v>
      </c>
      <c r="AZ1064" s="1">
        <v>6.4924999999999997</v>
      </c>
      <c r="BB1064" s="1">
        <v>44636</v>
      </c>
      <c r="BC1064" s="1">
        <v>4.5</v>
      </c>
      <c r="BD1064" s="1">
        <v>44655</v>
      </c>
      <c r="BE1064" s="1">
        <v>5.28</v>
      </c>
      <c r="BF1064" s="1">
        <v>44714</v>
      </c>
      <c r="BG1064" s="1">
        <v>6.73</v>
      </c>
      <c r="BH1064" s="1">
        <v>44714</v>
      </c>
      <c r="BI1064" s="1">
        <v>6.7450000000000001</v>
      </c>
      <c r="BJ1064" s="1">
        <v>44714</v>
      </c>
      <c r="BK1064" s="1">
        <v>6.79</v>
      </c>
      <c r="BL1064" s="1">
        <v>44714</v>
      </c>
      <c r="BM1064" s="1">
        <v>6.7249999999999996</v>
      </c>
      <c r="BN1064" s="1">
        <v>44713</v>
      </c>
      <c r="BO1064" s="1">
        <v>6.5449999999999999</v>
      </c>
      <c r="BP1064" s="1">
        <v>44714</v>
      </c>
      <c r="BQ1064" s="1">
        <v>6.23</v>
      </c>
      <c r="BR1064" s="1">
        <v>44714</v>
      </c>
      <c r="BS1064" s="1">
        <v>5.8550000000000004</v>
      </c>
      <c r="BT1064" s="1">
        <v>44714</v>
      </c>
      <c r="BU1064" s="1">
        <v>5.22</v>
      </c>
      <c r="BV1064" s="1">
        <v>44714</v>
      </c>
      <c r="BW1064" s="1">
        <v>4.8</v>
      </c>
      <c r="BY1064" s="1">
        <v>44642</v>
      </c>
      <c r="BZ1064" s="1">
        <v>3.4</v>
      </c>
      <c r="CA1064" s="1">
        <v>44649</v>
      </c>
      <c r="CB1064" s="1">
        <v>6.47</v>
      </c>
      <c r="CC1064" s="1">
        <v>44714</v>
      </c>
      <c r="CD1064" s="1">
        <v>7.41</v>
      </c>
      <c r="CE1064" s="1">
        <v>44714</v>
      </c>
      <c r="CF1064" s="1">
        <v>7.6349999999999998</v>
      </c>
      <c r="CG1064" s="1">
        <v>44714</v>
      </c>
      <c r="CH1064" s="1">
        <v>7.8775000000000004</v>
      </c>
      <c r="CI1064" s="1">
        <v>44714</v>
      </c>
      <c r="CJ1064" s="1">
        <v>8.44</v>
      </c>
      <c r="CK1064" s="1">
        <v>44714</v>
      </c>
      <c r="CL1064" s="1">
        <v>8.4674999999999994</v>
      </c>
      <c r="CM1064" s="1">
        <v>44714</v>
      </c>
      <c r="CN1064" s="1">
        <v>8.4250000000000007</v>
      </c>
      <c r="CO1064" s="1">
        <v>44706</v>
      </c>
      <c r="CP1064" s="1">
        <v>7.6849999999999996</v>
      </c>
      <c r="CQ1064" s="1">
        <v>44706</v>
      </c>
      <c r="CR1064" s="1">
        <v>7.4450000000000003</v>
      </c>
      <c r="CS1064" s="1">
        <v>44706</v>
      </c>
      <c r="CT1064" s="1">
        <v>7.14</v>
      </c>
    </row>
    <row r="1065" spans="31:98" x14ac:dyDescent="0.2">
      <c r="AE1065" s="1">
        <v>44705</v>
      </c>
      <c r="AF1065" s="1">
        <v>5.25</v>
      </c>
      <c r="AG1065" s="1">
        <v>44655</v>
      </c>
      <c r="AH1065" s="1">
        <v>4.88</v>
      </c>
      <c r="AI1065" s="1">
        <v>44713</v>
      </c>
      <c r="AJ1065" s="1">
        <v>7.07</v>
      </c>
      <c r="AK1065" s="1">
        <v>44713</v>
      </c>
      <c r="AL1065" s="1">
        <v>7.45</v>
      </c>
      <c r="AM1065" s="1">
        <v>44713</v>
      </c>
      <c r="AN1065" s="1">
        <v>7.58</v>
      </c>
      <c r="AO1065" s="1">
        <v>44713</v>
      </c>
      <c r="AP1065" s="1">
        <v>7.7575000000000003</v>
      </c>
      <c r="AQ1065" s="1">
        <v>44713</v>
      </c>
      <c r="AR1065" s="1">
        <v>7.7549999999999999</v>
      </c>
      <c r="AS1065" s="1">
        <v>44713</v>
      </c>
      <c r="AT1065" s="1">
        <v>7.49</v>
      </c>
      <c r="AU1065" s="1">
        <v>44713</v>
      </c>
      <c r="AV1065" s="1">
        <v>7.12</v>
      </c>
      <c r="AW1065" s="1">
        <v>44713</v>
      </c>
      <c r="AX1065" s="1">
        <v>6.8</v>
      </c>
      <c r="AY1065" s="1">
        <v>44713</v>
      </c>
      <c r="AZ1065" s="1">
        <v>6.4924999999999997</v>
      </c>
      <c r="BB1065" s="1">
        <v>44635</v>
      </c>
      <c r="BC1065" s="1">
        <v>4.5</v>
      </c>
      <c r="BD1065" s="1">
        <v>44652</v>
      </c>
      <c r="BE1065" s="1">
        <v>5.28</v>
      </c>
      <c r="BF1065" s="1">
        <v>44713</v>
      </c>
      <c r="BG1065" s="1">
        <v>6.72</v>
      </c>
      <c r="BH1065" s="1">
        <v>44713</v>
      </c>
      <c r="BI1065" s="1">
        <v>6.7450000000000001</v>
      </c>
      <c r="BJ1065" s="1">
        <v>44713</v>
      </c>
      <c r="BK1065" s="1">
        <v>6.79</v>
      </c>
      <c r="BL1065" s="1">
        <v>44713</v>
      </c>
      <c r="BM1065" s="1">
        <v>6.7249999999999996</v>
      </c>
      <c r="BN1065" s="1">
        <v>44712</v>
      </c>
      <c r="BO1065" s="1">
        <v>6.5549999999999997</v>
      </c>
      <c r="BP1065" s="1">
        <v>44713</v>
      </c>
      <c r="BQ1065" s="1">
        <v>6.23</v>
      </c>
      <c r="BR1065" s="1">
        <v>44713</v>
      </c>
      <c r="BS1065" s="1">
        <v>5.8550000000000004</v>
      </c>
      <c r="BT1065" s="1">
        <v>44713</v>
      </c>
      <c r="BU1065" s="1">
        <v>5.22</v>
      </c>
      <c r="BV1065" s="1">
        <v>44713</v>
      </c>
      <c r="BW1065" s="1">
        <v>4.8</v>
      </c>
      <c r="BY1065" s="1">
        <v>44641</v>
      </c>
      <c r="BZ1065" s="1">
        <v>3.4</v>
      </c>
      <c r="CA1065" s="1">
        <v>44648</v>
      </c>
      <c r="CB1065" s="1">
        <v>6.47</v>
      </c>
      <c r="CC1065" s="1">
        <v>44713</v>
      </c>
      <c r="CD1065" s="1">
        <v>7.41</v>
      </c>
      <c r="CE1065" s="1">
        <v>44713</v>
      </c>
      <c r="CF1065" s="1">
        <v>7.6349999999999998</v>
      </c>
      <c r="CG1065" s="1">
        <v>44713</v>
      </c>
      <c r="CH1065" s="1">
        <v>7.8775000000000004</v>
      </c>
      <c r="CI1065" s="1">
        <v>44713</v>
      </c>
      <c r="CJ1065" s="1">
        <v>8.44</v>
      </c>
      <c r="CK1065" s="1">
        <v>44713</v>
      </c>
      <c r="CL1065" s="1">
        <v>8.4674999999999994</v>
      </c>
      <c r="CM1065" s="1">
        <v>44713</v>
      </c>
      <c r="CN1065" s="1">
        <v>8.4250000000000007</v>
      </c>
      <c r="CO1065" s="1">
        <v>44705</v>
      </c>
      <c r="CP1065" s="1">
        <v>7.7649999999999997</v>
      </c>
      <c r="CQ1065" s="1">
        <v>44705</v>
      </c>
      <c r="CR1065" s="1">
        <v>7.4749999999999996</v>
      </c>
      <c r="CS1065" s="1">
        <v>44705</v>
      </c>
      <c r="CT1065" s="1">
        <v>7.22</v>
      </c>
    </row>
    <row r="1066" spans="31:98" x14ac:dyDescent="0.2">
      <c r="AE1066" s="1">
        <v>44704</v>
      </c>
      <c r="AF1066" s="1">
        <v>5.25</v>
      </c>
      <c r="AG1066" s="1">
        <v>44652</v>
      </c>
      <c r="AH1066" s="1">
        <v>4.84</v>
      </c>
      <c r="AI1066" s="1">
        <v>44712</v>
      </c>
      <c r="AJ1066" s="1">
        <v>7.0949999999999998</v>
      </c>
      <c r="AK1066" s="1">
        <v>44712</v>
      </c>
      <c r="AL1066" s="1">
        <v>7.49</v>
      </c>
      <c r="AM1066" s="1">
        <v>44712</v>
      </c>
      <c r="AN1066" s="1">
        <v>7.61</v>
      </c>
      <c r="AO1066" s="1">
        <v>44712</v>
      </c>
      <c r="AP1066" s="1">
        <v>7.81</v>
      </c>
      <c r="AQ1066" s="1">
        <v>44712</v>
      </c>
      <c r="AR1066" s="1">
        <v>7.7824999999999998</v>
      </c>
      <c r="AS1066" s="1">
        <v>44712</v>
      </c>
      <c r="AT1066" s="1">
        <v>7.51</v>
      </c>
      <c r="AU1066" s="1">
        <v>44712</v>
      </c>
      <c r="AV1066" s="1">
        <v>7.1375000000000002</v>
      </c>
      <c r="AW1066" s="1">
        <v>44712</v>
      </c>
      <c r="AX1066" s="1">
        <v>6.8025000000000002</v>
      </c>
      <c r="AY1066" s="1">
        <v>44712</v>
      </c>
      <c r="AZ1066" s="1">
        <v>6.49</v>
      </c>
      <c r="BB1066" s="1">
        <v>44634</v>
      </c>
      <c r="BC1066" s="1">
        <v>4.5</v>
      </c>
      <c r="BD1066" s="1">
        <v>44651</v>
      </c>
      <c r="BE1066" s="1">
        <v>5.0599999999999996</v>
      </c>
      <c r="BF1066" s="1">
        <v>44712</v>
      </c>
      <c r="BG1066" s="1">
        <v>6.73</v>
      </c>
      <c r="BH1066" s="1">
        <v>44712</v>
      </c>
      <c r="BI1066" s="1">
        <v>6.74</v>
      </c>
      <c r="BJ1066" s="1">
        <v>44712</v>
      </c>
      <c r="BK1066" s="1">
        <v>6.8</v>
      </c>
      <c r="BL1066" s="1">
        <v>44712</v>
      </c>
      <c r="BM1066" s="1">
        <v>6.74</v>
      </c>
      <c r="BN1066" s="1">
        <v>44711</v>
      </c>
      <c r="BO1066" s="1">
        <v>6.5330000000000004</v>
      </c>
      <c r="BP1066" s="1">
        <v>44712</v>
      </c>
      <c r="BQ1066" s="1">
        <v>6.2329999999999997</v>
      </c>
      <c r="BR1066" s="1">
        <v>44712</v>
      </c>
      <c r="BS1066" s="1">
        <v>5.835</v>
      </c>
      <c r="BT1066" s="1">
        <v>44712</v>
      </c>
      <c r="BU1066" s="1">
        <v>5.3579999999999997</v>
      </c>
      <c r="BV1066" s="1">
        <v>44712</v>
      </c>
      <c r="BW1066" s="1">
        <v>5.0229999999999997</v>
      </c>
      <c r="BY1066" s="1">
        <v>44638</v>
      </c>
      <c r="BZ1066" s="1">
        <v>3.4</v>
      </c>
      <c r="CA1066" s="1">
        <v>44645</v>
      </c>
      <c r="CB1066" s="1">
        <v>6.46</v>
      </c>
      <c r="CC1066" s="1">
        <v>44712</v>
      </c>
      <c r="CD1066" s="1">
        <v>7.37</v>
      </c>
      <c r="CE1066" s="1">
        <v>44712</v>
      </c>
      <c r="CF1066" s="1">
        <v>7.5750000000000002</v>
      </c>
      <c r="CG1066" s="1">
        <v>44712</v>
      </c>
      <c r="CH1066" s="1">
        <v>7.8174999999999999</v>
      </c>
      <c r="CI1066" s="1">
        <v>44712</v>
      </c>
      <c r="CJ1066" s="1">
        <v>8.39</v>
      </c>
      <c r="CK1066" s="1">
        <v>44712</v>
      </c>
      <c r="CL1066" s="1">
        <v>8.4474999999999998</v>
      </c>
      <c r="CM1066" s="1">
        <v>44712</v>
      </c>
      <c r="CN1066" s="1">
        <v>8.3949999999999996</v>
      </c>
      <c r="CO1066" s="1">
        <v>44704</v>
      </c>
      <c r="CP1066" s="1">
        <v>7.8150000000000004</v>
      </c>
      <c r="CQ1066" s="1">
        <v>44704</v>
      </c>
      <c r="CR1066" s="1">
        <v>7.5250000000000004</v>
      </c>
      <c r="CS1066" s="1">
        <v>44704</v>
      </c>
      <c r="CT1066" s="1">
        <v>7.27</v>
      </c>
    </row>
    <row r="1067" spans="31:98" x14ac:dyDescent="0.2">
      <c r="AE1067" s="1">
        <v>44701</v>
      </c>
      <c r="AF1067" s="1">
        <v>5.25</v>
      </c>
      <c r="AG1067" s="1">
        <v>44651</v>
      </c>
      <c r="AH1067" s="1">
        <v>4.7699999999999996</v>
      </c>
      <c r="AI1067" s="1">
        <v>44711</v>
      </c>
      <c r="AJ1067" s="1">
        <v>7.1020000000000003</v>
      </c>
      <c r="AK1067" s="1">
        <v>44711</v>
      </c>
      <c r="AL1067" s="1">
        <v>7.5149999999999997</v>
      </c>
      <c r="AM1067" s="1">
        <v>44711</v>
      </c>
      <c r="AN1067" s="1">
        <v>7.6449999999999996</v>
      </c>
      <c r="AO1067" s="1">
        <v>44711</v>
      </c>
      <c r="AP1067" s="1">
        <v>7.81</v>
      </c>
      <c r="AQ1067" s="1">
        <v>44711</v>
      </c>
      <c r="AR1067" s="1">
        <v>7.7850000000000001</v>
      </c>
      <c r="AS1067" s="1">
        <v>44711</v>
      </c>
      <c r="AT1067" s="1">
        <v>7.4749999999999996</v>
      </c>
      <c r="AU1067" s="1">
        <v>44711</v>
      </c>
      <c r="AV1067" s="1">
        <v>7.0949999999999998</v>
      </c>
      <c r="AW1067" s="1">
        <v>44711</v>
      </c>
      <c r="AX1067" s="1">
        <v>6.7549999999999999</v>
      </c>
      <c r="AY1067" s="1">
        <v>44711</v>
      </c>
      <c r="AZ1067" s="1">
        <v>6.44</v>
      </c>
      <c r="BB1067" s="1">
        <v>44631</v>
      </c>
      <c r="BC1067" s="1">
        <v>4.5</v>
      </c>
      <c r="BD1067" s="1">
        <v>44650</v>
      </c>
      <c r="BE1067" s="1">
        <v>5.04</v>
      </c>
      <c r="BF1067" s="1">
        <v>44711</v>
      </c>
      <c r="BG1067" s="1">
        <v>6.71</v>
      </c>
      <c r="BH1067" s="1">
        <v>44711</v>
      </c>
      <c r="BI1067" s="1">
        <v>6.7430000000000003</v>
      </c>
      <c r="BJ1067" s="1">
        <v>44711</v>
      </c>
      <c r="BK1067" s="1">
        <v>6.8029999999999999</v>
      </c>
      <c r="BL1067" s="1">
        <v>44711</v>
      </c>
      <c r="BM1067" s="1">
        <v>6.7279999999999998</v>
      </c>
      <c r="BN1067" s="1">
        <v>44708</v>
      </c>
      <c r="BO1067" s="1">
        <v>6.51</v>
      </c>
      <c r="BP1067" s="1">
        <v>44711</v>
      </c>
      <c r="BQ1067" s="1">
        <v>6.2080000000000002</v>
      </c>
      <c r="BR1067" s="1">
        <v>44711</v>
      </c>
      <c r="BS1067" s="1">
        <v>5.8230000000000004</v>
      </c>
      <c r="BT1067" s="1">
        <v>44711</v>
      </c>
      <c r="BU1067" s="1">
        <v>5.34</v>
      </c>
      <c r="BV1067" s="1">
        <v>44711</v>
      </c>
      <c r="BW1067" s="1">
        <v>5</v>
      </c>
      <c r="BY1067" s="1">
        <v>44637</v>
      </c>
      <c r="BZ1067" s="1">
        <v>3.4</v>
      </c>
      <c r="CA1067" s="1">
        <v>44644</v>
      </c>
      <c r="CB1067" s="1">
        <v>6.43</v>
      </c>
      <c r="CC1067" s="1">
        <v>44711</v>
      </c>
      <c r="CD1067" s="1">
        <v>7.3</v>
      </c>
      <c r="CE1067" s="1">
        <v>44711</v>
      </c>
      <c r="CF1067" s="1">
        <v>7.5449999999999999</v>
      </c>
      <c r="CG1067" s="1">
        <v>44711</v>
      </c>
      <c r="CH1067" s="1">
        <v>7.7975000000000003</v>
      </c>
      <c r="CI1067" s="1">
        <v>44711</v>
      </c>
      <c r="CJ1067" s="1">
        <v>8.35</v>
      </c>
      <c r="CK1067" s="1">
        <v>44711</v>
      </c>
      <c r="CL1067" s="1">
        <v>8.3975000000000009</v>
      </c>
      <c r="CM1067" s="1">
        <v>44711</v>
      </c>
      <c r="CN1067" s="1">
        <v>8.2850000000000001</v>
      </c>
      <c r="CO1067" s="1">
        <v>44701</v>
      </c>
      <c r="CP1067" s="1">
        <v>7.8250000000000002</v>
      </c>
      <c r="CQ1067" s="1">
        <v>44701</v>
      </c>
      <c r="CR1067" s="1">
        <v>7.5250000000000004</v>
      </c>
      <c r="CS1067" s="1">
        <v>44701</v>
      </c>
      <c r="CT1067" s="1">
        <v>7.27</v>
      </c>
    </row>
    <row r="1068" spans="31:98" x14ac:dyDescent="0.2">
      <c r="AE1068" s="1">
        <v>44700</v>
      </c>
      <c r="AF1068" s="1">
        <v>5.25</v>
      </c>
      <c r="AG1068" s="1">
        <v>44650</v>
      </c>
      <c r="AH1068" s="1">
        <v>4.74</v>
      </c>
      <c r="AI1068" s="1">
        <v>44708</v>
      </c>
      <c r="AJ1068" s="1">
        <v>7.1223000000000001</v>
      </c>
      <c r="AK1068" s="1">
        <v>44708</v>
      </c>
      <c r="AL1068" s="1">
        <v>7.5049999999999999</v>
      </c>
      <c r="AM1068" s="1">
        <v>44708</v>
      </c>
      <c r="AN1068" s="1">
        <v>7.6349999999999998</v>
      </c>
      <c r="AO1068" s="1">
        <v>44708</v>
      </c>
      <c r="AP1068" s="1">
        <v>7.8049999999999997</v>
      </c>
      <c r="AQ1068" s="1">
        <v>44708</v>
      </c>
      <c r="AR1068" s="1">
        <v>7.77</v>
      </c>
      <c r="AS1068" s="1">
        <v>44708</v>
      </c>
      <c r="AT1068" s="1">
        <v>7.4349999999999996</v>
      </c>
      <c r="AU1068" s="1">
        <v>44708</v>
      </c>
      <c r="AV1068" s="1">
        <v>7.085</v>
      </c>
      <c r="AW1068" s="1">
        <v>44708</v>
      </c>
      <c r="AX1068" s="1">
        <v>6.7450000000000001</v>
      </c>
      <c r="AY1068" s="1">
        <v>44708</v>
      </c>
      <c r="AZ1068" s="1">
        <v>6.43</v>
      </c>
      <c r="BB1068" s="1">
        <v>44630</v>
      </c>
      <c r="BC1068" s="1">
        <v>4.5</v>
      </c>
      <c r="BD1068" s="1">
        <v>44649</v>
      </c>
      <c r="BE1068" s="1">
        <v>4.99</v>
      </c>
      <c r="BF1068" s="1">
        <v>44708</v>
      </c>
      <c r="BG1068" s="1">
        <v>6.6849999999999996</v>
      </c>
      <c r="BH1068" s="1">
        <v>44708</v>
      </c>
      <c r="BI1068" s="1">
        <v>6.72</v>
      </c>
      <c r="BJ1068" s="1">
        <v>44708</v>
      </c>
      <c r="BK1068" s="1">
        <v>6.7930000000000001</v>
      </c>
      <c r="BL1068" s="1">
        <v>44708</v>
      </c>
      <c r="BM1068" s="1">
        <v>6.7130000000000001</v>
      </c>
      <c r="BN1068" s="1">
        <v>44707</v>
      </c>
      <c r="BO1068" s="1">
        <v>6.51</v>
      </c>
      <c r="BP1068" s="1">
        <v>44708</v>
      </c>
      <c r="BQ1068" s="1">
        <v>6.17</v>
      </c>
      <c r="BR1068" s="1">
        <v>44708</v>
      </c>
      <c r="BS1068" s="1">
        <v>5.7750000000000004</v>
      </c>
      <c r="BT1068" s="1">
        <v>44708</v>
      </c>
      <c r="BU1068" s="1">
        <v>5.2949999999999999</v>
      </c>
      <c r="BV1068" s="1">
        <v>44708</v>
      </c>
      <c r="BW1068" s="1">
        <v>4.9649999999999999</v>
      </c>
      <c r="BY1068" s="1">
        <v>44636</v>
      </c>
      <c r="BZ1068" s="1">
        <v>3.4</v>
      </c>
      <c r="CA1068" s="1">
        <v>44643</v>
      </c>
      <c r="CB1068" s="1">
        <v>6.34</v>
      </c>
      <c r="CC1068" s="1">
        <v>44708</v>
      </c>
      <c r="CD1068" s="1">
        <v>7.2450000000000001</v>
      </c>
      <c r="CE1068" s="1">
        <v>44708</v>
      </c>
      <c r="CF1068" s="1">
        <v>7.5350000000000001</v>
      </c>
      <c r="CG1068" s="1">
        <v>44708</v>
      </c>
      <c r="CH1068" s="1">
        <v>7.7975000000000003</v>
      </c>
      <c r="CI1068" s="1">
        <v>44708</v>
      </c>
      <c r="CJ1068" s="1">
        <v>8.3699999999999992</v>
      </c>
      <c r="CK1068" s="1">
        <v>44708</v>
      </c>
      <c r="CL1068" s="1">
        <v>8.4175000000000004</v>
      </c>
      <c r="CM1068" s="1">
        <v>44708</v>
      </c>
      <c r="CN1068" s="1">
        <v>8.3049999999999997</v>
      </c>
      <c r="CO1068" s="1">
        <v>44700</v>
      </c>
      <c r="CP1068" s="1">
        <v>7.8825000000000003</v>
      </c>
      <c r="CQ1068" s="1">
        <v>44700</v>
      </c>
      <c r="CR1068" s="1">
        <v>7.6425000000000001</v>
      </c>
      <c r="CS1068" s="1">
        <v>44700</v>
      </c>
      <c r="CT1068" s="1">
        <v>7.3375000000000004</v>
      </c>
    </row>
    <row r="1069" spans="31:98" x14ac:dyDescent="0.2">
      <c r="AE1069" s="1">
        <v>44699</v>
      </c>
      <c r="AF1069" s="1">
        <v>5.25</v>
      </c>
      <c r="AG1069" s="1">
        <v>44649</v>
      </c>
      <c r="AH1069" s="1">
        <v>4.72</v>
      </c>
      <c r="AI1069" s="1">
        <v>44707</v>
      </c>
      <c r="AJ1069" s="1">
        <v>7.0750000000000002</v>
      </c>
      <c r="AK1069" s="1">
        <v>44707</v>
      </c>
      <c r="AL1069" s="1">
        <v>7.4749999999999996</v>
      </c>
      <c r="AM1069" s="1">
        <v>44707</v>
      </c>
      <c r="AN1069" s="1">
        <v>7.6150000000000002</v>
      </c>
      <c r="AO1069" s="1">
        <v>44707</v>
      </c>
      <c r="AP1069" s="1">
        <v>7.7850000000000001</v>
      </c>
      <c r="AQ1069" s="1">
        <v>44707</v>
      </c>
      <c r="AR1069" s="1">
        <v>7.7649999999999997</v>
      </c>
      <c r="AS1069" s="1">
        <v>44707</v>
      </c>
      <c r="AT1069" s="1">
        <v>7.41</v>
      </c>
      <c r="AU1069" s="1">
        <v>44707</v>
      </c>
      <c r="AV1069" s="1">
        <v>6.9749999999999996</v>
      </c>
      <c r="AW1069" s="1">
        <v>44707</v>
      </c>
      <c r="AX1069" s="1">
        <v>6.6150000000000002</v>
      </c>
      <c r="AY1069" s="1">
        <v>44707</v>
      </c>
      <c r="AZ1069" s="1">
        <v>6.3</v>
      </c>
      <c r="BB1069" s="1">
        <v>44629</v>
      </c>
      <c r="BC1069" s="1">
        <v>4.5</v>
      </c>
      <c r="BD1069" s="1">
        <v>44648</v>
      </c>
      <c r="BE1069" s="1">
        <v>4.97</v>
      </c>
      <c r="BF1069" s="1">
        <v>44707</v>
      </c>
      <c r="BG1069" s="1">
        <v>6.6550000000000002</v>
      </c>
      <c r="BH1069" s="1">
        <v>44707</v>
      </c>
      <c r="BI1069" s="1">
        <v>6.7030000000000003</v>
      </c>
      <c r="BJ1069" s="1">
        <v>44707</v>
      </c>
      <c r="BK1069" s="1">
        <v>6.81</v>
      </c>
      <c r="BL1069" s="1">
        <v>44707</v>
      </c>
      <c r="BM1069" s="1">
        <v>6.73</v>
      </c>
      <c r="BN1069" s="1">
        <v>44706</v>
      </c>
      <c r="BO1069" s="1">
        <v>6.41</v>
      </c>
      <c r="BP1069" s="1">
        <v>44707</v>
      </c>
      <c r="BQ1069" s="1">
        <v>6.165</v>
      </c>
      <c r="BR1069" s="1">
        <v>44707</v>
      </c>
      <c r="BS1069" s="1">
        <v>5.78</v>
      </c>
      <c r="BT1069" s="1">
        <v>44707</v>
      </c>
      <c r="BU1069" s="1">
        <v>5.2629999999999999</v>
      </c>
      <c r="BV1069" s="1">
        <v>44707</v>
      </c>
      <c r="BW1069" s="1">
        <v>4.9429999999999996</v>
      </c>
      <c r="BY1069" s="1">
        <v>44635</v>
      </c>
      <c r="BZ1069" s="1">
        <v>3.4</v>
      </c>
      <c r="CA1069" s="1">
        <v>44642</v>
      </c>
      <c r="CB1069" s="1">
        <v>6.25</v>
      </c>
      <c r="CC1069" s="1">
        <v>44707</v>
      </c>
      <c r="CD1069" s="1">
        <v>7.2450000000000001</v>
      </c>
      <c r="CE1069" s="1">
        <v>44707</v>
      </c>
      <c r="CF1069" s="1">
        <v>7.5350000000000001</v>
      </c>
      <c r="CG1069" s="1">
        <v>44707</v>
      </c>
      <c r="CH1069" s="1">
        <v>7.7975000000000003</v>
      </c>
      <c r="CI1069" s="1">
        <v>44707</v>
      </c>
      <c r="CJ1069" s="1">
        <v>8.34</v>
      </c>
      <c r="CK1069" s="1">
        <v>44707</v>
      </c>
      <c r="CL1069" s="1">
        <v>8.3477999999999994</v>
      </c>
      <c r="CM1069" s="1">
        <v>44707</v>
      </c>
      <c r="CN1069" s="1">
        <v>8.2449999999999992</v>
      </c>
      <c r="CO1069" s="1">
        <v>44699</v>
      </c>
      <c r="CP1069" s="1">
        <v>7.96</v>
      </c>
      <c r="CQ1069" s="1">
        <v>44699</v>
      </c>
      <c r="CR1069" s="1">
        <v>7.72</v>
      </c>
      <c r="CS1069" s="1">
        <v>44699</v>
      </c>
      <c r="CT1069" s="1">
        <v>7.415</v>
      </c>
    </row>
    <row r="1070" spans="31:98" x14ac:dyDescent="0.2">
      <c r="AE1070" s="1">
        <v>44698</v>
      </c>
      <c r="AF1070" s="1">
        <v>5.25</v>
      </c>
      <c r="AG1070" s="1">
        <v>44648</v>
      </c>
      <c r="AH1070" s="1">
        <v>4.66</v>
      </c>
      <c r="AI1070" s="1">
        <v>44706</v>
      </c>
      <c r="AJ1070" s="1">
        <v>7.0140000000000002</v>
      </c>
      <c r="AK1070" s="1">
        <v>44706</v>
      </c>
      <c r="AL1070" s="1">
        <v>7.35</v>
      </c>
      <c r="AM1070" s="1">
        <v>44706</v>
      </c>
      <c r="AN1070" s="1">
        <v>7.4749999999999996</v>
      </c>
      <c r="AO1070" s="1">
        <v>44706</v>
      </c>
      <c r="AP1070" s="1">
        <v>7.6449999999999996</v>
      </c>
      <c r="AQ1070" s="1">
        <v>44706</v>
      </c>
      <c r="AR1070" s="1">
        <v>7.625</v>
      </c>
      <c r="AS1070" s="1">
        <v>44706</v>
      </c>
      <c r="AT1070" s="1">
        <v>7.29</v>
      </c>
      <c r="AU1070" s="1">
        <v>44706</v>
      </c>
      <c r="AV1070" s="1">
        <v>6.88</v>
      </c>
      <c r="AW1070" s="1">
        <v>44706</v>
      </c>
      <c r="AX1070" s="1">
        <v>6.53</v>
      </c>
      <c r="AY1070" s="1">
        <v>44706</v>
      </c>
      <c r="AZ1070" s="1">
        <v>6.2149999999999999</v>
      </c>
      <c r="BB1070" s="1">
        <v>44628</v>
      </c>
      <c r="BC1070" s="1">
        <v>4.5</v>
      </c>
      <c r="BD1070" s="1">
        <v>44645</v>
      </c>
      <c r="BE1070" s="1">
        <v>4.95</v>
      </c>
      <c r="BF1070" s="1">
        <v>44706</v>
      </c>
      <c r="BG1070" s="1">
        <v>6.625</v>
      </c>
      <c r="BH1070" s="1">
        <v>44706</v>
      </c>
      <c r="BI1070" s="1">
        <v>6.6950000000000003</v>
      </c>
      <c r="BJ1070" s="1">
        <v>44706</v>
      </c>
      <c r="BK1070" s="1">
        <v>6.7850000000000001</v>
      </c>
      <c r="BL1070" s="1">
        <v>44706</v>
      </c>
      <c r="BM1070" s="1">
        <v>6.665</v>
      </c>
      <c r="BN1070" s="1">
        <v>44705</v>
      </c>
      <c r="BO1070" s="1">
        <v>6.42</v>
      </c>
      <c r="BP1070" s="1">
        <v>44706</v>
      </c>
      <c r="BQ1070" s="1">
        <v>5.9930000000000003</v>
      </c>
      <c r="BR1070" s="1">
        <v>44706</v>
      </c>
      <c r="BS1070" s="1">
        <v>5.508</v>
      </c>
      <c r="BT1070" s="1">
        <v>44706</v>
      </c>
      <c r="BU1070" s="1">
        <v>5.0579999999999998</v>
      </c>
      <c r="BV1070" s="1">
        <v>44706</v>
      </c>
      <c r="BW1070" s="1">
        <v>4.74</v>
      </c>
      <c r="BY1070" s="1">
        <v>44634</v>
      </c>
      <c r="BZ1070" s="1">
        <v>3.4</v>
      </c>
      <c r="CA1070" s="1">
        <v>44641</v>
      </c>
      <c r="CB1070" s="1">
        <v>6.21</v>
      </c>
      <c r="CC1070" s="1">
        <v>44706</v>
      </c>
      <c r="CD1070" s="1">
        <v>7.125</v>
      </c>
      <c r="CE1070" s="1">
        <v>44706</v>
      </c>
      <c r="CF1070" s="1">
        <v>7.3665000000000003</v>
      </c>
      <c r="CG1070" s="1">
        <v>44706</v>
      </c>
      <c r="CH1070" s="1">
        <v>7.6050000000000004</v>
      </c>
      <c r="CI1070" s="1">
        <v>44706</v>
      </c>
      <c r="CJ1070" s="1">
        <v>8.07</v>
      </c>
      <c r="CK1070" s="1">
        <v>44706</v>
      </c>
      <c r="CL1070" s="1">
        <v>8.0549999999999997</v>
      </c>
      <c r="CM1070" s="1">
        <v>44706</v>
      </c>
      <c r="CN1070" s="1">
        <v>7.9850000000000003</v>
      </c>
      <c r="CO1070" s="1">
        <v>44698</v>
      </c>
      <c r="CP1070" s="1">
        <v>7.97</v>
      </c>
      <c r="CQ1070" s="1">
        <v>44698</v>
      </c>
      <c r="CR1070" s="1">
        <v>7.68</v>
      </c>
      <c r="CS1070" s="1">
        <v>44698</v>
      </c>
      <c r="CT1070" s="1">
        <v>7.4249999999999998</v>
      </c>
    </row>
    <row r="1071" spans="31:98" x14ac:dyDescent="0.2">
      <c r="AE1071" s="1">
        <v>44697</v>
      </c>
      <c r="AF1071" s="1">
        <v>5.25</v>
      </c>
      <c r="AG1071" s="1">
        <v>44645</v>
      </c>
      <c r="AH1071" s="1">
        <v>4.5999999999999996</v>
      </c>
      <c r="AI1071" s="1">
        <v>44705</v>
      </c>
      <c r="AJ1071" s="1">
        <v>6.9865000000000004</v>
      </c>
      <c r="AK1071" s="1">
        <v>44705</v>
      </c>
      <c r="AL1071" s="1">
        <v>7.28</v>
      </c>
      <c r="AM1071" s="1">
        <v>44705</v>
      </c>
      <c r="AN1071" s="1">
        <v>7.4</v>
      </c>
      <c r="AO1071" s="1">
        <v>44705</v>
      </c>
      <c r="AP1071" s="1">
        <v>7.5</v>
      </c>
      <c r="AQ1071" s="1">
        <v>44705</v>
      </c>
      <c r="AR1071" s="1">
        <v>7.46</v>
      </c>
      <c r="AS1071" s="1">
        <v>44705</v>
      </c>
      <c r="AT1071" s="1">
        <v>7.14</v>
      </c>
      <c r="AU1071" s="1">
        <v>44705</v>
      </c>
      <c r="AV1071" s="1">
        <v>6.7549999999999999</v>
      </c>
      <c r="AW1071" s="1">
        <v>44705</v>
      </c>
      <c r="AX1071" s="1">
        <v>6.4050000000000002</v>
      </c>
      <c r="AY1071" s="1">
        <v>44705</v>
      </c>
      <c r="AZ1071" s="1">
        <v>6.09</v>
      </c>
      <c r="BB1071" s="1">
        <v>44627</v>
      </c>
      <c r="BC1071" s="1">
        <v>4.5</v>
      </c>
      <c r="BD1071" s="1">
        <v>44644</v>
      </c>
      <c r="BE1071" s="1">
        <v>4.93</v>
      </c>
      <c r="BF1071" s="1">
        <v>44705</v>
      </c>
      <c r="BG1071" s="1">
        <v>6.64</v>
      </c>
      <c r="BH1071" s="1">
        <v>44705</v>
      </c>
      <c r="BI1071" s="1">
        <v>6.71</v>
      </c>
      <c r="BJ1071" s="1">
        <v>44705</v>
      </c>
      <c r="BK1071" s="1">
        <v>6.7850000000000001</v>
      </c>
      <c r="BL1071" s="1">
        <v>44705</v>
      </c>
      <c r="BM1071" s="1">
        <v>6.6950000000000003</v>
      </c>
      <c r="BN1071" s="1">
        <v>44704</v>
      </c>
      <c r="BO1071" s="1">
        <v>6.4050000000000002</v>
      </c>
      <c r="BP1071" s="1">
        <v>44705</v>
      </c>
      <c r="BQ1071" s="1">
        <v>5.98</v>
      </c>
      <c r="BR1071" s="1">
        <v>44705</v>
      </c>
      <c r="BS1071" s="1">
        <v>5.5030000000000001</v>
      </c>
      <c r="BT1071" s="1">
        <v>44705</v>
      </c>
      <c r="BU1071" s="1">
        <v>5.0549999999999997</v>
      </c>
      <c r="BV1071" s="1">
        <v>44705</v>
      </c>
      <c r="BW1071" s="1">
        <v>4.74</v>
      </c>
      <c r="BY1071" s="1">
        <v>44631</v>
      </c>
      <c r="BZ1071" s="1">
        <v>3.4</v>
      </c>
      <c r="CA1071" s="1">
        <v>44638</v>
      </c>
      <c r="CB1071" s="1">
        <v>6.2</v>
      </c>
      <c r="CC1071" s="1">
        <v>44705</v>
      </c>
      <c r="CD1071" s="1">
        <v>7.1124999999999998</v>
      </c>
      <c r="CE1071" s="1">
        <v>44705</v>
      </c>
      <c r="CF1071" s="1">
        <v>7.4450000000000003</v>
      </c>
      <c r="CG1071" s="1">
        <v>44705</v>
      </c>
      <c r="CH1071" s="1">
        <v>7.7175000000000002</v>
      </c>
      <c r="CI1071" s="1">
        <v>44705</v>
      </c>
      <c r="CJ1071" s="1">
        <v>8.15</v>
      </c>
      <c r="CK1071" s="1">
        <v>44705</v>
      </c>
      <c r="CL1071" s="1">
        <v>8.1349999999999998</v>
      </c>
      <c r="CM1071" s="1">
        <v>44705</v>
      </c>
      <c r="CN1071" s="1">
        <v>8.0649999999999995</v>
      </c>
      <c r="CO1071" s="1">
        <v>44697</v>
      </c>
      <c r="CP1071" s="1">
        <v>7.94</v>
      </c>
      <c r="CQ1071" s="1">
        <v>44697</v>
      </c>
      <c r="CR1071" s="1">
        <v>7.64</v>
      </c>
      <c r="CS1071" s="1">
        <v>44697</v>
      </c>
      <c r="CT1071" s="1">
        <v>7.3849999999999998</v>
      </c>
    </row>
    <row r="1072" spans="31:98" x14ac:dyDescent="0.2">
      <c r="AE1072" s="1">
        <v>44694</v>
      </c>
      <c r="AF1072" s="1">
        <v>5.25</v>
      </c>
      <c r="AG1072" s="1">
        <v>44644</v>
      </c>
      <c r="AH1072" s="1">
        <v>4.5199999999999996</v>
      </c>
      <c r="AI1072" s="1">
        <v>44704</v>
      </c>
      <c r="AJ1072" s="1">
        <v>6.9409999999999998</v>
      </c>
      <c r="AK1072" s="1">
        <v>44704</v>
      </c>
      <c r="AL1072" s="1">
        <v>7.23</v>
      </c>
      <c r="AM1072" s="1">
        <v>44704</v>
      </c>
      <c r="AN1072" s="1">
        <v>7.33</v>
      </c>
      <c r="AO1072" s="1">
        <v>44704</v>
      </c>
      <c r="AP1072" s="1">
        <v>7.4450000000000003</v>
      </c>
      <c r="AQ1072" s="1">
        <v>44704</v>
      </c>
      <c r="AR1072" s="1">
        <v>7.3949999999999996</v>
      </c>
      <c r="AS1072" s="1">
        <v>44704</v>
      </c>
      <c r="AT1072" s="1">
        <v>7.06</v>
      </c>
      <c r="AU1072" s="1">
        <v>44704</v>
      </c>
      <c r="AV1072" s="1">
        <v>6.68</v>
      </c>
      <c r="AW1072" s="1">
        <v>44704</v>
      </c>
      <c r="AX1072" s="1">
        <v>6.41</v>
      </c>
      <c r="AY1072" s="1">
        <v>44704</v>
      </c>
      <c r="AZ1072" s="1">
        <v>6.1150000000000002</v>
      </c>
      <c r="BB1072" s="1">
        <v>44624</v>
      </c>
      <c r="BC1072" s="1">
        <v>4.5</v>
      </c>
      <c r="BD1072" s="1">
        <v>44643</v>
      </c>
      <c r="BE1072" s="1">
        <v>4.91</v>
      </c>
      <c r="BF1072" s="1">
        <v>44704</v>
      </c>
      <c r="BG1072" s="1">
        <v>6.585</v>
      </c>
      <c r="BH1072" s="1">
        <v>44704</v>
      </c>
      <c r="BI1072" s="1">
        <v>6.6950000000000003</v>
      </c>
      <c r="BJ1072" s="1">
        <v>44704</v>
      </c>
      <c r="BK1072" s="1">
        <v>6.7629999999999999</v>
      </c>
      <c r="BL1072" s="1">
        <v>44704</v>
      </c>
      <c r="BM1072" s="1">
        <v>6.6829999999999998</v>
      </c>
      <c r="BN1072" s="1">
        <v>44701</v>
      </c>
      <c r="BO1072" s="1">
        <v>6.4249999999999998</v>
      </c>
      <c r="BP1072" s="1">
        <v>44704</v>
      </c>
      <c r="BQ1072" s="1">
        <v>5.9649999999999999</v>
      </c>
      <c r="BR1072" s="1">
        <v>44704</v>
      </c>
      <c r="BS1072" s="1">
        <v>5.4950000000000001</v>
      </c>
      <c r="BT1072" s="1">
        <v>44704</v>
      </c>
      <c r="BU1072" s="1">
        <v>5.0549999999999997</v>
      </c>
      <c r="BV1072" s="1">
        <v>44704</v>
      </c>
      <c r="BW1072" s="1">
        <v>4.74</v>
      </c>
      <c r="BY1072" s="1">
        <v>44630</v>
      </c>
      <c r="BZ1072" s="1">
        <v>3.4</v>
      </c>
      <c r="CA1072" s="1">
        <v>44637</v>
      </c>
      <c r="CB1072" s="1">
        <v>6.2</v>
      </c>
      <c r="CC1072" s="1">
        <v>44704</v>
      </c>
      <c r="CD1072" s="1">
        <v>7.1624999999999996</v>
      </c>
      <c r="CE1072" s="1">
        <v>44704</v>
      </c>
      <c r="CF1072" s="1">
        <v>7.4950000000000001</v>
      </c>
      <c r="CG1072" s="1">
        <v>44704</v>
      </c>
      <c r="CH1072" s="1">
        <v>7.7488000000000001</v>
      </c>
      <c r="CI1072" s="1">
        <v>44704</v>
      </c>
      <c r="CJ1072" s="1">
        <v>8.1999999999999993</v>
      </c>
      <c r="CK1072" s="1">
        <v>44704</v>
      </c>
      <c r="CL1072" s="1">
        <v>8.1850000000000005</v>
      </c>
      <c r="CM1072" s="1">
        <v>44704</v>
      </c>
      <c r="CN1072" s="1">
        <v>8.1150000000000002</v>
      </c>
      <c r="CO1072" s="1">
        <v>44694</v>
      </c>
      <c r="CP1072" s="1">
        <v>8.1150000000000002</v>
      </c>
      <c r="CQ1072" s="1">
        <v>44694</v>
      </c>
      <c r="CR1072" s="1">
        <v>7.8250000000000002</v>
      </c>
      <c r="CS1072" s="1">
        <v>44694</v>
      </c>
      <c r="CT1072" s="1">
        <v>7.4850000000000003</v>
      </c>
    </row>
    <row r="1073" spans="31:98" x14ac:dyDescent="0.2">
      <c r="AE1073" s="1">
        <v>44693</v>
      </c>
      <c r="AF1073" s="1">
        <v>5.25</v>
      </c>
      <c r="AG1073" s="1">
        <v>44643</v>
      </c>
      <c r="AH1073" s="1">
        <v>4.4800000000000004</v>
      </c>
      <c r="AI1073" s="1">
        <v>44701</v>
      </c>
      <c r="AJ1073" s="1">
        <v>6.9005000000000001</v>
      </c>
      <c r="AK1073" s="1">
        <v>44701</v>
      </c>
      <c r="AL1073" s="1">
        <v>7.17</v>
      </c>
      <c r="AM1073" s="1">
        <v>44701</v>
      </c>
      <c r="AN1073" s="1">
        <v>7.26</v>
      </c>
      <c r="AO1073" s="1">
        <v>44701</v>
      </c>
      <c r="AP1073" s="1">
        <v>7.38</v>
      </c>
      <c r="AQ1073" s="1">
        <v>44701</v>
      </c>
      <c r="AR1073" s="1">
        <v>7.33</v>
      </c>
      <c r="AS1073" s="1">
        <v>44701</v>
      </c>
      <c r="AT1073" s="1">
        <v>6.9950000000000001</v>
      </c>
      <c r="AU1073" s="1">
        <v>44701</v>
      </c>
      <c r="AV1073" s="1">
        <v>6.6050000000000004</v>
      </c>
      <c r="AW1073" s="1">
        <v>44701</v>
      </c>
      <c r="AX1073" s="1">
        <v>6.3250000000000002</v>
      </c>
      <c r="AY1073" s="1">
        <v>44701</v>
      </c>
      <c r="AZ1073" s="1">
        <v>6.02</v>
      </c>
      <c r="BB1073" s="1">
        <v>44623</v>
      </c>
      <c r="BC1073" s="1">
        <v>4.5</v>
      </c>
      <c r="BD1073" s="1">
        <v>44642</v>
      </c>
      <c r="BE1073" s="1">
        <v>4.88</v>
      </c>
      <c r="BF1073" s="1">
        <v>44701</v>
      </c>
      <c r="BG1073" s="1">
        <v>6.28</v>
      </c>
      <c r="BH1073" s="1">
        <v>44701</v>
      </c>
      <c r="BI1073" s="1">
        <v>6.7050000000000001</v>
      </c>
      <c r="BJ1073" s="1">
        <v>44701</v>
      </c>
      <c r="BK1073" s="1">
        <v>6.78</v>
      </c>
      <c r="BL1073" s="1">
        <v>44701</v>
      </c>
      <c r="BM1073" s="1">
        <v>6.7050000000000001</v>
      </c>
      <c r="BN1073" s="1">
        <v>44700</v>
      </c>
      <c r="BO1073" s="1">
        <v>6.42</v>
      </c>
      <c r="BP1073" s="1">
        <v>44701</v>
      </c>
      <c r="BQ1073" s="1">
        <v>5.96</v>
      </c>
      <c r="BR1073" s="1">
        <v>44701</v>
      </c>
      <c r="BS1073" s="1">
        <v>5.4880000000000004</v>
      </c>
      <c r="BT1073" s="1">
        <v>44701</v>
      </c>
      <c r="BU1073" s="1">
        <v>5.0650000000000004</v>
      </c>
      <c r="BV1073" s="1">
        <v>44701</v>
      </c>
      <c r="BW1073" s="1">
        <v>4.75</v>
      </c>
      <c r="BY1073" s="1">
        <v>44628</v>
      </c>
      <c r="BZ1073" s="1">
        <v>3.4</v>
      </c>
      <c r="CA1073" s="1">
        <v>44636</v>
      </c>
      <c r="CB1073" s="1">
        <v>6.2</v>
      </c>
      <c r="CC1073" s="1">
        <v>44701</v>
      </c>
      <c r="CD1073" s="1">
        <v>7.1624999999999996</v>
      </c>
      <c r="CE1073" s="1">
        <v>44701</v>
      </c>
      <c r="CF1073" s="1">
        <v>7.4950000000000001</v>
      </c>
      <c r="CG1073" s="1">
        <v>44701</v>
      </c>
      <c r="CH1073" s="1">
        <v>7.7675000000000001</v>
      </c>
      <c r="CI1073" s="1">
        <v>44701</v>
      </c>
      <c r="CJ1073" s="1">
        <v>8.1999999999999993</v>
      </c>
      <c r="CK1073" s="1">
        <v>44701</v>
      </c>
      <c r="CL1073" s="1">
        <v>8.1850000000000005</v>
      </c>
      <c r="CM1073" s="1">
        <v>44701</v>
      </c>
      <c r="CN1073" s="1">
        <v>8.0749999999999993</v>
      </c>
      <c r="CO1073" s="1">
        <v>44693</v>
      </c>
      <c r="CP1073" s="1">
        <v>8.1300000000000008</v>
      </c>
      <c r="CQ1073" s="1">
        <v>44693</v>
      </c>
      <c r="CR1073" s="1">
        <v>7.85</v>
      </c>
      <c r="CS1073" s="1">
        <v>44693</v>
      </c>
      <c r="CT1073" s="1">
        <v>7.51</v>
      </c>
    </row>
    <row r="1074" spans="31:98" x14ac:dyDescent="0.2">
      <c r="AE1074" s="1">
        <v>44692</v>
      </c>
      <c r="AF1074" s="1">
        <v>5.25</v>
      </c>
      <c r="AG1074" s="1">
        <v>44642</v>
      </c>
      <c r="AH1074" s="1">
        <v>4.46</v>
      </c>
      <c r="AI1074" s="1">
        <v>44700</v>
      </c>
      <c r="AJ1074" s="1">
        <v>6.8719999999999999</v>
      </c>
      <c r="AK1074" s="1">
        <v>44700</v>
      </c>
      <c r="AL1074" s="1">
        <v>7.14</v>
      </c>
      <c r="AM1074" s="1">
        <v>44700</v>
      </c>
      <c r="AN1074" s="1">
        <v>7.1950000000000003</v>
      </c>
      <c r="AO1074" s="1">
        <v>44700</v>
      </c>
      <c r="AP1074" s="1">
        <v>7.2750000000000004</v>
      </c>
      <c r="AQ1074" s="1">
        <v>44700</v>
      </c>
      <c r="AR1074" s="1">
        <v>7.24</v>
      </c>
      <c r="AS1074" s="1">
        <v>44700</v>
      </c>
      <c r="AT1074" s="1">
        <v>6.93</v>
      </c>
      <c r="AU1074" s="1">
        <v>44700</v>
      </c>
      <c r="AV1074" s="1">
        <v>6.5650000000000004</v>
      </c>
      <c r="AW1074" s="1">
        <v>44700</v>
      </c>
      <c r="AX1074" s="1">
        <v>6.29</v>
      </c>
      <c r="AY1074" s="1">
        <v>44700</v>
      </c>
      <c r="AZ1074" s="1">
        <v>5.9850000000000003</v>
      </c>
      <c r="BB1074" s="1">
        <v>44622</v>
      </c>
      <c r="BC1074" s="1">
        <v>4.5</v>
      </c>
      <c r="BD1074" s="1">
        <v>44641</v>
      </c>
      <c r="BE1074" s="1">
        <v>4.8600000000000003</v>
      </c>
      <c r="BF1074" s="1">
        <v>44700</v>
      </c>
      <c r="BG1074" s="1">
        <v>6.27</v>
      </c>
      <c r="BH1074" s="1">
        <v>44700</v>
      </c>
      <c r="BI1074" s="1">
        <v>6.7149999999999999</v>
      </c>
      <c r="BJ1074" s="1">
        <v>44700</v>
      </c>
      <c r="BK1074" s="1">
        <v>6.78</v>
      </c>
      <c r="BL1074" s="1">
        <v>44700</v>
      </c>
      <c r="BM1074" s="1">
        <v>6.7130000000000001</v>
      </c>
      <c r="BN1074" s="1">
        <v>44699</v>
      </c>
      <c r="BO1074" s="1">
        <v>6.4379999999999997</v>
      </c>
      <c r="BP1074" s="1">
        <v>44700</v>
      </c>
      <c r="BQ1074" s="1">
        <v>5.98</v>
      </c>
      <c r="BR1074" s="1">
        <v>44700</v>
      </c>
      <c r="BS1074" s="1">
        <v>5.508</v>
      </c>
      <c r="BT1074" s="1">
        <v>44700</v>
      </c>
      <c r="BU1074" s="1">
        <v>5.085</v>
      </c>
      <c r="BV1074" s="1">
        <v>44700</v>
      </c>
      <c r="BW1074" s="1">
        <v>4.7699999999999996</v>
      </c>
      <c r="BY1074" s="1">
        <v>44627</v>
      </c>
      <c r="BZ1074" s="1">
        <v>3.4</v>
      </c>
      <c r="CA1074" s="1">
        <v>44631</v>
      </c>
      <c r="CB1074" s="1">
        <v>6.2</v>
      </c>
      <c r="CC1074" s="1">
        <v>44700</v>
      </c>
      <c r="CD1074" s="1">
        <v>7.23</v>
      </c>
      <c r="CE1074" s="1">
        <v>44700</v>
      </c>
      <c r="CF1074" s="1">
        <v>7.5628000000000002</v>
      </c>
      <c r="CG1074" s="1">
        <v>44700</v>
      </c>
      <c r="CH1074" s="1">
        <v>7.7949999999999999</v>
      </c>
      <c r="CI1074" s="1">
        <v>44700</v>
      </c>
      <c r="CJ1074" s="1">
        <v>8.2680000000000007</v>
      </c>
      <c r="CK1074" s="1">
        <v>44700</v>
      </c>
      <c r="CL1074" s="1">
        <v>8.2530000000000001</v>
      </c>
      <c r="CM1074" s="1">
        <v>44700</v>
      </c>
      <c r="CN1074" s="1">
        <v>8.1828000000000003</v>
      </c>
      <c r="CO1074" s="1">
        <v>44692</v>
      </c>
      <c r="CP1074" s="1">
        <v>8.34</v>
      </c>
      <c r="CQ1074" s="1">
        <v>44692</v>
      </c>
      <c r="CR1074" s="1">
        <v>8.06</v>
      </c>
      <c r="CS1074" s="1">
        <v>44692</v>
      </c>
      <c r="CT1074" s="1">
        <v>7.72</v>
      </c>
    </row>
    <row r="1075" spans="31:98" x14ac:dyDescent="0.2">
      <c r="AE1075" s="1">
        <v>44691</v>
      </c>
      <c r="AF1075" s="1">
        <v>5.25</v>
      </c>
      <c r="AG1075" s="1">
        <v>44641</v>
      </c>
      <c r="AH1075" s="1">
        <v>4.43</v>
      </c>
      <c r="AI1075" s="1">
        <v>44699</v>
      </c>
      <c r="AJ1075" s="1">
        <v>6.883</v>
      </c>
      <c r="AK1075" s="1">
        <v>44699</v>
      </c>
      <c r="AL1075" s="1">
        <v>7.1139999999999999</v>
      </c>
      <c r="AM1075" s="1">
        <v>44699</v>
      </c>
      <c r="AN1075" s="1">
        <v>7.1950000000000003</v>
      </c>
      <c r="AO1075" s="1">
        <v>44699</v>
      </c>
      <c r="AP1075" s="1">
        <v>7.31</v>
      </c>
      <c r="AQ1075" s="1">
        <v>44699</v>
      </c>
      <c r="AR1075" s="1">
        <v>7.2649999999999997</v>
      </c>
      <c r="AS1075" s="1">
        <v>44699</v>
      </c>
      <c r="AT1075" s="1">
        <v>7.02</v>
      </c>
      <c r="AU1075" s="1">
        <v>44699</v>
      </c>
      <c r="AV1075" s="1">
        <v>6.65</v>
      </c>
      <c r="AW1075" s="1">
        <v>44699</v>
      </c>
      <c r="AX1075" s="1">
        <v>6.3949999999999996</v>
      </c>
      <c r="AY1075" s="1">
        <v>44699</v>
      </c>
      <c r="AZ1075" s="1">
        <v>6.09</v>
      </c>
      <c r="BB1075" s="1">
        <v>44621</v>
      </c>
      <c r="BC1075" s="1">
        <v>4.5</v>
      </c>
      <c r="BD1075" s="1">
        <v>44638</v>
      </c>
      <c r="BE1075" s="1">
        <v>4.8499999999999996</v>
      </c>
      <c r="BF1075" s="1">
        <v>44699</v>
      </c>
      <c r="BG1075" s="1">
        <v>6.2350000000000003</v>
      </c>
      <c r="BH1075" s="1">
        <v>44699</v>
      </c>
      <c r="BI1075" s="1">
        <v>6.73</v>
      </c>
      <c r="BJ1075" s="1">
        <v>44699</v>
      </c>
      <c r="BK1075" s="1">
        <v>6.8090000000000002</v>
      </c>
      <c r="BL1075" s="1">
        <v>44699</v>
      </c>
      <c r="BM1075" s="1">
        <v>6.74</v>
      </c>
      <c r="BN1075" s="1">
        <v>44698</v>
      </c>
      <c r="BO1075" s="1">
        <v>6.4050000000000002</v>
      </c>
      <c r="BP1075" s="1">
        <v>44699</v>
      </c>
      <c r="BQ1075" s="1">
        <v>6.0430000000000001</v>
      </c>
      <c r="BR1075" s="1">
        <v>44699</v>
      </c>
      <c r="BS1075" s="1">
        <v>5.5529999999999999</v>
      </c>
      <c r="BT1075" s="1">
        <v>44699</v>
      </c>
      <c r="BU1075" s="1">
        <v>5.1079999999999997</v>
      </c>
      <c r="BV1075" s="1">
        <v>44699</v>
      </c>
      <c r="BW1075" s="1">
        <v>4.798</v>
      </c>
      <c r="BY1075" s="1">
        <v>44624</v>
      </c>
      <c r="BZ1075" s="1">
        <v>3.4</v>
      </c>
      <c r="CA1075" s="1">
        <v>44630</v>
      </c>
      <c r="CB1075" s="1">
        <v>6.19</v>
      </c>
      <c r="CC1075" s="1">
        <v>44699</v>
      </c>
      <c r="CD1075" s="1">
        <v>7.27</v>
      </c>
      <c r="CE1075" s="1">
        <v>44699</v>
      </c>
      <c r="CF1075" s="1">
        <v>7.5877999999999997</v>
      </c>
      <c r="CG1075" s="1">
        <v>44699</v>
      </c>
      <c r="CH1075" s="1">
        <v>7.835</v>
      </c>
      <c r="CI1075" s="1">
        <v>44699</v>
      </c>
      <c r="CJ1075" s="1">
        <v>8.3249999999999993</v>
      </c>
      <c r="CK1075" s="1">
        <v>44699</v>
      </c>
      <c r="CL1075" s="1">
        <v>8.32</v>
      </c>
      <c r="CM1075" s="1">
        <v>44699</v>
      </c>
      <c r="CN1075" s="1">
        <v>8.26</v>
      </c>
      <c r="CO1075" s="1">
        <v>44691</v>
      </c>
      <c r="CP1075" s="1">
        <v>8.3949999999999996</v>
      </c>
      <c r="CQ1075" s="1">
        <v>44691</v>
      </c>
      <c r="CR1075" s="1">
        <v>8.1150000000000002</v>
      </c>
      <c r="CS1075" s="1">
        <v>44691</v>
      </c>
      <c r="CT1075" s="1">
        <v>7.7750000000000004</v>
      </c>
    </row>
    <row r="1076" spans="31:98" x14ac:dyDescent="0.2">
      <c r="AE1076" s="1">
        <v>44690</v>
      </c>
      <c r="AF1076" s="1">
        <v>5.25</v>
      </c>
      <c r="AG1076" s="1">
        <v>44638</v>
      </c>
      <c r="AH1076" s="1">
        <v>4.4000000000000004</v>
      </c>
      <c r="AI1076" s="1">
        <v>44698</v>
      </c>
      <c r="AJ1076" s="1">
        <v>6.8390000000000004</v>
      </c>
      <c r="AK1076" s="1">
        <v>44698</v>
      </c>
      <c r="AL1076" s="1">
        <v>7.1124999999999998</v>
      </c>
      <c r="AM1076" s="1">
        <v>44698</v>
      </c>
      <c r="AN1076" s="1">
        <v>7.21</v>
      </c>
      <c r="AO1076" s="1">
        <v>44698</v>
      </c>
      <c r="AP1076" s="1">
        <v>7.29</v>
      </c>
      <c r="AQ1076" s="1">
        <v>44698</v>
      </c>
      <c r="AR1076" s="1">
        <v>7.26</v>
      </c>
      <c r="AS1076" s="1">
        <v>44698</v>
      </c>
      <c r="AT1076" s="1">
        <v>6.94</v>
      </c>
      <c r="AU1076" s="1">
        <v>44698</v>
      </c>
      <c r="AV1076" s="1">
        <v>6.6025</v>
      </c>
      <c r="AW1076" s="1">
        <v>44698</v>
      </c>
      <c r="AX1076" s="1">
        <v>6.3049999999999997</v>
      </c>
      <c r="AY1076" s="1">
        <v>44698</v>
      </c>
      <c r="AZ1076" s="1">
        <v>6.0250000000000004</v>
      </c>
      <c r="BB1076" s="1">
        <v>44617</v>
      </c>
      <c r="BC1076" s="1">
        <v>4.5</v>
      </c>
      <c r="BD1076" s="1">
        <v>44637</v>
      </c>
      <c r="BE1076" s="1">
        <v>4.84</v>
      </c>
      <c r="BF1076" s="1">
        <v>44698</v>
      </c>
      <c r="BG1076" s="1">
        <v>6.2549999999999999</v>
      </c>
      <c r="BH1076" s="1">
        <v>44698</v>
      </c>
      <c r="BI1076" s="1">
        <v>6.74</v>
      </c>
      <c r="BJ1076" s="1">
        <v>44698</v>
      </c>
      <c r="BK1076" s="1">
        <v>6.81</v>
      </c>
      <c r="BL1076" s="1">
        <v>44698</v>
      </c>
      <c r="BM1076" s="1">
        <v>6.74</v>
      </c>
      <c r="BN1076" s="1">
        <v>44697</v>
      </c>
      <c r="BO1076" s="1">
        <v>6.3079999999999998</v>
      </c>
      <c r="BP1076" s="1">
        <v>44698</v>
      </c>
      <c r="BQ1076" s="1">
        <v>5.9950000000000001</v>
      </c>
      <c r="BR1076" s="1">
        <v>44698</v>
      </c>
      <c r="BS1076" s="1">
        <v>5.5149999999999997</v>
      </c>
      <c r="BT1076" s="1">
        <v>44698</v>
      </c>
      <c r="BU1076" s="1">
        <v>5.0730000000000004</v>
      </c>
      <c r="BV1076" s="1">
        <v>44698</v>
      </c>
      <c r="BW1076" s="1">
        <v>4.7530000000000001</v>
      </c>
      <c r="BY1076" s="1">
        <v>44623</v>
      </c>
      <c r="BZ1076" s="1">
        <v>3.4</v>
      </c>
      <c r="CA1076" s="1">
        <v>44629</v>
      </c>
      <c r="CB1076" s="1">
        <v>6</v>
      </c>
      <c r="CC1076" s="1">
        <v>44698</v>
      </c>
      <c r="CD1076" s="1">
        <v>7.3</v>
      </c>
      <c r="CE1076" s="1">
        <v>44698</v>
      </c>
      <c r="CF1076" s="1">
        <v>7.6174999999999997</v>
      </c>
      <c r="CG1076" s="1">
        <v>44698</v>
      </c>
      <c r="CH1076" s="1">
        <v>7.8949999999999996</v>
      </c>
      <c r="CI1076" s="1">
        <v>44698</v>
      </c>
      <c r="CJ1076" s="1">
        <v>8.34</v>
      </c>
      <c r="CK1076" s="1">
        <v>44698</v>
      </c>
      <c r="CL1076" s="1">
        <v>8.33</v>
      </c>
      <c r="CM1076" s="1">
        <v>44698</v>
      </c>
      <c r="CN1076" s="1">
        <v>8.27</v>
      </c>
      <c r="CO1076" s="1">
        <v>44690</v>
      </c>
      <c r="CP1076" s="1">
        <v>8.2799999999999994</v>
      </c>
      <c r="CQ1076" s="1">
        <v>44690</v>
      </c>
      <c r="CR1076" s="1">
        <v>8</v>
      </c>
      <c r="CS1076" s="1">
        <v>44690</v>
      </c>
      <c r="CT1076" s="1">
        <v>7.66</v>
      </c>
    </row>
    <row r="1077" spans="31:98" x14ac:dyDescent="0.2">
      <c r="AE1077" s="1">
        <v>44687</v>
      </c>
      <c r="AF1077" s="1">
        <v>5.25</v>
      </c>
      <c r="AG1077" s="1">
        <v>44637</v>
      </c>
      <c r="AH1077" s="1">
        <v>4.37</v>
      </c>
      <c r="AI1077" s="1">
        <v>44697</v>
      </c>
      <c r="AJ1077" s="1">
        <v>6.899</v>
      </c>
      <c r="AK1077" s="1">
        <v>44697</v>
      </c>
      <c r="AL1077" s="1">
        <v>7.1425000000000001</v>
      </c>
      <c r="AM1077" s="1">
        <v>44697</v>
      </c>
      <c r="AN1077" s="1">
        <v>7.2249999999999996</v>
      </c>
      <c r="AO1077" s="1">
        <v>44697</v>
      </c>
      <c r="AP1077" s="1">
        <v>7.3150000000000004</v>
      </c>
      <c r="AQ1077" s="1">
        <v>44697</v>
      </c>
      <c r="AR1077" s="1">
        <v>7.28</v>
      </c>
      <c r="AS1077" s="1">
        <v>44697</v>
      </c>
      <c r="AT1077" s="1">
        <v>6.9550000000000001</v>
      </c>
      <c r="AU1077" s="1">
        <v>44697</v>
      </c>
      <c r="AV1077" s="1">
        <v>6.5975000000000001</v>
      </c>
      <c r="AW1077" s="1">
        <v>44697</v>
      </c>
      <c r="AX1077" s="1">
        <v>6.2975000000000003</v>
      </c>
      <c r="AY1077" s="1">
        <v>44697</v>
      </c>
      <c r="AZ1077" s="1">
        <v>6.0175000000000001</v>
      </c>
      <c r="BB1077" s="1">
        <v>44616</v>
      </c>
      <c r="BC1077" s="1">
        <v>4.5</v>
      </c>
      <c r="BD1077" s="1">
        <v>44636</v>
      </c>
      <c r="BE1077" s="1">
        <v>4.84</v>
      </c>
      <c r="BF1077" s="1">
        <v>44697</v>
      </c>
      <c r="BG1077" s="1">
        <v>6.1950000000000003</v>
      </c>
      <c r="BH1077" s="1">
        <v>44697</v>
      </c>
      <c r="BI1077" s="1">
        <v>6.6929999999999996</v>
      </c>
      <c r="BJ1077" s="1">
        <v>44697</v>
      </c>
      <c r="BK1077" s="1">
        <v>6.7679999999999998</v>
      </c>
      <c r="BL1077" s="1">
        <v>44697</v>
      </c>
      <c r="BM1077" s="1">
        <v>6.7080000000000002</v>
      </c>
      <c r="BN1077" s="1">
        <v>44694</v>
      </c>
      <c r="BO1077" s="1">
        <v>6.3250000000000002</v>
      </c>
      <c r="BP1077" s="1">
        <v>44697</v>
      </c>
      <c r="BQ1077" s="1">
        <v>5.9450000000000003</v>
      </c>
      <c r="BR1077" s="1">
        <v>44697</v>
      </c>
      <c r="BS1077" s="1">
        <v>5.5</v>
      </c>
      <c r="BT1077" s="1">
        <v>44697</v>
      </c>
      <c r="BU1077" s="1">
        <v>5.093</v>
      </c>
      <c r="BV1077" s="1">
        <v>44697</v>
      </c>
      <c r="BW1077" s="1">
        <v>4.82</v>
      </c>
      <c r="BY1077" s="1">
        <v>44621</v>
      </c>
      <c r="BZ1077" s="1">
        <v>3.4</v>
      </c>
      <c r="CA1077" s="1">
        <v>44628</v>
      </c>
      <c r="CB1077" s="1">
        <v>5.89</v>
      </c>
      <c r="CC1077" s="1">
        <v>44697</v>
      </c>
      <c r="CD1077" s="1">
        <v>7.27</v>
      </c>
      <c r="CE1077" s="1">
        <v>44697</v>
      </c>
      <c r="CF1077" s="1">
        <v>7.5774999999999997</v>
      </c>
      <c r="CG1077" s="1">
        <v>44697</v>
      </c>
      <c r="CH1077" s="1">
        <v>7.8550000000000004</v>
      </c>
      <c r="CI1077" s="1">
        <v>44697</v>
      </c>
      <c r="CJ1077" s="1">
        <v>8.3000000000000007</v>
      </c>
      <c r="CK1077" s="1">
        <v>44697</v>
      </c>
      <c r="CL1077" s="1">
        <v>8.2899999999999991</v>
      </c>
      <c r="CM1077" s="1">
        <v>44697</v>
      </c>
      <c r="CN1077" s="1">
        <v>8.19</v>
      </c>
      <c r="CO1077" s="1">
        <v>44687</v>
      </c>
      <c r="CP1077" s="1">
        <v>8.33</v>
      </c>
      <c r="CQ1077" s="1">
        <v>44687</v>
      </c>
      <c r="CR1077" s="1">
        <v>8.1</v>
      </c>
      <c r="CS1077" s="1">
        <v>44687</v>
      </c>
      <c r="CT1077" s="1">
        <v>7.71</v>
      </c>
    </row>
    <row r="1078" spans="31:98" x14ac:dyDescent="0.2">
      <c r="AE1078" s="1">
        <v>44686</v>
      </c>
      <c r="AF1078" s="1">
        <v>5.25</v>
      </c>
      <c r="AG1078" s="1">
        <v>44636</v>
      </c>
      <c r="AH1078" s="1">
        <v>4.3499999999999996</v>
      </c>
      <c r="AI1078" s="1">
        <v>44694</v>
      </c>
      <c r="AJ1078" s="1">
        <v>6.9574999999999996</v>
      </c>
      <c r="AK1078" s="1">
        <v>44694</v>
      </c>
      <c r="AL1078" s="1">
        <v>7.3</v>
      </c>
      <c r="AM1078" s="1">
        <v>44694</v>
      </c>
      <c r="AN1078" s="1">
        <v>7.43</v>
      </c>
      <c r="AO1078" s="1">
        <v>44694</v>
      </c>
      <c r="AP1078" s="1">
        <v>7.5149999999999997</v>
      </c>
      <c r="AQ1078" s="1">
        <v>44694</v>
      </c>
      <c r="AR1078" s="1">
        <v>7.4850000000000003</v>
      </c>
      <c r="AS1078" s="1">
        <v>44694</v>
      </c>
      <c r="AT1078" s="1">
        <v>7.1574999999999998</v>
      </c>
      <c r="AU1078" s="1">
        <v>44694</v>
      </c>
      <c r="AV1078" s="1">
        <v>6.8</v>
      </c>
      <c r="AW1078" s="1">
        <v>44694</v>
      </c>
      <c r="AX1078" s="1">
        <v>6.5</v>
      </c>
      <c r="AY1078" s="1">
        <v>44694</v>
      </c>
      <c r="AZ1078" s="1">
        <v>6.22</v>
      </c>
      <c r="BB1078" s="1">
        <v>44615</v>
      </c>
      <c r="BC1078" s="1">
        <v>4.5</v>
      </c>
      <c r="BD1078" s="1">
        <v>44635</v>
      </c>
      <c r="BE1078" s="1">
        <v>4.84</v>
      </c>
      <c r="BF1078" s="1">
        <v>44694</v>
      </c>
      <c r="BG1078" s="1">
        <v>6.21</v>
      </c>
      <c r="BH1078" s="1">
        <v>44694</v>
      </c>
      <c r="BI1078" s="1">
        <v>6.6950000000000003</v>
      </c>
      <c r="BJ1078" s="1">
        <v>44694</v>
      </c>
      <c r="BK1078" s="1">
        <v>6.7750000000000004</v>
      </c>
      <c r="BL1078" s="1">
        <v>44694</v>
      </c>
      <c r="BM1078" s="1">
        <v>6.7149999999999999</v>
      </c>
      <c r="BN1078" s="1">
        <v>44693</v>
      </c>
      <c r="BO1078" s="1">
        <v>6.2450000000000001</v>
      </c>
      <c r="BP1078" s="1">
        <v>44694</v>
      </c>
      <c r="BQ1078" s="1">
        <v>5.95</v>
      </c>
      <c r="BR1078" s="1">
        <v>44694</v>
      </c>
      <c r="BS1078" s="1">
        <v>5.52</v>
      </c>
      <c r="BT1078" s="1">
        <v>44694</v>
      </c>
      <c r="BU1078" s="1">
        <v>5.08</v>
      </c>
      <c r="BV1078" s="1">
        <v>44694</v>
      </c>
      <c r="BW1078" s="1">
        <v>4.88</v>
      </c>
      <c r="BY1078" s="1">
        <v>44620</v>
      </c>
      <c r="BZ1078" s="1">
        <v>3.4</v>
      </c>
      <c r="CA1078" s="1">
        <v>44627</v>
      </c>
      <c r="CB1078" s="1">
        <v>5.78</v>
      </c>
      <c r="CC1078" s="1">
        <v>44694</v>
      </c>
      <c r="CD1078" s="1">
        <v>7.26</v>
      </c>
      <c r="CE1078" s="1">
        <v>44694</v>
      </c>
      <c r="CF1078" s="1">
        <v>7.59</v>
      </c>
      <c r="CG1078" s="1">
        <v>44694</v>
      </c>
      <c r="CH1078" s="1">
        <v>7.87</v>
      </c>
      <c r="CI1078" s="1">
        <v>44694</v>
      </c>
      <c r="CJ1078" s="1">
        <v>8.26</v>
      </c>
      <c r="CK1078" s="1">
        <v>44694</v>
      </c>
      <c r="CL1078" s="1">
        <v>8.31</v>
      </c>
      <c r="CM1078" s="1">
        <v>44694</v>
      </c>
      <c r="CN1078" s="1">
        <v>8.27</v>
      </c>
      <c r="CO1078" s="1">
        <v>44686</v>
      </c>
      <c r="CP1078" s="1">
        <v>8.24</v>
      </c>
      <c r="CQ1078" s="1">
        <v>44686</v>
      </c>
      <c r="CR1078" s="1">
        <v>7.96</v>
      </c>
      <c r="CS1078" s="1">
        <v>44686</v>
      </c>
      <c r="CT1078" s="1">
        <v>7.62</v>
      </c>
    </row>
    <row r="1079" spans="31:98" x14ac:dyDescent="0.2">
      <c r="AE1079" s="1">
        <v>44685</v>
      </c>
      <c r="AF1079" s="1">
        <v>4.5</v>
      </c>
      <c r="AG1079" s="1">
        <v>44635</v>
      </c>
      <c r="AH1079" s="1">
        <v>4.33</v>
      </c>
      <c r="AI1079" s="1">
        <v>44693</v>
      </c>
      <c r="AJ1079" s="1">
        <v>6.9465000000000003</v>
      </c>
      <c r="AK1079" s="1">
        <v>44693</v>
      </c>
      <c r="AL1079" s="1">
        <v>7.3</v>
      </c>
      <c r="AM1079" s="1">
        <v>44693</v>
      </c>
      <c r="AN1079" s="1">
        <v>7.4074999999999998</v>
      </c>
      <c r="AO1079" s="1">
        <v>44693</v>
      </c>
      <c r="AP1079" s="1">
        <v>7.4625000000000004</v>
      </c>
      <c r="AQ1079" s="1">
        <v>44693</v>
      </c>
      <c r="AR1079" s="1">
        <v>7.4275000000000002</v>
      </c>
      <c r="AS1079" s="1">
        <v>44693</v>
      </c>
      <c r="AT1079" s="1">
        <v>7.1174999999999997</v>
      </c>
      <c r="AU1079" s="1">
        <v>44693</v>
      </c>
      <c r="AV1079" s="1">
        <v>6.76</v>
      </c>
      <c r="AW1079" s="1">
        <v>44693</v>
      </c>
      <c r="AX1079" s="1">
        <v>6.46</v>
      </c>
      <c r="AY1079" s="1">
        <v>44693</v>
      </c>
      <c r="AZ1079" s="1">
        <v>6.18</v>
      </c>
      <c r="BB1079" s="1">
        <v>44614</v>
      </c>
      <c r="BC1079" s="1">
        <v>4.5</v>
      </c>
      <c r="BD1079" s="1">
        <v>44634</v>
      </c>
      <c r="BE1079" s="1">
        <v>4.83</v>
      </c>
      <c r="BF1079" s="1">
        <v>44693</v>
      </c>
      <c r="BG1079" s="1">
        <v>6.18</v>
      </c>
      <c r="BH1079" s="1">
        <v>44693</v>
      </c>
      <c r="BI1079" s="1">
        <v>6.625</v>
      </c>
      <c r="BJ1079" s="1">
        <v>44693</v>
      </c>
      <c r="BK1079" s="1">
        <v>6.71</v>
      </c>
      <c r="BL1079" s="1">
        <v>44693</v>
      </c>
      <c r="BM1079" s="1">
        <v>6.6349999999999998</v>
      </c>
      <c r="BN1079" s="1">
        <v>44692</v>
      </c>
      <c r="BO1079" s="1">
        <v>6.43</v>
      </c>
      <c r="BP1079" s="1">
        <v>44693</v>
      </c>
      <c r="BQ1079" s="1">
        <v>5.87</v>
      </c>
      <c r="BR1079" s="1">
        <v>44693</v>
      </c>
      <c r="BS1079" s="1">
        <v>5.44</v>
      </c>
      <c r="BT1079" s="1">
        <v>44693</v>
      </c>
      <c r="BU1079" s="1">
        <v>5.0830000000000002</v>
      </c>
      <c r="BV1079" s="1">
        <v>44693</v>
      </c>
      <c r="BW1079" s="1">
        <v>4.8780000000000001</v>
      </c>
      <c r="BY1079" s="1">
        <v>44617</v>
      </c>
      <c r="BZ1079" s="1">
        <v>3.4</v>
      </c>
      <c r="CA1079" s="1">
        <v>44624</v>
      </c>
      <c r="CB1079" s="1">
        <v>5.58</v>
      </c>
      <c r="CC1079" s="1">
        <v>44693</v>
      </c>
      <c r="CD1079" s="1">
        <v>7.27</v>
      </c>
      <c r="CE1079" s="1">
        <v>44693</v>
      </c>
      <c r="CF1079" s="1">
        <v>7.62</v>
      </c>
      <c r="CG1079" s="1">
        <v>44693</v>
      </c>
      <c r="CH1079" s="1">
        <v>7.92</v>
      </c>
      <c r="CI1079" s="1">
        <v>44693</v>
      </c>
      <c r="CJ1079" s="1">
        <v>8.3049999999999997</v>
      </c>
      <c r="CK1079" s="1">
        <v>44693</v>
      </c>
      <c r="CL1079" s="1">
        <v>8.3149999999999995</v>
      </c>
      <c r="CM1079" s="1">
        <v>44693</v>
      </c>
      <c r="CN1079" s="1">
        <v>8.3350000000000009</v>
      </c>
      <c r="CO1079" s="1">
        <v>44685</v>
      </c>
      <c r="CP1079" s="1">
        <v>8.26</v>
      </c>
      <c r="CQ1079" s="1">
        <v>44685</v>
      </c>
      <c r="CR1079" s="1">
        <v>7.97</v>
      </c>
      <c r="CS1079" s="1">
        <v>44685</v>
      </c>
      <c r="CT1079" s="1">
        <v>7.62</v>
      </c>
    </row>
    <row r="1080" spans="31:98" x14ac:dyDescent="0.2">
      <c r="AE1080" s="1">
        <v>44684</v>
      </c>
      <c r="AF1080" s="1">
        <v>4.5</v>
      </c>
      <c r="AG1080" s="1">
        <v>44634</v>
      </c>
      <c r="AH1080" s="1">
        <v>4.3</v>
      </c>
      <c r="AI1080" s="1">
        <v>44692</v>
      </c>
      <c r="AJ1080" s="1">
        <v>7.0724999999999998</v>
      </c>
      <c r="AK1080" s="1">
        <v>44692</v>
      </c>
      <c r="AL1080" s="1">
        <v>7.54</v>
      </c>
      <c r="AM1080" s="1">
        <v>44692</v>
      </c>
      <c r="AN1080" s="1">
        <v>7.6849999999999996</v>
      </c>
      <c r="AO1080" s="1">
        <v>44692</v>
      </c>
      <c r="AP1080" s="1">
        <v>7.73</v>
      </c>
      <c r="AQ1080" s="1">
        <v>44692</v>
      </c>
      <c r="AR1080" s="1">
        <v>7.68</v>
      </c>
      <c r="AS1080" s="1">
        <v>44692</v>
      </c>
      <c r="AT1080" s="1">
        <v>7.41</v>
      </c>
      <c r="AU1080" s="1">
        <v>44692</v>
      </c>
      <c r="AV1080" s="1">
        <v>7.0650000000000004</v>
      </c>
      <c r="AW1080" s="1">
        <v>44692</v>
      </c>
      <c r="AX1080" s="1">
        <v>6.78</v>
      </c>
      <c r="AY1080" s="1">
        <v>44692</v>
      </c>
      <c r="AZ1080" s="1">
        <v>6.5149999999999997</v>
      </c>
      <c r="BB1080" s="1">
        <v>44613</v>
      </c>
      <c r="BC1080" s="1">
        <v>4.5</v>
      </c>
      <c r="BD1080" s="1">
        <v>44631</v>
      </c>
      <c r="BE1080" s="1">
        <v>4.83</v>
      </c>
      <c r="BF1080" s="1">
        <v>44692</v>
      </c>
      <c r="BG1080" s="1">
        <v>6.22</v>
      </c>
      <c r="BH1080" s="1">
        <v>44692</v>
      </c>
      <c r="BI1080" s="1">
        <v>6.6</v>
      </c>
      <c r="BJ1080" s="1">
        <v>44692</v>
      </c>
      <c r="BK1080" s="1">
        <v>6.7350000000000003</v>
      </c>
      <c r="BL1080" s="1">
        <v>44692</v>
      </c>
      <c r="BM1080" s="1">
        <v>6.7249999999999996</v>
      </c>
      <c r="BN1080" s="1">
        <v>44691</v>
      </c>
      <c r="BO1080" s="1">
        <v>6.58</v>
      </c>
      <c r="BP1080" s="1">
        <v>44692</v>
      </c>
      <c r="BQ1080" s="1">
        <v>6.08</v>
      </c>
      <c r="BR1080" s="1">
        <v>44692</v>
      </c>
      <c r="BS1080" s="1">
        <v>5.633</v>
      </c>
      <c r="BT1080" s="1">
        <v>44692</v>
      </c>
      <c r="BU1080" s="1">
        <v>5.26</v>
      </c>
      <c r="BV1080" s="1">
        <v>44692</v>
      </c>
      <c r="BW1080" s="1">
        <v>5.008</v>
      </c>
      <c r="BY1080" s="1">
        <v>44616</v>
      </c>
      <c r="BZ1080" s="1">
        <v>3.4</v>
      </c>
      <c r="CA1080" s="1">
        <v>44623</v>
      </c>
      <c r="CB1080" s="1">
        <v>5.52</v>
      </c>
      <c r="CC1080" s="1">
        <v>44692</v>
      </c>
      <c r="CD1080" s="1">
        <v>7.31</v>
      </c>
      <c r="CE1080" s="1">
        <v>44692</v>
      </c>
      <c r="CF1080" s="1">
        <v>7.66</v>
      </c>
      <c r="CG1080" s="1">
        <v>44692</v>
      </c>
      <c r="CH1080" s="1">
        <v>7.96</v>
      </c>
      <c r="CI1080" s="1">
        <v>44692</v>
      </c>
      <c r="CJ1080" s="1">
        <v>8.4049999999999994</v>
      </c>
      <c r="CK1080" s="1">
        <v>44692</v>
      </c>
      <c r="CL1080" s="1">
        <v>8.4949999999999992</v>
      </c>
      <c r="CM1080" s="1">
        <v>44692</v>
      </c>
      <c r="CN1080" s="1">
        <v>8.5350000000000001</v>
      </c>
      <c r="CO1080" s="1">
        <v>44684</v>
      </c>
      <c r="CP1080" s="1">
        <v>8.24</v>
      </c>
      <c r="CQ1080" s="1">
        <v>44684</v>
      </c>
      <c r="CR1080" s="1">
        <v>7.95</v>
      </c>
      <c r="CS1080" s="1">
        <v>44684</v>
      </c>
      <c r="CT1080" s="1">
        <v>7.6050000000000004</v>
      </c>
    </row>
    <row r="1081" spans="31:98" x14ac:dyDescent="0.2">
      <c r="AE1081" s="1">
        <v>44683</v>
      </c>
      <c r="AF1081" s="1">
        <v>4.5</v>
      </c>
      <c r="AG1081" s="1">
        <v>44631</v>
      </c>
      <c r="AH1081" s="1">
        <v>4.22</v>
      </c>
      <c r="AI1081" s="1">
        <v>44691</v>
      </c>
      <c r="AJ1081" s="1">
        <v>7.1130000000000004</v>
      </c>
      <c r="AK1081" s="1">
        <v>44691</v>
      </c>
      <c r="AL1081" s="1">
        <v>7.585</v>
      </c>
      <c r="AM1081" s="1">
        <v>44691</v>
      </c>
      <c r="AN1081" s="1">
        <v>7.72</v>
      </c>
      <c r="AO1081" s="1">
        <v>44691</v>
      </c>
      <c r="AP1081" s="1">
        <v>7.8150000000000004</v>
      </c>
      <c r="AQ1081" s="1">
        <v>44691</v>
      </c>
      <c r="AR1081" s="1">
        <v>7.7850000000000001</v>
      </c>
      <c r="AS1081" s="1">
        <v>44691</v>
      </c>
      <c r="AT1081" s="1">
        <v>7.5625</v>
      </c>
      <c r="AU1081" s="1">
        <v>44691</v>
      </c>
      <c r="AV1081" s="1">
        <v>7.22</v>
      </c>
      <c r="AW1081" s="1">
        <v>44691</v>
      </c>
      <c r="AX1081" s="1">
        <v>6.9375</v>
      </c>
      <c r="AY1081" s="1">
        <v>44691</v>
      </c>
      <c r="AZ1081" s="1">
        <v>6.6775000000000002</v>
      </c>
      <c r="BB1081" s="1">
        <v>44610</v>
      </c>
      <c r="BC1081" s="1">
        <v>4.5</v>
      </c>
      <c r="BD1081" s="1">
        <v>44630</v>
      </c>
      <c r="BE1081" s="1">
        <v>4.82</v>
      </c>
      <c r="BF1081" s="1">
        <v>44691</v>
      </c>
      <c r="BG1081" s="1">
        <v>6.26</v>
      </c>
      <c r="BH1081" s="1">
        <v>44691</v>
      </c>
      <c r="BI1081" s="1">
        <v>6.66</v>
      </c>
      <c r="BJ1081" s="1">
        <v>44691</v>
      </c>
      <c r="BK1081" s="1">
        <v>6.81</v>
      </c>
      <c r="BL1081" s="1">
        <v>44691</v>
      </c>
      <c r="BM1081" s="1">
        <v>6.81</v>
      </c>
      <c r="BN1081" s="1">
        <v>44690</v>
      </c>
      <c r="BO1081" s="1">
        <v>6.5880000000000001</v>
      </c>
      <c r="BP1081" s="1">
        <v>44691</v>
      </c>
      <c r="BQ1081" s="1">
        <v>6.3150000000000004</v>
      </c>
      <c r="BR1081" s="1">
        <v>44691</v>
      </c>
      <c r="BS1081" s="1">
        <v>5.9550000000000001</v>
      </c>
      <c r="BT1081" s="1">
        <v>44691</v>
      </c>
      <c r="BU1081" s="1">
        <v>5.6580000000000004</v>
      </c>
      <c r="BV1081" s="1">
        <v>44691</v>
      </c>
      <c r="BW1081" s="1">
        <v>5.2850000000000001</v>
      </c>
      <c r="BY1081" s="1">
        <v>44615</v>
      </c>
      <c r="BZ1081" s="1">
        <v>3.4</v>
      </c>
      <c r="CA1081" s="1">
        <v>44622</v>
      </c>
      <c r="CB1081" s="1">
        <v>4.99</v>
      </c>
      <c r="CC1081" s="1">
        <v>44691</v>
      </c>
      <c r="CD1081" s="1">
        <v>7.35</v>
      </c>
      <c r="CE1081" s="1">
        <v>44691</v>
      </c>
      <c r="CF1081" s="1">
        <v>7.7</v>
      </c>
      <c r="CG1081" s="1">
        <v>44691</v>
      </c>
      <c r="CH1081" s="1">
        <v>8</v>
      </c>
      <c r="CI1081" s="1">
        <v>44691</v>
      </c>
      <c r="CJ1081" s="1">
        <v>8.5</v>
      </c>
      <c r="CK1081" s="1">
        <v>44691</v>
      </c>
      <c r="CL1081" s="1">
        <v>8.58</v>
      </c>
      <c r="CM1081" s="1">
        <v>44691</v>
      </c>
      <c r="CN1081" s="1">
        <v>8.59</v>
      </c>
      <c r="CO1081" s="1">
        <v>44683</v>
      </c>
      <c r="CP1081" s="1">
        <v>7.9950000000000001</v>
      </c>
      <c r="CQ1081" s="1">
        <v>44683</v>
      </c>
      <c r="CR1081" s="1">
        <v>7.6150000000000002</v>
      </c>
      <c r="CS1081" s="1">
        <v>44683</v>
      </c>
      <c r="CT1081" s="1">
        <v>7.2149999999999999</v>
      </c>
    </row>
    <row r="1082" spans="31:98" x14ac:dyDescent="0.2">
      <c r="AE1082" s="1">
        <v>44680</v>
      </c>
      <c r="AF1082" s="1">
        <v>4.5</v>
      </c>
      <c r="AG1082" s="1">
        <v>44630</v>
      </c>
      <c r="AH1082" s="1">
        <v>4.18</v>
      </c>
      <c r="AI1082" s="1">
        <v>44690</v>
      </c>
      <c r="AJ1082" s="1">
        <v>7.1218000000000004</v>
      </c>
      <c r="AK1082" s="1">
        <v>44690</v>
      </c>
      <c r="AL1082" s="1">
        <v>7.59</v>
      </c>
      <c r="AM1082" s="1">
        <v>44690</v>
      </c>
      <c r="AN1082" s="1">
        <v>7.75</v>
      </c>
      <c r="AO1082" s="1">
        <v>44690</v>
      </c>
      <c r="AP1082" s="1">
        <v>7.83</v>
      </c>
      <c r="AQ1082" s="1">
        <v>44690</v>
      </c>
      <c r="AR1082" s="1">
        <v>7.81</v>
      </c>
      <c r="AS1082" s="1">
        <v>44690</v>
      </c>
      <c r="AT1082" s="1">
        <v>7.5724999999999998</v>
      </c>
      <c r="AU1082" s="1">
        <v>44690</v>
      </c>
      <c r="AV1082" s="1">
        <v>7.21</v>
      </c>
      <c r="AW1082" s="1">
        <v>44690</v>
      </c>
      <c r="AX1082" s="1">
        <v>6.8274999999999997</v>
      </c>
      <c r="AY1082" s="1">
        <v>44690</v>
      </c>
      <c r="AZ1082" s="1">
        <v>6.6825000000000001</v>
      </c>
      <c r="BB1082" s="1">
        <v>44609</v>
      </c>
      <c r="BC1082" s="1">
        <v>4.5</v>
      </c>
      <c r="BD1082" s="1">
        <v>44629</v>
      </c>
      <c r="BE1082" s="1">
        <v>4.82</v>
      </c>
      <c r="BF1082" s="1">
        <v>44690</v>
      </c>
      <c r="BG1082" s="1">
        <v>6.26</v>
      </c>
      <c r="BH1082" s="1">
        <v>44690</v>
      </c>
      <c r="BI1082" s="1">
        <v>6.6429999999999998</v>
      </c>
      <c r="BJ1082" s="1">
        <v>44690</v>
      </c>
      <c r="BK1082" s="1">
        <v>6.7729999999999997</v>
      </c>
      <c r="BL1082" s="1">
        <v>44690</v>
      </c>
      <c r="BM1082" s="1">
        <v>6.7830000000000004</v>
      </c>
      <c r="BN1082" s="1">
        <v>44687</v>
      </c>
      <c r="BO1082" s="1">
        <v>6.45</v>
      </c>
      <c r="BP1082" s="1">
        <v>44690</v>
      </c>
      <c r="BQ1082" s="1">
        <v>6.3280000000000003</v>
      </c>
      <c r="BR1082" s="1">
        <v>44690</v>
      </c>
      <c r="BS1082" s="1">
        <v>5.9580000000000002</v>
      </c>
      <c r="BT1082" s="1">
        <v>44690</v>
      </c>
      <c r="BU1082" s="1">
        <v>5.6479999999999997</v>
      </c>
      <c r="BV1082" s="1">
        <v>44690</v>
      </c>
      <c r="BW1082" s="1">
        <v>5.27</v>
      </c>
      <c r="BY1082" s="1">
        <v>44614</v>
      </c>
      <c r="BZ1082" s="1">
        <v>2.9</v>
      </c>
      <c r="CA1082" s="1">
        <v>44621</v>
      </c>
      <c r="CB1082" s="1">
        <v>4.9400000000000004</v>
      </c>
      <c r="CC1082" s="1">
        <v>44690</v>
      </c>
      <c r="CD1082" s="1">
        <v>7.43</v>
      </c>
      <c r="CE1082" s="1">
        <v>44690</v>
      </c>
      <c r="CF1082" s="1">
        <v>7.7850000000000001</v>
      </c>
      <c r="CG1082" s="1">
        <v>44690</v>
      </c>
      <c r="CH1082" s="1">
        <v>8</v>
      </c>
      <c r="CI1082" s="1">
        <v>44690</v>
      </c>
      <c r="CJ1082" s="1">
        <v>8.44</v>
      </c>
      <c r="CK1082" s="1">
        <v>44690</v>
      </c>
      <c r="CL1082" s="1">
        <v>8.5399999999999991</v>
      </c>
      <c r="CM1082" s="1">
        <v>44690</v>
      </c>
      <c r="CN1082" s="1">
        <v>8.5399999999999991</v>
      </c>
      <c r="CO1082" s="1">
        <v>44680</v>
      </c>
      <c r="CP1082" s="1">
        <v>8.0050000000000008</v>
      </c>
      <c r="CQ1082" s="1">
        <v>44680</v>
      </c>
      <c r="CR1082" s="1">
        <v>7.6150000000000002</v>
      </c>
      <c r="CS1082" s="1">
        <v>44680</v>
      </c>
      <c r="CT1082" s="1">
        <v>7.2149999999999999</v>
      </c>
    </row>
    <row r="1083" spans="31:98" x14ac:dyDescent="0.2">
      <c r="AE1083" s="1">
        <v>44679</v>
      </c>
      <c r="AF1083" s="1">
        <v>4.5</v>
      </c>
      <c r="AG1083" s="1">
        <v>44629</v>
      </c>
      <c r="AH1083" s="1">
        <v>4.03</v>
      </c>
      <c r="AI1083" s="1">
        <v>44687</v>
      </c>
      <c r="AJ1083" s="1">
        <v>7.0960000000000001</v>
      </c>
      <c r="AK1083" s="1">
        <v>44687</v>
      </c>
      <c r="AL1083" s="1">
        <v>7.4974999999999996</v>
      </c>
      <c r="AM1083" s="1">
        <v>44687</v>
      </c>
      <c r="AN1083" s="1">
        <v>7.6550000000000002</v>
      </c>
      <c r="AO1083" s="1">
        <v>44687</v>
      </c>
      <c r="AP1083" s="1">
        <v>7.7149999999999999</v>
      </c>
      <c r="AQ1083" s="1">
        <v>44687</v>
      </c>
      <c r="AR1083" s="1">
        <v>7.6849999999999996</v>
      </c>
      <c r="AS1083" s="1">
        <v>44687</v>
      </c>
      <c r="AT1083" s="1">
        <v>7.4850000000000003</v>
      </c>
      <c r="AU1083" s="1">
        <v>44687</v>
      </c>
      <c r="AV1083" s="1">
        <v>7.0149999999999997</v>
      </c>
      <c r="AW1083" s="1">
        <v>44687</v>
      </c>
      <c r="AX1083" s="1">
        <v>6.7149999999999999</v>
      </c>
      <c r="AY1083" s="1">
        <v>44687</v>
      </c>
      <c r="AZ1083" s="1">
        <v>6.58</v>
      </c>
      <c r="BB1083" s="1">
        <v>44608</v>
      </c>
      <c r="BC1083" s="1">
        <v>4.5</v>
      </c>
      <c r="BD1083" s="1">
        <v>44628</v>
      </c>
      <c r="BE1083" s="1">
        <v>4.8</v>
      </c>
      <c r="BF1083" s="1">
        <v>44687</v>
      </c>
      <c r="BG1083" s="1">
        <v>6.2</v>
      </c>
      <c r="BH1083" s="1">
        <v>44687</v>
      </c>
      <c r="BI1083" s="1">
        <v>6.59</v>
      </c>
      <c r="BJ1083" s="1">
        <v>44687</v>
      </c>
      <c r="BK1083" s="1">
        <v>6.67</v>
      </c>
      <c r="BL1083" s="1">
        <v>44687</v>
      </c>
      <c r="BM1083" s="1">
        <v>6.665</v>
      </c>
      <c r="BN1083" s="1">
        <v>44686</v>
      </c>
      <c r="BO1083" s="1">
        <v>6.5049999999999999</v>
      </c>
      <c r="BP1083" s="1">
        <v>44687</v>
      </c>
      <c r="BQ1083" s="1">
        <v>6.2050000000000001</v>
      </c>
      <c r="BR1083" s="1">
        <v>44687</v>
      </c>
      <c r="BS1083" s="1">
        <v>5.8550000000000004</v>
      </c>
      <c r="BT1083" s="1">
        <v>44687</v>
      </c>
      <c r="BU1083" s="1">
        <v>5.5250000000000004</v>
      </c>
      <c r="BV1083" s="1">
        <v>44687</v>
      </c>
      <c r="BW1083" s="1">
        <v>5.1449999999999996</v>
      </c>
      <c r="BY1083" s="1">
        <v>44610</v>
      </c>
      <c r="BZ1083" s="1">
        <v>2.9</v>
      </c>
      <c r="CA1083" s="1">
        <v>44620</v>
      </c>
      <c r="CB1083" s="1">
        <v>4.92</v>
      </c>
      <c r="CC1083" s="1">
        <v>44687</v>
      </c>
      <c r="CD1083" s="1">
        <v>7.35</v>
      </c>
      <c r="CE1083" s="1">
        <v>44687</v>
      </c>
      <c r="CF1083" s="1">
        <v>7.7149999999999999</v>
      </c>
      <c r="CG1083" s="1">
        <v>44687</v>
      </c>
      <c r="CH1083" s="1">
        <v>7.94</v>
      </c>
      <c r="CI1083" s="1">
        <v>44687</v>
      </c>
      <c r="CJ1083" s="1">
        <v>8.41</v>
      </c>
      <c r="CK1083" s="1">
        <v>44687</v>
      </c>
      <c r="CL1083" s="1">
        <v>8.56</v>
      </c>
      <c r="CM1083" s="1">
        <v>44687</v>
      </c>
      <c r="CN1083" s="1">
        <v>8.59</v>
      </c>
      <c r="CO1083" s="1">
        <v>44679</v>
      </c>
      <c r="CP1083" s="1">
        <v>7.84</v>
      </c>
      <c r="CQ1083" s="1">
        <v>44679</v>
      </c>
      <c r="CR1083" s="1">
        <v>7.53</v>
      </c>
      <c r="CS1083" s="1">
        <v>44679</v>
      </c>
      <c r="CT1083" s="1">
        <v>7.18</v>
      </c>
    </row>
    <row r="1084" spans="31:98" x14ac:dyDescent="0.2">
      <c r="AE1084" s="1">
        <v>44678</v>
      </c>
      <c r="AF1084" s="1">
        <v>4.5</v>
      </c>
      <c r="AG1084" s="1">
        <v>44628</v>
      </c>
      <c r="AH1084" s="1">
        <v>3.91</v>
      </c>
      <c r="AI1084" s="1">
        <v>44686</v>
      </c>
      <c r="AJ1084" s="1">
        <v>7.0910000000000002</v>
      </c>
      <c r="AK1084" s="1">
        <v>44686</v>
      </c>
      <c r="AL1084" s="1">
        <v>7.5309999999999997</v>
      </c>
      <c r="AM1084" s="1">
        <v>44686</v>
      </c>
      <c r="AN1084" s="1">
        <v>7.62</v>
      </c>
      <c r="AO1084" s="1">
        <v>44686</v>
      </c>
      <c r="AP1084" s="1">
        <v>7.66</v>
      </c>
      <c r="AQ1084" s="1">
        <v>44686</v>
      </c>
      <c r="AR1084" s="1">
        <v>7.62</v>
      </c>
      <c r="AS1084" s="1">
        <v>44686</v>
      </c>
      <c r="AT1084" s="1">
        <v>7.3550000000000004</v>
      </c>
      <c r="AU1084" s="1">
        <v>44686</v>
      </c>
      <c r="AV1084" s="1">
        <v>6.8650000000000002</v>
      </c>
      <c r="AW1084" s="1">
        <v>44686</v>
      </c>
      <c r="AX1084" s="1">
        <v>6.5549999999999997</v>
      </c>
      <c r="AY1084" s="1">
        <v>44686</v>
      </c>
      <c r="AZ1084" s="1">
        <v>6.4249999999999998</v>
      </c>
      <c r="BB1084" s="1">
        <v>44607</v>
      </c>
      <c r="BC1084" s="1">
        <v>4.5</v>
      </c>
      <c r="BD1084" s="1">
        <v>44627</v>
      </c>
      <c r="BE1084" s="1">
        <v>4.79</v>
      </c>
      <c r="BF1084" s="1">
        <v>44686</v>
      </c>
      <c r="BG1084" s="1">
        <v>6.35</v>
      </c>
      <c r="BH1084" s="1">
        <v>44686</v>
      </c>
      <c r="BI1084" s="1">
        <v>6.54</v>
      </c>
      <c r="BJ1084" s="1">
        <v>44686</v>
      </c>
      <c r="BK1084" s="1">
        <v>6.62</v>
      </c>
      <c r="BL1084" s="1">
        <v>44686</v>
      </c>
      <c r="BM1084" s="1">
        <v>6.6050000000000004</v>
      </c>
      <c r="BN1084" s="1">
        <v>44685</v>
      </c>
      <c r="BO1084" s="1">
        <v>6.0430000000000001</v>
      </c>
      <c r="BP1084" s="1">
        <v>44686</v>
      </c>
      <c r="BQ1084" s="1">
        <v>6.0730000000000004</v>
      </c>
      <c r="BR1084" s="1">
        <v>44686</v>
      </c>
      <c r="BS1084" s="1">
        <v>5.9930000000000003</v>
      </c>
      <c r="BT1084" s="1">
        <v>44686</v>
      </c>
      <c r="BU1084" s="1">
        <v>5.5830000000000002</v>
      </c>
      <c r="BV1084" s="1">
        <v>44686</v>
      </c>
      <c r="BW1084" s="1">
        <v>5.258</v>
      </c>
      <c r="BY1084" s="1">
        <v>44609</v>
      </c>
      <c r="BZ1084" s="1">
        <v>2.9</v>
      </c>
      <c r="CA1084" s="1">
        <v>44617</v>
      </c>
      <c r="CB1084" s="1">
        <v>4.87</v>
      </c>
      <c r="CC1084" s="1">
        <v>44686</v>
      </c>
      <c r="CD1084" s="1">
        <v>7.26</v>
      </c>
      <c r="CE1084" s="1">
        <v>44686</v>
      </c>
      <c r="CF1084" s="1">
        <v>7.6109999999999998</v>
      </c>
      <c r="CG1084" s="1">
        <v>44686</v>
      </c>
      <c r="CH1084" s="1">
        <v>7.89</v>
      </c>
      <c r="CI1084" s="1">
        <v>44686</v>
      </c>
      <c r="CJ1084" s="1">
        <v>8.32</v>
      </c>
      <c r="CK1084" s="1">
        <v>44686</v>
      </c>
      <c r="CL1084" s="1">
        <v>8.4700000000000006</v>
      </c>
      <c r="CM1084" s="1">
        <v>44686</v>
      </c>
      <c r="CN1084" s="1">
        <v>8.5</v>
      </c>
      <c r="CO1084" s="1">
        <v>44678</v>
      </c>
      <c r="CP1084" s="1">
        <v>8.0549999999999997</v>
      </c>
      <c r="CQ1084" s="1">
        <v>44678</v>
      </c>
      <c r="CR1084" s="1">
        <v>7.7750000000000004</v>
      </c>
      <c r="CS1084" s="1">
        <v>44678</v>
      </c>
      <c r="CT1084" s="1">
        <v>7.46</v>
      </c>
    </row>
    <row r="1085" spans="31:98" x14ac:dyDescent="0.2">
      <c r="AE1085" s="1">
        <v>44677</v>
      </c>
      <c r="AF1085" s="1">
        <v>4.5</v>
      </c>
      <c r="AG1085" s="1">
        <v>44627</v>
      </c>
      <c r="AH1085" s="1">
        <v>3.81</v>
      </c>
      <c r="AI1085" s="1">
        <v>44685</v>
      </c>
      <c r="AJ1085" s="1">
        <v>7.1615000000000002</v>
      </c>
      <c r="AK1085" s="1">
        <v>44685</v>
      </c>
      <c r="AL1085" s="1">
        <v>7.5925000000000002</v>
      </c>
      <c r="AM1085" s="1">
        <v>44685</v>
      </c>
      <c r="AN1085" s="1">
        <v>7.8525</v>
      </c>
      <c r="AO1085" s="1">
        <v>44685</v>
      </c>
      <c r="AP1085" s="1">
        <v>7.8775000000000004</v>
      </c>
      <c r="AQ1085" s="1">
        <v>44685</v>
      </c>
      <c r="AR1085" s="1">
        <v>7.8375000000000004</v>
      </c>
      <c r="AS1085" s="1">
        <v>44685</v>
      </c>
      <c r="AT1085" s="1">
        <v>7.5225</v>
      </c>
      <c r="AU1085" s="1">
        <v>44685</v>
      </c>
      <c r="AV1085" s="1">
        <v>7.0025000000000004</v>
      </c>
      <c r="AW1085" s="1">
        <v>44685</v>
      </c>
      <c r="AX1085" s="1">
        <v>6.7525000000000004</v>
      </c>
      <c r="AY1085" s="1">
        <v>44685</v>
      </c>
      <c r="AZ1085" s="1">
        <v>6.6224999999999996</v>
      </c>
      <c r="BB1085" s="1">
        <v>44606</v>
      </c>
      <c r="BC1085" s="1">
        <v>4.5</v>
      </c>
      <c r="BD1085" s="1">
        <v>44624</v>
      </c>
      <c r="BE1085" s="1">
        <v>4.7699999999999996</v>
      </c>
      <c r="BF1085" s="1">
        <v>44685</v>
      </c>
      <c r="BG1085" s="1">
        <v>5.8049999999999997</v>
      </c>
      <c r="BH1085" s="1">
        <v>44685</v>
      </c>
      <c r="BI1085" s="1">
        <v>6.0279999999999996</v>
      </c>
      <c r="BJ1085" s="1">
        <v>44685</v>
      </c>
      <c r="BK1085" s="1">
        <v>6.0880000000000001</v>
      </c>
      <c r="BL1085" s="1">
        <v>44685</v>
      </c>
      <c r="BM1085" s="1">
        <v>6.1029999999999998</v>
      </c>
      <c r="BN1085" s="1">
        <v>44684</v>
      </c>
      <c r="BO1085" s="1">
        <v>6</v>
      </c>
      <c r="BP1085" s="1">
        <v>44685</v>
      </c>
      <c r="BQ1085" s="1">
        <v>5.8730000000000002</v>
      </c>
      <c r="BR1085" s="1">
        <v>44685</v>
      </c>
      <c r="BS1085" s="1">
        <v>5.6050000000000004</v>
      </c>
      <c r="BT1085" s="1">
        <v>44685</v>
      </c>
      <c r="BU1085" s="1">
        <v>5.2649999999999997</v>
      </c>
      <c r="BV1085" s="1">
        <v>44685</v>
      </c>
      <c r="BW1085" s="1">
        <v>4.9729999999999999</v>
      </c>
      <c r="BY1085" s="1">
        <v>44608</v>
      </c>
      <c r="BZ1085" s="1">
        <v>2.9</v>
      </c>
      <c r="CA1085" s="1">
        <v>44616</v>
      </c>
      <c r="CB1085" s="1">
        <v>4.83</v>
      </c>
      <c r="CC1085" s="1">
        <v>44685</v>
      </c>
      <c r="CD1085" s="1">
        <v>7.27</v>
      </c>
      <c r="CE1085" s="1">
        <v>44685</v>
      </c>
      <c r="CF1085" s="1">
        <v>7.665</v>
      </c>
      <c r="CG1085" s="1">
        <v>44685</v>
      </c>
      <c r="CH1085" s="1">
        <v>7.9424999999999999</v>
      </c>
      <c r="CI1085" s="1">
        <v>44685</v>
      </c>
      <c r="CJ1085" s="1">
        <v>8.3550000000000004</v>
      </c>
      <c r="CK1085" s="1">
        <v>44685</v>
      </c>
      <c r="CL1085" s="1">
        <v>8.49</v>
      </c>
      <c r="CM1085" s="1">
        <v>44685</v>
      </c>
      <c r="CN1085" s="1">
        <v>8.51</v>
      </c>
      <c r="CO1085" s="1">
        <v>44677</v>
      </c>
      <c r="CP1085" s="1">
        <v>8.0350000000000001</v>
      </c>
      <c r="CQ1085" s="1">
        <v>44677</v>
      </c>
      <c r="CR1085" s="1">
        <v>7.7549999999999999</v>
      </c>
      <c r="CS1085" s="1">
        <v>44677</v>
      </c>
      <c r="CT1085" s="1">
        <v>7.44</v>
      </c>
    </row>
    <row r="1086" spans="31:98" x14ac:dyDescent="0.2">
      <c r="AE1086" s="1">
        <v>44676</v>
      </c>
      <c r="AF1086" s="1">
        <v>4.5</v>
      </c>
      <c r="AG1086" s="1">
        <v>44624</v>
      </c>
      <c r="AH1086" s="1">
        <v>3.78</v>
      </c>
      <c r="AI1086" s="1">
        <v>44684</v>
      </c>
      <c r="AJ1086" s="1">
        <v>7.0529999999999999</v>
      </c>
      <c r="AK1086" s="1">
        <v>44684</v>
      </c>
      <c r="AL1086" s="1">
        <v>7.44</v>
      </c>
      <c r="AM1086" s="1">
        <v>44684</v>
      </c>
      <c r="AN1086" s="1">
        <v>7.64</v>
      </c>
      <c r="AO1086" s="1">
        <v>44684</v>
      </c>
      <c r="AP1086" s="1">
        <v>7.665</v>
      </c>
      <c r="AQ1086" s="1">
        <v>44684</v>
      </c>
      <c r="AR1086" s="1">
        <v>7.64</v>
      </c>
      <c r="AS1086" s="1">
        <v>44684</v>
      </c>
      <c r="AT1086" s="1">
        <v>7.25</v>
      </c>
      <c r="AU1086" s="1">
        <v>44684</v>
      </c>
      <c r="AV1086" s="1">
        <v>6.85</v>
      </c>
      <c r="AW1086" s="1">
        <v>44684</v>
      </c>
      <c r="AX1086" s="1">
        <v>6.5949999999999998</v>
      </c>
      <c r="AY1086" s="1">
        <v>44684</v>
      </c>
      <c r="AZ1086" s="1">
        <v>6.5</v>
      </c>
      <c r="BB1086" s="1">
        <v>44603</v>
      </c>
      <c r="BC1086" s="1">
        <v>4.5</v>
      </c>
      <c r="BD1086" s="1">
        <v>44623</v>
      </c>
      <c r="BE1086" s="1">
        <v>4.75</v>
      </c>
      <c r="BF1086" s="1">
        <v>44684</v>
      </c>
      <c r="BG1086" s="1">
        <v>5.78</v>
      </c>
      <c r="BH1086" s="1">
        <v>44684</v>
      </c>
      <c r="BI1086" s="1">
        <v>6.01</v>
      </c>
      <c r="BJ1086" s="1">
        <v>44684</v>
      </c>
      <c r="BK1086" s="1">
        <v>6.0650000000000004</v>
      </c>
      <c r="BL1086" s="1">
        <v>44684</v>
      </c>
      <c r="BM1086" s="1">
        <v>6.0750000000000002</v>
      </c>
      <c r="BN1086" s="1">
        <v>44683</v>
      </c>
      <c r="BO1086" s="1">
        <v>5.9930000000000003</v>
      </c>
      <c r="BP1086" s="1">
        <v>44684</v>
      </c>
      <c r="BQ1086" s="1">
        <v>5.8550000000000004</v>
      </c>
      <c r="BR1086" s="1">
        <v>44684</v>
      </c>
      <c r="BS1086" s="1">
        <v>5.5750000000000002</v>
      </c>
      <c r="BT1086" s="1">
        <v>44684</v>
      </c>
      <c r="BU1086" s="1">
        <v>5.23</v>
      </c>
      <c r="BV1086" s="1">
        <v>44684</v>
      </c>
      <c r="BW1086" s="1">
        <v>4.9400000000000004</v>
      </c>
      <c r="BY1086" s="1">
        <v>44607</v>
      </c>
      <c r="BZ1086" s="1">
        <v>2.9</v>
      </c>
      <c r="CA1086" s="1">
        <v>44615</v>
      </c>
      <c r="CB1086" s="1">
        <v>4.72</v>
      </c>
      <c r="CC1086" s="1">
        <v>44684</v>
      </c>
      <c r="CD1086" s="1">
        <v>7.2527999999999997</v>
      </c>
      <c r="CE1086" s="1">
        <v>44684</v>
      </c>
      <c r="CF1086" s="1">
        <v>7.6467999999999998</v>
      </c>
      <c r="CG1086" s="1">
        <v>44684</v>
      </c>
      <c r="CH1086" s="1">
        <v>7.9349999999999996</v>
      </c>
      <c r="CI1086" s="1">
        <v>44684</v>
      </c>
      <c r="CJ1086" s="1">
        <v>8.3350000000000009</v>
      </c>
      <c r="CK1086" s="1">
        <v>44684</v>
      </c>
      <c r="CL1086" s="1">
        <v>8.4700000000000006</v>
      </c>
      <c r="CM1086" s="1">
        <v>44684</v>
      </c>
      <c r="CN1086" s="1">
        <v>8.49</v>
      </c>
      <c r="CO1086" s="1">
        <v>44676</v>
      </c>
      <c r="CP1086" s="1">
        <v>7.9550000000000001</v>
      </c>
      <c r="CQ1086" s="1">
        <v>44676</v>
      </c>
      <c r="CR1086" s="1">
        <v>7.6749999999999998</v>
      </c>
      <c r="CS1086" s="1">
        <v>44676</v>
      </c>
      <c r="CT1086" s="1">
        <v>7.36</v>
      </c>
    </row>
    <row r="1087" spans="31:98" x14ac:dyDescent="0.2">
      <c r="AE1087" s="1">
        <v>44673</v>
      </c>
      <c r="AF1087" s="1">
        <v>4.5</v>
      </c>
      <c r="AG1087" s="1">
        <v>44623</v>
      </c>
      <c r="AH1087" s="1">
        <v>3.73</v>
      </c>
      <c r="AI1087" s="1">
        <v>44683</v>
      </c>
      <c r="AJ1087" s="1">
        <v>7.0110000000000001</v>
      </c>
      <c r="AK1087" s="1">
        <v>44683</v>
      </c>
      <c r="AL1087" s="1">
        <v>7.3849999999999998</v>
      </c>
      <c r="AM1087" s="1">
        <v>44683</v>
      </c>
      <c r="AN1087" s="1">
        <v>7.64</v>
      </c>
      <c r="AO1087" s="1">
        <v>44683</v>
      </c>
      <c r="AP1087" s="1">
        <v>7.665</v>
      </c>
      <c r="AQ1087" s="1">
        <v>44683</v>
      </c>
      <c r="AR1087" s="1">
        <v>7.64</v>
      </c>
      <c r="AS1087" s="1">
        <v>44683</v>
      </c>
      <c r="AT1087" s="1">
        <v>7.25</v>
      </c>
      <c r="AU1087" s="1">
        <v>44683</v>
      </c>
      <c r="AV1087" s="1">
        <v>6.85</v>
      </c>
      <c r="AW1087" s="1">
        <v>44683</v>
      </c>
      <c r="AX1087" s="1">
        <v>6.5949999999999998</v>
      </c>
      <c r="AY1087" s="1">
        <v>44683</v>
      </c>
      <c r="AZ1087" s="1">
        <v>6.5</v>
      </c>
      <c r="BB1087" s="1">
        <v>44602</v>
      </c>
      <c r="BC1087" s="1">
        <v>4.5</v>
      </c>
      <c r="BD1087" s="1">
        <v>44622</v>
      </c>
      <c r="BE1087" s="1">
        <v>4.7300000000000004</v>
      </c>
      <c r="BF1087" s="1">
        <v>44683</v>
      </c>
      <c r="BG1087" s="1">
        <v>5.78</v>
      </c>
      <c r="BH1087" s="1">
        <v>44683</v>
      </c>
      <c r="BI1087" s="1">
        <v>6.02</v>
      </c>
      <c r="BJ1087" s="1">
        <v>44683</v>
      </c>
      <c r="BK1087" s="1">
        <v>6.07</v>
      </c>
      <c r="BL1087" s="1">
        <v>44683</v>
      </c>
      <c r="BM1087" s="1">
        <v>6.07</v>
      </c>
      <c r="BN1087" s="1">
        <v>44680</v>
      </c>
      <c r="BO1087" s="1">
        <v>5.9930000000000003</v>
      </c>
      <c r="BP1087" s="1">
        <v>44683</v>
      </c>
      <c r="BQ1087" s="1">
        <v>5.8479999999999999</v>
      </c>
      <c r="BR1087" s="1">
        <v>44683</v>
      </c>
      <c r="BS1087" s="1">
        <v>5.5880000000000001</v>
      </c>
      <c r="BT1087" s="1">
        <v>44683</v>
      </c>
      <c r="BU1087" s="1">
        <v>5.25</v>
      </c>
      <c r="BV1087" s="1">
        <v>44683</v>
      </c>
      <c r="BW1087" s="1">
        <v>4.9580000000000002</v>
      </c>
      <c r="BY1087" s="1">
        <v>44606</v>
      </c>
      <c r="BZ1087" s="1">
        <v>2.9</v>
      </c>
      <c r="CA1087" s="1">
        <v>44614</v>
      </c>
      <c r="CB1087" s="1">
        <v>4.63</v>
      </c>
      <c r="CC1087" s="1">
        <v>44683</v>
      </c>
      <c r="CD1087" s="1">
        <v>7.15</v>
      </c>
      <c r="CE1087" s="1">
        <v>44683</v>
      </c>
      <c r="CF1087" s="1">
        <v>7.5250000000000004</v>
      </c>
      <c r="CG1087" s="1">
        <v>44683</v>
      </c>
      <c r="CH1087" s="1">
        <v>7.8650000000000002</v>
      </c>
      <c r="CI1087" s="1">
        <v>44683</v>
      </c>
      <c r="CJ1087" s="1">
        <v>8.1950000000000003</v>
      </c>
      <c r="CK1087" s="1">
        <v>44683</v>
      </c>
      <c r="CL1087" s="1">
        <v>8.3000000000000007</v>
      </c>
      <c r="CM1087" s="1">
        <v>44683</v>
      </c>
      <c r="CN1087" s="1">
        <v>8.32</v>
      </c>
      <c r="CO1087" s="1">
        <v>44673</v>
      </c>
      <c r="CP1087" s="1">
        <v>7.9749999999999996</v>
      </c>
      <c r="CQ1087" s="1">
        <v>44673</v>
      </c>
      <c r="CR1087" s="1">
        <v>7.6849999999999996</v>
      </c>
      <c r="CS1087" s="1">
        <v>44673</v>
      </c>
      <c r="CT1087" s="1">
        <v>7.37</v>
      </c>
    </row>
    <row r="1088" spans="31:98" x14ac:dyDescent="0.2">
      <c r="AE1088" s="1">
        <v>44672</v>
      </c>
      <c r="AF1088" s="1">
        <v>4.5</v>
      </c>
      <c r="AG1088" s="1">
        <v>44622</v>
      </c>
      <c r="AH1088" s="1">
        <v>3.69</v>
      </c>
      <c r="AI1088" s="1">
        <v>44680</v>
      </c>
      <c r="AJ1088" s="1">
        <v>7.0374999999999996</v>
      </c>
      <c r="AK1088" s="1">
        <v>44680</v>
      </c>
      <c r="AL1088" s="1">
        <v>7.3849999999999998</v>
      </c>
      <c r="AM1088" s="1">
        <v>44680</v>
      </c>
      <c r="AN1088" s="1">
        <v>7.6124999999999998</v>
      </c>
      <c r="AO1088" s="1">
        <v>44680</v>
      </c>
      <c r="AP1088" s="1">
        <v>7.61</v>
      </c>
      <c r="AQ1088" s="1">
        <v>44680</v>
      </c>
      <c r="AR1088" s="1">
        <v>7.6050000000000004</v>
      </c>
      <c r="AS1088" s="1">
        <v>44680</v>
      </c>
      <c r="AT1088" s="1">
        <v>7.25</v>
      </c>
      <c r="AU1088" s="1">
        <v>44680</v>
      </c>
      <c r="AV1088" s="1">
        <v>6.85</v>
      </c>
      <c r="AW1088" s="1">
        <v>44680</v>
      </c>
      <c r="AX1088" s="1">
        <v>6.5949999999999998</v>
      </c>
      <c r="AY1088" s="1">
        <v>44680</v>
      </c>
      <c r="AZ1088" s="1">
        <v>6.5</v>
      </c>
      <c r="BB1088" s="1">
        <v>44601</v>
      </c>
      <c r="BC1088" s="1">
        <v>4.5</v>
      </c>
      <c r="BD1088" s="1">
        <v>44621</v>
      </c>
      <c r="BE1088" s="1">
        <v>4.7300000000000004</v>
      </c>
      <c r="BF1088" s="1">
        <v>44680</v>
      </c>
      <c r="BG1088" s="1">
        <v>5.7850000000000001</v>
      </c>
      <c r="BH1088" s="1">
        <v>44680</v>
      </c>
      <c r="BI1088" s="1">
        <v>6.02</v>
      </c>
      <c r="BJ1088" s="1">
        <v>44680</v>
      </c>
      <c r="BK1088" s="1">
        <v>6.07</v>
      </c>
      <c r="BL1088" s="1">
        <v>44680</v>
      </c>
      <c r="BM1088" s="1">
        <v>6.07</v>
      </c>
      <c r="BN1088" s="1">
        <v>44679</v>
      </c>
      <c r="BO1088" s="1">
        <v>5.9349999999999996</v>
      </c>
      <c r="BP1088" s="1">
        <v>44680</v>
      </c>
      <c r="BQ1088" s="1">
        <v>5.8479999999999999</v>
      </c>
      <c r="BR1088" s="1">
        <v>44680</v>
      </c>
      <c r="BS1088" s="1">
        <v>5.5880000000000001</v>
      </c>
      <c r="BT1088" s="1">
        <v>44680</v>
      </c>
      <c r="BU1088" s="1">
        <v>5.25</v>
      </c>
      <c r="BV1088" s="1">
        <v>44680</v>
      </c>
      <c r="BW1088" s="1">
        <v>4.9580000000000002</v>
      </c>
      <c r="BY1088" s="1">
        <v>44603</v>
      </c>
      <c r="BZ1088" s="1">
        <v>2.9</v>
      </c>
      <c r="CA1088" s="1">
        <v>44613</v>
      </c>
      <c r="CB1088" s="1">
        <v>4.5999999999999996</v>
      </c>
      <c r="CC1088" s="1">
        <v>44680</v>
      </c>
      <c r="CD1088" s="1">
        <v>7.15</v>
      </c>
      <c r="CE1088" s="1">
        <v>44680</v>
      </c>
      <c r="CF1088" s="1">
        <v>7.5250000000000004</v>
      </c>
      <c r="CG1088" s="1">
        <v>44680</v>
      </c>
      <c r="CH1088" s="1">
        <v>7.8650000000000002</v>
      </c>
      <c r="CI1088" s="1">
        <v>44680</v>
      </c>
      <c r="CJ1088" s="1">
        <v>8.1950000000000003</v>
      </c>
      <c r="CK1088" s="1">
        <v>44680</v>
      </c>
      <c r="CL1088" s="1">
        <v>8.3000000000000007</v>
      </c>
      <c r="CM1088" s="1">
        <v>44680</v>
      </c>
      <c r="CN1088" s="1">
        <v>8.2799999999999994</v>
      </c>
      <c r="CO1088" s="1">
        <v>44672</v>
      </c>
      <c r="CP1088" s="1">
        <v>7.9649999999999999</v>
      </c>
      <c r="CQ1088" s="1">
        <v>44672</v>
      </c>
      <c r="CR1088" s="1">
        <v>7.6749999999999998</v>
      </c>
      <c r="CS1088" s="1">
        <v>44672</v>
      </c>
      <c r="CT1088" s="1">
        <v>7.2149999999999999</v>
      </c>
    </row>
    <row r="1089" spans="31:98" x14ac:dyDescent="0.2">
      <c r="AE1089" s="1">
        <v>44671</v>
      </c>
      <c r="AF1089" s="1">
        <v>4.5</v>
      </c>
      <c r="AG1089" s="1">
        <v>44621</v>
      </c>
      <c r="AH1089" s="1">
        <v>3.67</v>
      </c>
      <c r="AI1089" s="1">
        <v>44679</v>
      </c>
      <c r="AJ1089" s="1">
        <v>6.8985000000000003</v>
      </c>
      <c r="AK1089" s="1">
        <v>44679</v>
      </c>
      <c r="AL1089" s="1">
        <v>7.2918000000000003</v>
      </c>
      <c r="AM1089" s="1">
        <v>44679</v>
      </c>
      <c r="AN1089" s="1">
        <v>7.4663000000000004</v>
      </c>
      <c r="AO1089" s="1">
        <v>44679</v>
      </c>
      <c r="AP1089" s="1">
        <v>7.4813000000000001</v>
      </c>
      <c r="AQ1089" s="1">
        <v>44679</v>
      </c>
      <c r="AR1089" s="1">
        <v>7.46</v>
      </c>
      <c r="AS1089" s="1">
        <v>44679</v>
      </c>
      <c r="AT1089" s="1">
        <v>7.1275000000000004</v>
      </c>
      <c r="AU1089" s="1">
        <v>44679</v>
      </c>
      <c r="AV1089" s="1">
        <v>6.7525000000000004</v>
      </c>
      <c r="AW1089" s="1">
        <v>44679</v>
      </c>
      <c r="AX1089" s="1">
        <v>6.5125000000000002</v>
      </c>
      <c r="AY1089" s="1">
        <v>44679</v>
      </c>
      <c r="AZ1089" s="1">
        <v>6.4275000000000002</v>
      </c>
      <c r="BB1089" s="1">
        <v>44600</v>
      </c>
      <c r="BC1089" s="1">
        <v>4.5</v>
      </c>
      <c r="BD1089" s="1">
        <v>44620</v>
      </c>
      <c r="BE1089" s="1">
        <v>4.7300000000000004</v>
      </c>
      <c r="BF1089" s="1">
        <v>44679</v>
      </c>
      <c r="BG1089" s="1">
        <v>5.7750000000000004</v>
      </c>
      <c r="BH1089" s="1">
        <v>44679</v>
      </c>
      <c r="BI1089" s="1">
        <v>5.9950000000000001</v>
      </c>
      <c r="BJ1089" s="1">
        <v>44679</v>
      </c>
      <c r="BK1089" s="1">
        <v>6.0350000000000001</v>
      </c>
      <c r="BL1089" s="1">
        <v>44679</v>
      </c>
      <c r="BM1089" s="1">
        <v>6.02</v>
      </c>
      <c r="BN1089" s="1">
        <v>44678</v>
      </c>
      <c r="BO1089" s="1">
        <v>6</v>
      </c>
      <c r="BP1089" s="1">
        <v>44679</v>
      </c>
      <c r="BQ1089" s="1">
        <v>5.7949999999999999</v>
      </c>
      <c r="BR1089" s="1">
        <v>44679</v>
      </c>
      <c r="BS1089" s="1">
        <v>5.5380000000000003</v>
      </c>
      <c r="BT1089" s="1">
        <v>44679</v>
      </c>
      <c r="BU1089" s="1">
        <v>5.1950000000000003</v>
      </c>
      <c r="BV1089" s="1">
        <v>44679</v>
      </c>
      <c r="BW1089" s="1">
        <v>4.9029999999999996</v>
      </c>
      <c r="BY1089" s="1">
        <v>44602</v>
      </c>
      <c r="BZ1089" s="1">
        <v>2.9</v>
      </c>
      <c r="CA1089" s="1">
        <v>44610</v>
      </c>
      <c r="CB1089" s="1">
        <v>4.5999999999999996</v>
      </c>
      <c r="CC1089" s="1">
        <v>44679</v>
      </c>
      <c r="CD1089" s="1">
        <v>7.0949999999999998</v>
      </c>
      <c r="CE1089" s="1">
        <v>44679</v>
      </c>
      <c r="CF1089" s="1">
        <v>7.5049999999999999</v>
      </c>
      <c r="CG1089" s="1">
        <v>44679</v>
      </c>
      <c r="CH1089" s="1">
        <v>7.835</v>
      </c>
      <c r="CI1089" s="1">
        <v>44679</v>
      </c>
      <c r="CJ1089" s="1">
        <v>8.125</v>
      </c>
      <c r="CK1089" s="1">
        <v>44679</v>
      </c>
      <c r="CL1089" s="1">
        <v>8.16</v>
      </c>
      <c r="CM1089" s="1">
        <v>44679</v>
      </c>
      <c r="CN1089" s="1">
        <v>8.17</v>
      </c>
      <c r="CO1089" s="1">
        <v>44671</v>
      </c>
      <c r="CP1089" s="1">
        <v>7.9249999999999998</v>
      </c>
      <c r="CQ1089" s="1">
        <v>44671</v>
      </c>
      <c r="CR1089" s="1">
        <v>7.6349999999999998</v>
      </c>
      <c r="CS1089" s="1">
        <v>44671</v>
      </c>
      <c r="CT1089" s="1">
        <v>7.1749999999999998</v>
      </c>
    </row>
    <row r="1090" spans="31:98" x14ac:dyDescent="0.2">
      <c r="AE1090" s="1">
        <v>44670</v>
      </c>
      <c r="AF1090" s="1">
        <v>4.5</v>
      </c>
      <c r="AG1090" s="1">
        <v>44620</v>
      </c>
      <c r="AH1090" s="1">
        <v>3.65</v>
      </c>
      <c r="AI1090" s="1">
        <v>44678</v>
      </c>
      <c r="AJ1090" s="1">
        <v>6.8194999999999997</v>
      </c>
      <c r="AK1090" s="1">
        <v>44678</v>
      </c>
      <c r="AL1090" s="1">
        <v>7.1349999999999998</v>
      </c>
      <c r="AM1090" s="1">
        <v>44678</v>
      </c>
      <c r="AN1090" s="1">
        <v>7.32</v>
      </c>
      <c r="AO1090" s="1">
        <v>44678</v>
      </c>
      <c r="AP1090" s="1">
        <v>7.3049999999999997</v>
      </c>
      <c r="AQ1090" s="1">
        <v>44678</v>
      </c>
      <c r="AR1090" s="1">
        <v>7.2549999999999999</v>
      </c>
      <c r="AS1090" s="1">
        <v>44678</v>
      </c>
      <c r="AT1090" s="1">
        <v>6.9550000000000001</v>
      </c>
      <c r="AU1090" s="1">
        <v>44678</v>
      </c>
      <c r="AV1090" s="1">
        <v>6.59</v>
      </c>
      <c r="AW1090" s="1">
        <v>44678</v>
      </c>
      <c r="AX1090" s="1">
        <v>6.36</v>
      </c>
      <c r="AY1090" s="1">
        <v>44678</v>
      </c>
      <c r="AZ1090" s="1">
        <v>6.2850000000000001</v>
      </c>
      <c r="BB1090" s="1">
        <v>44599</v>
      </c>
      <c r="BC1090" s="1">
        <v>4.5</v>
      </c>
      <c r="BD1090" s="1">
        <v>44617</v>
      </c>
      <c r="BE1090" s="1">
        <v>4.72</v>
      </c>
      <c r="BF1090" s="1">
        <v>44678</v>
      </c>
      <c r="BG1090" s="1">
        <v>5.7949999999999999</v>
      </c>
      <c r="BH1090" s="1">
        <v>44678</v>
      </c>
      <c r="BI1090" s="1">
        <v>6.0380000000000003</v>
      </c>
      <c r="BJ1090" s="1">
        <v>44678</v>
      </c>
      <c r="BK1090" s="1">
        <v>6.09</v>
      </c>
      <c r="BL1090" s="1">
        <v>44678</v>
      </c>
      <c r="BM1090" s="1">
        <v>6.07</v>
      </c>
      <c r="BN1090" s="1">
        <v>44677</v>
      </c>
      <c r="BO1090" s="1">
        <v>6.01</v>
      </c>
      <c r="BP1090" s="1">
        <v>44678</v>
      </c>
      <c r="BQ1090" s="1">
        <v>5.8449999999999998</v>
      </c>
      <c r="BR1090" s="1">
        <v>44678</v>
      </c>
      <c r="BS1090" s="1">
        <v>5.5780000000000003</v>
      </c>
      <c r="BT1090" s="1">
        <v>44678</v>
      </c>
      <c r="BU1090" s="1">
        <v>5.2549999999999999</v>
      </c>
      <c r="BV1090" s="1">
        <v>44678</v>
      </c>
      <c r="BW1090" s="1">
        <v>5.0250000000000004</v>
      </c>
      <c r="BY1090" s="1">
        <v>44601</v>
      </c>
      <c r="BZ1090" s="1">
        <v>2.9</v>
      </c>
      <c r="CA1090" s="1">
        <v>44609</v>
      </c>
      <c r="CB1090" s="1">
        <v>4.59</v>
      </c>
      <c r="CC1090" s="1">
        <v>44678</v>
      </c>
      <c r="CD1090" s="1">
        <v>7.18</v>
      </c>
      <c r="CE1090" s="1">
        <v>44678</v>
      </c>
      <c r="CF1090" s="1">
        <v>7.5049999999999999</v>
      </c>
      <c r="CG1090" s="1">
        <v>44678</v>
      </c>
      <c r="CH1090" s="1">
        <v>7.95</v>
      </c>
      <c r="CI1090" s="1">
        <v>44678</v>
      </c>
      <c r="CJ1090" s="1">
        <v>8.1950000000000003</v>
      </c>
      <c r="CK1090" s="1">
        <v>44678</v>
      </c>
      <c r="CL1090" s="1">
        <v>8.32</v>
      </c>
      <c r="CM1090" s="1">
        <v>44678</v>
      </c>
      <c r="CN1090" s="1">
        <v>8.35</v>
      </c>
      <c r="CO1090" s="1">
        <v>44670</v>
      </c>
      <c r="CP1090" s="1">
        <v>7.8274999999999997</v>
      </c>
      <c r="CQ1090" s="1">
        <v>44670</v>
      </c>
      <c r="CR1090" s="1">
        <v>7.5475000000000003</v>
      </c>
      <c r="CS1090" s="1">
        <v>44670</v>
      </c>
      <c r="CT1090" s="1">
        <v>7.0875000000000004</v>
      </c>
    </row>
    <row r="1091" spans="31:98" x14ac:dyDescent="0.2">
      <c r="AE1091" s="1">
        <v>44669</v>
      </c>
      <c r="AF1091" s="1">
        <v>4.5</v>
      </c>
      <c r="AG1091" s="1">
        <v>44617</v>
      </c>
      <c r="AH1091" s="1">
        <v>3.59</v>
      </c>
      <c r="AI1091" s="1">
        <v>44677</v>
      </c>
      <c r="AJ1091" s="1">
        <v>6.7939999999999996</v>
      </c>
      <c r="AK1091" s="1">
        <v>44677</v>
      </c>
      <c r="AL1091" s="1">
        <v>7.0949999999999998</v>
      </c>
      <c r="AM1091" s="1">
        <v>44677</v>
      </c>
      <c r="AN1091" s="1">
        <v>7.2350000000000003</v>
      </c>
      <c r="AO1091" s="1">
        <v>44677</v>
      </c>
      <c r="AP1091" s="1">
        <v>7.2350000000000003</v>
      </c>
      <c r="AQ1091" s="1">
        <v>44677</v>
      </c>
      <c r="AR1091" s="1">
        <v>7.2050000000000001</v>
      </c>
      <c r="AS1091" s="1">
        <v>44677</v>
      </c>
      <c r="AT1091" s="1">
        <v>6.96</v>
      </c>
      <c r="AU1091" s="1">
        <v>44677</v>
      </c>
      <c r="AV1091" s="1">
        <v>6.5</v>
      </c>
      <c r="AW1091" s="1">
        <v>44677</v>
      </c>
      <c r="AX1091" s="1">
        <v>6.32</v>
      </c>
      <c r="AY1091" s="1">
        <v>44677</v>
      </c>
      <c r="AZ1091" s="1">
        <v>6.2350000000000003</v>
      </c>
      <c r="BB1091" s="1">
        <v>44596</v>
      </c>
      <c r="BC1091" s="1">
        <v>4.5</v>
      </c>
      <c r="BD1091" s="1">
        <v>44616</v>
      </c>
      <c r="BE1091" s="1">
        <v>4.72</v>
      </c>
      <c r="BF1091" s="1">
        <v>44677</v>
      </c>
      <c r="BG1091" s="1">
        <v>5.76</v>
      </c>
      <c r="BH1091" s="1">
        <v>44677</v>
      </c>
      <c r="BI1091" s="1">
        <v>5.9850000000000003</v>
      </c>
      <c r="BJ1091" s="1">
        <v>44677</v>
      </c>
      <c r="BK1091" s="1">
        <v>6.1050000000000004</v>
      </c>
      <c r="BL1091" s="1">
        <v>44677</v>
      </c>
      <c r="BM1091" s="1">
        <v>6.085</v>
      </c>
      <c r="BN1091" s="1">
        <v>44676</v>
      </c>
      <c r="BO1091" s="1">
        <v>6.01</v>
      </c>
      <c r="BP1091" s="1">
        <v>44677</v>
      </c>
      <c r="BQ1091" s="1">
        <v>5.86</v>
      </c>
      <c r="BR1091" s="1">
        <v>44677</v>
      </c>
      <c r="BS1091" s="1">
        <v>5.58</v>
      </c>
      <c r="BT1091" s="1">
        <v>44677</v>
      </c>
      <c r="BU1091" s="1">
        <v>5.2830000000000004</v>
      </c>
      <c r="BV1091" s="1">
        <v>44677</v>
      </c>
      <c r="BW1091" s="1">
        <v>5.0529999999999999</v>
      </c>
      <c r="BY1091" s="1">
        <v>44600</v>
      </c>
      <c r="BZ1091" s="1">
        <v>2.9</v>
      </c>
      <c r="CA1091" s="1">
        <v>44608</v>
      </c>
      <c r="CB1091" s="1">
        <v>4.58</v>
      </c>
      <c r="CC1091" s="1">
        <v>44677</v>
      </c>
      <c r="CD1091" s="1">
        <v>7.15</v>
      </c>
      <c r="CE1091" s="1">
        <v>44677</v>
      </c>
      <c r="CF1091" s="1">
        <v>7.4649999999999999</v>
      </c>
      <c r="CG1091" s="1">
        <v>44677</v>
      </c>
      <c r="CH1091" s="1">
        <v>7.8224999999999998</v>
      </c>
      <c r="CI1091" s="1">
        <v>44677</v>
      </c>
      <c r="CJ1091" s="1">
        <v>8.1750000000000007</v>
      </c>
      <c r="CK1091" s="1">
        <v>44677</v>
      </c>
      <c r="CL1091" s="1">
        <v>8.3000000000000007</v>
      </c>
      <c r="CM1091" s="1">
        <v>44677</v>
      </c>
      <c r="CN1091" s="1">
        <v>8.33</v>
      </c>
      <c r="CO1091" s="1">
        <v>44669</v>
      </c>
      <c r="CP1091" s="1">
        <v>7.64</v>
      </c>
      <c r="CQ1091" s="1">
        <v>44669</v>
      </c>
      <c r="CR1091" s="1">
        <v>7.24</v>
      </c>
      <c r="CS1091" s="1">
        <v>44669</v>
      </c>
      <c r="CT1091" s="1">
        <v>6.835</v>
      </c>
    </row>
    <row r="1092" spans="31:98" x14ac:dyDescent="0.2">
      <c r="AE1092" s="1">
        <v>44666</v>
      </c>
      <c r="AF1092" s="1">
        <v>4.5</v>
      </c>
      <c r="AG1092" s="1">
        <v>44616</v>
      </c>
      <c r="AH1092" s="1">
        <v>3.55</v>
      </c>
      <c r="AI1092" s="1">
        <v>44676</v>
      </c>
      <c r="AJ1092" s="1">
        <v>6.7374999999999998</v>
      </c>
      <c r="AK1092" s="1">
        <v>44676</v>
      </c>
      <c r="AL1092" s="1">
        <v>7.0949999999999998</v>
      </c>
      <c r="AM1092" s="1">
        <v>44676</v>
      </c>
      <c r="AN1092" s="1">
        <v>7.24</v>
      </c>
      <c r="AO1092" s="1">
        <v>44676</v>
      </c>
      <c r="AP1092" s="1">
        <v>7.2249999999999996</v>
      </c>
      <c r="AQ1092" s="1">
        <v>44676</v>
      </c>
      <c r="AR1092" s="1">
        <v>7.2149999999999999</v>
      </c>
      <c r="AS1092" s="1">
        <v>44676</v>
      </c>
      <c r="AT1092" s="1">
        <v>6.9050000000000002</v>
      </c>
      <c r="AU1092" s="1">
        <v>44676</v>
      </c>
      <c r="AV1092" s="1">
        <v>6.62</v>
      </c>
      <c r="AW1092" s="1">
        <v>44676</v>
      </c>
      <c r="AX1092" s="1">
        <v>6.43</v>
      </c>
      <c r="AY1092" s="1">
        <v>44676</v>
      </c>
      <c r="AZ1092" s="1">
        <v>6.33</v>
      </c>
      <c r="BB1092" s="1">
        <v>44595</v>
      </c>
      <c r="BC1092" s="1">
        <v>3.75</v>
      </c>
      <c r="BD1092" s="1">
        <v>44615</v>
      </c>
      <c r="BE1092" s="1">
        <v>4.7300000000000004</v>
      </c>
      <c r="BF1092" s="1">
        <v>44676</v>
      </c>
      <c r="BG1092" s="1">
        <v>5.76</v>
      </c>
      <c r="BH1092" s="1">
        <v>44676</v>
      </c>
      <c r="BI1092" s="1">
        <v>5.9850000000000003</v>
      </c>
      <c r="BJ1092" s="1">
        <v>44676</v>
      </c>
      <c r="BK1092" s="1">
        <v>6.1</v>
      </c>
      <c r="BL1092" s="1">
        <v>44676</v>
      </c>
      <c r="BM1092" s="1">
        <v>6.0880000000000001</v>
      </c>
      <c r="BN1092" s="1">
        <v>44673</v>
      </c>
      <c r="BO1092" s="1">
        <v>6.1529999999999996</v>
      </c>
      <c r="BP1092" s="1">
        <v>44676</v>
      </c>
      <c r="BQ1092" s="1">
        <v>5.923</v>
      </c>
      <c r="BR1092" s="1">
        <v>44676</v>
      </c>
      <c r="BS1092" s="1">
        <v>5.6680000000000001</v>
      </c>
      <c r="BT1092" s="1">
        <v>44676</v>
      </c>
      <c r="BU1092" s="1">
        <v>5.38</v>
      </c>
      <c r="BV1092" s="1">
        <v>44676</v>
      </c>
      <c r="BW1092" s="1">
        <v>5.1280000000000001</v>
      </c>
      <c r="BY1092" s="1">
        <v>44599</v>
      </c>
      <c r="BZ1092" s="1">
        <v>2.9</v>
      </c>
      <c r="CA1092" s="1">
        <v>44607</v>
      </c>
      <c r="CB1092" s="1">
        <v>4.5599999999999996</v>
      </c>
      <c r="CC1092" s="1">
        <v>44676</v>
      </c>
      <c r="CD1092" s="1">
        <v>7.1</v>
      </c>
      <c r="CE1092" s="1">
        <v>44676</v>
      </c>
      <c r="CF1092" s="1">
        <v>7.51</v>
      </c>
      <c r="CG1092" s="1">
        <v>44676</v>
      </c>
      <c r="CH1092" s="1">
        <v>7.83</v>
      </c>
      <c r="CI1092" s="1">
        <v>44676</v>
      </c>
      <c r="CJ1092" s="1">
        <v>8.1349999999999998</v>
      </c>
      <c r="CK1092" s="1">
        <v>44676</v>
      </c>
      <c r="CL1092" s="1">
        <v>8.2200000000000006</v>
      </c>
      <c r="CM1092" s="1">
        <v>44676</v>
      </c>
      <c r="CN1092" s="1">
        <v>8.25</v>
      </c>
      <c r="CO1092" s="1">
        <v>44666</v>
      </c>
      <c r="CP1092" s="1">
        <v>7.64</v>
      </c>
      <c r="CQ1092" s="1">
        <v>44666</v>
      </c>
      <c r="CR1092" s="1">
        <v>7.24</v>
      </c>
      <c r="CS1092" s="1">
        <v>44666</v>
      </c>
      <c r="CT1092" s="1">
        <v>6.835</v>
      </c>
    </row>
    <row r="1093" spans="31:98" x14ac:dyDescent="0.2">
      <c r="AE1093" s="1">
        <v>44665</v>
      </c>
      <c r="AF1093" s="1">
        <v>4.5</v>
      </c>
      <c r="AG1093" s="1">
        <v>44615</v>
      </c>
      <c r="AH1093" s="1">
        <v>3.5</v>
      </c>
      <c r="AI1093" s="1">
        <v>44673</v>
      </c>
      <c r="AJ1093" s="1">
        <v>6.8620000000000001</v>
      </c>
      <c r="AK1093" s="1">
        <v>44673</v>
      </c>
      <c r="AL1093" s="1">
        <v>7.17</v>
      </c>
      <c r="AM1093" s="1">
        <v>44673</v>
      </c>
      <c r="AN1093" s="1">
        <v>7.37</v>
      </c>
      <c r="AO1093" s="1">
        <v>44673</v>
      </c>
      <c r="AP1093" s="1">
        <v>7.35</v>
      </c>
      <c r="AQ1093" s="1">
        <v>44673</v>
      </c>
      <c r="AR1093" s="1">
        <v>7.34</v>
      </c>
      <c r="AS1093" s="1">
        <v>44673</v>
      </c>
      <c r="AT1093" s="1">
        <v>7.1150000000000002</v>
      </c>
      <c r="AU1093" s="1">
        <v>44673</v>
      </c>
      <c r="AV1093" s="1">
        <v>6.7249999999999996</v>
      </c>
      <c r="AW1093" s="1">
        <v>44673</v>
      </c>
      <c r="AX1093" s="1">
        <v>6.49</v>
      </c>
      <c r="AY1093" s="1">
        <v>44673</v>
      </c>
      <c r="AZ1093" s="1">
        <v>6.415</v>
      </c>
      <c r="BB1093" s="1">
        <v>44594</v>
      </c>
      <c r="BC1093" s="1">
        <v>3.75</v>
      </c>
      <c r="BD1093" s="1">
        <v>44614</v>
      </c>
      <c r="BE1093" s="1">
        <v>4.7300000000000004</v>
      </c>
      <c r="BF1093" s="1">
        <v>44673</v>
      </c>
      <c r="BG1093" s="1">
        <v>5.79</v>
      </c>
      <c r="BH1093" s="1">
        <v>44673</v>
      </c>
      <c r="BI1093" s="1">
        <v>6.0650000000000004</v>
      </c>
      <c r="BJ1093" s="1">
        <v>44673</v>
      </c>
      <c r="BK1093" s="1">
        <v>6.1429999999999998</v>
      </c>
      <c r="BL1093" s="1">
        <v>44673</v>
      </c>
      <c r="BM1093" s="1">
        <v>6.1449999999999996</v>
      </c>
      <c r="BN1093" s="1">
        <v>44672</v>
      </c>
      <c r="BO1093" s="1">
        <v>6.12</v>
      </c>
      <c r="BP1093" s="1">
        <v>44673</v>
      </c>
      <c r="BQ1093" s="1">
        <v>6.0179999999999998</v>
      </c>
      <c r="BR1093" s="1">
        <v>44673</v>
      </c>
      <c r="BS1093" s="1">
        <v>5.7629999999999999</v>
      </c>
      <c r="BT1093" s="1">
        <v>44673</v>
      </c>
      <c r="BU1093" s="1">
        <v>5.4950000000000001</v>
      </c>
      <c r="BV1093" s="1">
        <v>44673</v>
      </c>
      <c r="BW1093" s="1">
        <v>5.26</v>
      </c>
      <c r="BY1093" s="1">
        <v>44596</v>
      </c>
      <c r="BZ1093" s="1">
        <v>2.9</v>
      </c>
      <c r="CA1093" s="1">
        <v>44606</v>
      </c>
      <c r="CB1093" s="1">
        <v>4.54</v>
      </c>
      <c r="CC1093" s="1">
        <v>44673</v>
      </c>
      <c r="CD1093" s="1">
        <v>7.1</v>
      </c>
      <c r="CE1093" s="1">
        <v>44673</v>
      </c>
      <c r="CF1093" s="1">
        <v>7.52</v>
      </c>
      <c r="CG1093" s="1">
        <v>44673</v>
      </c>
      <c r="CH1093" s="1">
        <v>7.84</v>
      </c>
      <c r="CI1093" s="1">
        <v>44673</v>
      </c>
      <c r="CJ1093" s="1">
        <v>8.1449999999999996</v>
      </c>
      <c r="CK1093" s="1">
        <v>44673</v>
      </c>
      <c r="CL1093" s="1">
        <v>8.23</v>
      </c>
      <c r="CM1093" s="1">
        <v>44673</v>
      </c>
      <c r="CN1093" s="1">
        <v>8.2200000000000006</v>
      </c>
      <c r="CO1093" s="1">
        <v>44665</v>
      </c>
      <c r="CP1093" s="1">
        <v>7.4874999999999998</v>
      </c>
      <c r="CQ1093" s="1">
        <v>44665</v>
      </c>
      <c r="CR1093" s="1">
        <v>7.0724999999999998</v>
      </c>
      <c r="CS1093" s="1">
        <v>44665</v>
      </c>
      <c r="CT1093" s="1">
        <v>6.5575000000000001</v>
      </c>
    </row>
    <row r="1094" spans="31:98" x14ac:dyDescent="0.2">
      <c r="AE1094" s="1">
        <v>44664</v>
      </c>
      <c r="AF1094" s="1">
        <v>4.5</v>
      </c>
      <c r="AG1094" s="1">
        <v>44614</v>
      </c>
      <c r="AH1094" s="1">
        <v>3.48</v>
      </c>
      <c r="AI1094" s="1">
        <v>44672</v>
      </c>
      <c r="AJ1094" s="1">
        <v>6.6680000000000001</v>
      </c>
      <c r="AK1094" s="1">
        <v>44672</v>
      </c>
      <c r="AL1094" s="1">
        <v>6.96</v>
      </c>
      <c r="AM1094" s="1">
        <v>44672</v>
      </c>
      <c r="AN1094" s="1">
        <v>7.1074999999999999</v>
      </c>
      <c r="AO1094" s="1">
        <v>44672</v>
      </c>
      <c r="AP1094" s="1">
        <v>7.1</v>
      </c>
      <c r="AQ1094" s="1">
        <v>44672</v>
      </c>
      <c r="AR1094" s="1">
        <v>7.0750000000000002</v>
      </c>
      <c r="AS1094" s="1">
        <v>44672</v>
      </c>
      <c r="AT1094" s="1">
        <v>6.9649999999999999</v>
      </c>
      <c r="AU1094" s="1">
        <v>44672</v>
      </c>
      <c r="AV1094" s="1">
        <v>6.63</v>
      </c>
      <c r="AW1094" s="1">
        <v>44672</v>
      </c>
      <c r="AX1094" s="1">
        <v>6.3949999999999996</v>
      </c>
      <c r="AY1094" s="1">
        <v>44672</v>
      </c>
      <c r="AZ1094" s="1">
        <v>6.1749999999999998</v>
      </c>
      <c r="BB1094" s="1">
        <v>44593</v>
      </c>
      <c r="BC1094" s="1">
        <v>3.75</v>
      </c>
      <c r="BD1094" s="1">
        <v>44613</v>
      </c>
      <c r="BE1094" s="1">
        <v>4.7300000000000004</v>
      </c>
      <c r="BF1094" s="1">
        <v>44672</v>
      </c>
      <c r="BG1094" s="1">
        <v>5.79</v>
      </c>
      <c r="BH1094" s="1">
        <v>44672</v>
      </c>
      <c r="BI1094" s="1">
        <v>6.0529999999999999</v>
      </c>
      <c r="BJ1094" s="1">
        <v>44672</v>
      </c>
      <c r="BK1094" s="1">
        <v>6.13</v>
      </c>
      <c r="BL1094" s="1">
        <v>44672</v>
      </c>
      <c r="BM1094" s="1">
        <v>6.1230000000000002</v>
      </c>
      <c r="BN1094" s="1">
        <v>44671</v>
      </c>
      <c r="BO1094" s="1">
        <v>6.0350000000000001</v>
      </c>
      <c r="BP1094" s="1">
        <v>44672</v>
      </c>
      <c r="BQ1094" s="1">
        <v>5.99</v>
      </c>
      <c r="BR1094" s="1">
        <v>44672</v>
      </c>
      <c r="BS1094" s="1">
        <v>5.7350000000000003</v>
      </c>
      <c r="BT1094" s="1">
        <v>44672</v>
      </c>
      <c r="BU1094" s="1">
        <v>5.3879999999999999</v>
      </c>
      <c r="BV1094" s="1">
        <v>44672</v>
      </c>
      <c r="BW1094" s="1">
        <v>5.0780000000000003</v>
      </c>
      <c r="BY1094" s="1">
        <v>44595</v>
      </c>
      <c r="BZ1094" s="1">
        <v>2.9</v>
      </c>
      <c r="CA1094" s="1">
        <v>44603</v>
      </c>
      <c r="CB1094" s="1">
        <v>4.5199999999999996</v>
      </c>
      <c r="CC1094" s="1">
        <v>44672</v>
      </c>
      <c r="CD1094" s="1">
        <v>7.1195000000000004</v>
      </c>
      <c r="CE1094" s="1">
        <v>44672</v>
      </c>
      <c r="CF1094" s="1">
        <v>7.51</v>
      </c>
      <c r="CG1094" s="1">
        <v>44672</v>
      </c>
      <c r="CH1094" s="1">
        <v>7.81</v>
      </c>
      <c r="CI1094" s="1">
        <v>44672</v>
      </c>
      <c r="CJ1094" s="1">
        <v>8.1349999999999998</v>
      </c>
      <c r="CK1094" s="1">
        <v>44672</v>
      </c>
      <c r="CL1094" s="1">
        <v>8.2050000000000001</v>
      </c>
      <c r="CM1094" s="1">
        <v>44672</v>
      </c>
      <c r="CN1094" s="1">
        <v>8.2100000000000009</v>
      </c>
      <c r="CO1094" s="1">
        <v>44664</v>
      </c>
      <c r="CP1094" s="1">
        <v>7.55</v>
      </c>
      <c r="CQ1094" s="1">
        <v>44664</v>
      </c>
      <c r="CR1094" s="1">
        <v>7.0750000000000002</v>
      </c>
      <c r="CS1094" s="1">
        <v>44664</v>
      </c>
      <c r="CT1094" s="1">
        <v>6.61</v>
      </c>
    </row>
    <row r="1095" spans="31:98" x14ac:dyDescent="0.2">
      <c r="AE1095" s="1">
        <v>44663</v>
      </c>
      <c r="AF1095" s="1">
        <v>4.5</v>
      </c>
      <c r="AG1095" s="1">
        <v>44613</v>
      </c>
      <c r="AH1095" s="1">
        <v>3.47</v>
      </c>
      <c r="AI1095" s="1">
        <v>44671</v>
      </c>
      <c r="AJ1095" s="1">
        <v>6.5374999999999996</v>
      </c>
      <c r="AK1095" s="1">
        <v>44671</v>
      </c>
      <c r="AL1095" s="1">
        <v>6.7</v>
      </c>
      <c r="AM1095" s="1">
        <v>44671</v>
      </c>
      <c r="AN1095" s="1">
        <v>6.8250000000000002</v>
      </c>
      <c r="AO1095" s="1">
        <v>44671</v>
      </c>
      <c r="AP1095" s="1">
        <v>6.8250000000000002</v>
      </c>
      <c r="AQ1095" s="1">
        <v>44671</v>
      </c>
      <c r="AR1095" s="1">
        <v>6.8049999999999997</v>
      </c>
      <c r="AS1095" s="1">
        <v>44671</v>
      </c>
      <c r="AT1095" s="1">
        <v>6.5049999999999999</v>
      </c>
      <c r="AU1095" s="1">
        <v>44671</v>
      </c>
      <c r="AV1095" s="1">
        <v>6.2549999999999999</v>
      </c>
      <c r="AW1095" s="1">
        <v>44671</v>
      </c>
      <c r="AX1095" s="1">
        <v>5.9850000000000003</v>
      </c>
      <c r="AY1095" s="1">
        <v>44671</v>
      </c>
      <c r="AZ1095" s="1">
        <v>5.72</v>
      </c>
      <c r="BB1095" s="1">
        <v>44592</v>
      </c>
      <c r="BC1095" s="1">
        <v>3.75</v>
      </c>
      <c r="BD1095" s="1">
        <v>44610</v>
      </c>
      <c r="BE1095" s="1">
        <v>4.7300000000000004</v>
      </c>
      <c r="BF1095" s="1">
        <v>44671</v>
      </c>
      <c r="BG1095" s="1">
        <v>5.7750000000000004</v>
      </c>
      <c r="BH1095" s="1">
        <v>44671</v>
      </c>
      <c r="BI1095" s="1">
        <v>5.89</v>
      </c>
      <c r="BJ1095" s="1">
        <v>44671</v>
      </c>
      <c r="BK1095" s="1">
        <v>6.03</v>
      </c>
      <c r="BL1095" s="1">
        <v>44671</v>
      </c>
      <c r="BM1095" s="1">
        <v>6.03</v>
      </c>
      <c r="BN1095" s="1">
        <v>44670</v>
      </c>
      <c r="BO1095" s="1">
        <v>6.0949999999999998</v>
      </c>
      <c r="BP1095" s="1">
        <v>44671</v>
      </c>
      <c r="BQ1095" s="1">
        <v>5.9130000000000003</v>
      </c>
      <c r="BR1095" s="1">
        <v>44671</v>
      </c>
      <c r="BS1095" s="1">
        <v>5.6529999999999996</v>
      </c>
      <c r="BT1095" s="1">
        <v>44671</v>
      </c>
      <c r="BU1095" s="1">
        <v>5.2930000000000001</v>
      </c>
      <c r="BV1095" s="1">
        <v>44671</v>
      </c>
      <c r="BW1095" s="1">
        <v>4.9829999999999997</v>
      </c>
      <c r="BY1095" s="1">
        <v>44594</v>
      </c>
      <c r="BZ1095" s="1">
        <v>2.9</v>
      </c>
      <c r="CA1095" s="1">
        <v>44602</v>
      </c>
      <c r="CB1095" s="1">
        <v>4.51</v>
      </c>
      <c r="CC1095" s="1">
        <v>44671</v>
      </c>
      <c r="CD1095" s="1">
        <v>7.1849999999999996</v>
      </c>
      <c r="CE1095" s="1">
        <v>44671</v>
      </c>
      <c r="CF1095" s="1">
        <v>7.51</v>
      </c>
      <c r="CG1095" s="1">
        <v>44671</v>
      </c>
      <c r="CH1095" s="1">
        <v>7.83</v>
      </c>
      <c r="CI1095" s="1">
        <v>44671</v>
      </c>
      <c r="CJ1095" s="1">
        <v>8.1349999999999998</v>
      </c>
      <c r="CK1095" s="1">
        <v>44671</v>
      </c>
      <c r="CL1095" s="1">
        <v>8.1999999999999993</v>
      </c>
      <c r="CM1095" s="1">
        <v>44671</v>
      </c>
      <c r="CN1095" s="1">
        <v>8.17</v>
      </c>
      <c r="CO1095" s="1">
        <v>44663</v>
      </c>
      <c r="CP1095" s="1">
        <v>7.93</v>
      </c>
      <c r="CQ1095" s="1">
        <v>44663</v>
      </c>
      <c r="CR1095" s="1">
        <v>7.585</v>
      </c>
      <c r="CS1095" s="1">
        <v>44663</v>
      </c>
      <c r="CT1095" s="1">
        <v>7.2249999999999996</v>
      </c>
    </row>
    <row r="1096" spans="31:98" x14ac:dyDescent="0.2">
      <c r="AE1096" s="1">
        <v>44662</v>
      </c>
      <c r="AF1096" s="1">
        <v>4.5</v>
      </c>
      <c r="AG1096" s="1">
        <v>44610</v>
      </c>
      <c r="AH1096" s="1">
        <v>3.44</v>
      </c>
      <c r="AI1096" s="1">
        <v>44670</v>
      </c>
      <c r="AJ1096" s="1">
        <v>6.5674999999999999</v>
      </c>
      <c r="AK1096" s="1">
        <v>44670</v>
      </c>
      <c r="AL1096" s="1">
        <v>6.7350000000000003</v>
      </c>
      <c r="AM1096" s="1">
        <v>44670</v>
      </c>
      <c r="AN1096" s="1">
        <v>6.8449999999999998</v>
      </c>
      <c r="AO1096" s="1">
        <v>44670</v>
      </c>
      <c r="AP1096" s="1">
        <v>6.89</v>
      </c>
      <c r="AQ1096" s="1">
        <v>44670</v>
      </c>
      <c r="AR1096" s="1">
        <v>6.8250000000000002</v>
      </c>
      <c r="AS1096" s="1">
        <v>44670</v>
      </c>
      <c r="AT1096" s="1">
        <v>6.5750000000000002</v>
      </c>
      <c r="AU1096" s="1">
        <v>44670</v>
      </c>
      <c r="AV1096" s="1">
        <v>6.3250000000000002</v>
      </c>
      <c r="AW1096" s="1">
        <v>44670</v>
      </c>
      <c r="AX1096" s="1">
        <v>6.06</v>
      </c>
      <c r="AY1096" s="1">
        <v>44670</v>
      </c>
      <c r="AZ1096" s="1">
        <v>5.8</v>
      </c>
      <c r="BB1096" s="1">
        <v>44589</v>
      </c>
      <c r="BC1096" s="1">
        <v>3.75</v>
      </c>
      <c r="BD1096" s="1">
        <v>44609</v>
      </c>
      <c r="BE1096" s="1">
        <v>4.74</v>
      </c>
      <c r="BF1096" s="1">
        <v>44670</v>
      </c>
      <c r="BG1096" s="1">
        <v>5.7649999999999997</v>
      </c>
      <c r="BH1096" s="1">
        <v>44670</v>
      </c>
      <c r="BI1096" s="1">
        <v>5.843</v>
      </c>
      <c r="BJ1096" s="1">
        <v>44670</v>
      </c>
      <c r="BK1096" s="1">
        <v>6.0330000000000004</v>
      </c>
      <c r="BL1096" s="1">
        <v>44670</v>
      </c>
      <c r="BM1096" s="1">
        <v>6.0629999999999997</v>
      </c>
      <c r="BN1096" s="1">
        <v>44669</v>
      </c>
      <c r="BO1096" s="1">
        <v>5.9829999999999997</v>
      </c>
      <c r="BP1096" s="1">
        <v>44670</v>
      </c>
      <c r="BQ1096" s="1">
        <v>5.98</v>
      </c>
      <c r="BR1096" s="1">
        <v>44670</v>
      </c>
      <c r="BS1096" s="1">
        <v>5.7050000000000001</v>
      </c>
      <c r="BT1096" s="1">
        <v>44670</v>
      </c>
      <c r="BU1096" s="1">
        <v>5.3150000000000004</v>
      </c>
      <c r="BV1096" s="1">
        <v>44670</v>
      </c>
      <c r="BW1096" s="1">
        <v>5.008</v>
      </c>
      <c r="BY1096" s="1">
        <v>44593</v>
      </c>
      <c r="BZ1096" s="1">
        <v>2.9</v>
      </c>
      <c r="CA1096" s="1">
        <v>44601</v>
      </c>
      <c r="CB1096" s="1">
        <v>4.51</v>
      </c>
      <c r="CC1096" s="1">
        <v>44670</v>
      </c>
      <c r="CD1096" s="1">
        <v>7.13</v>
      </c>
      <c r="CE1096" s="1">
        <v>44670</v>
      </c>
      <c r="CF1096" s="1">
        <v>7.45</v>
      </c>
      <c r="CG1096" s="1">
        <v>44670</v>
      </c>
      <c r="CH1096" s="1">
        <v>7.7649999999999997</v>
      </c>
      <c r="CI1096" s="1">
        <v>44670</v>
      </c>
      <c r="CJ1096" s="1">
        <v>8.0399999999999991</v>
      </c>
      <c r="CK1096" s="1">
        <v>44670</v>
      </c>
      <c r="CL1096" s="1">
        <v>8.1928000000000001</v>
      </c>
      <c r="CM1096" s="1">
        <v>44670</v>
      </c>
      <c r="CN1096" s="1">
        <v>8.1227999999999998</v>
      </c>
      <c r="CO1096" s="1">
        <v>44662</v>
      </c>
      <c r="CP1096" s="1">
        <v>8.32</v>
      </c>
      <c r="CQ1096" s="1">
        <v>44662</v>
      </c>
      <c r="CR1096" s="1">
        <v>8.0850000000000009</v>
      </c>
      <c r="CS1096" s="1">
        <v>44662</v>
      </c>
      <c r="CT1096" s="1">
        <v>7.7850000000000001</v>
      </c>
    </row>
    <row r="1097" spans="31:98" x14ac:dyDescent="0.2">
      <c r="AE1097" s="1">
        <v>44659</v>
      </c>
      <c r="AF1097" s="1">
        <v>4.5</v>
      </c>
      <c r="AG1097" s="1">
        <v>44609</v>
      </c>
      <c r="AH1097" s="1">
        <v>3.43</v>
      </c>
      <c r="AI1097" s="1">
        <v>44669</v>
      </c>
      <c r="AJ1097" s="1">
        <v>6.4569999999999999</v>
      </c>
      <c r="AK1097" s="1">
        <v>44669</v>
      </c>
      <c r="AL1097" s="1">
        <v>6.5750000000000002</v>
      </c>
      <c r="AM1097" s="1">
        <v>44669</v>
      </c>
      <c r="AN1097" s="1">
        <v>6.625</v>
      </c>
      <c r="AO1097" s="1">
        <v>44669</v>
      </c>
      <c r="AP1097" s="1">
        <v>6.7</v>
      </c>
      <c r="AQ1097" s="1">
        <v>44669</v>
      </c>
      <c r="AR1097" s="1">
        <v>6.59</v>
      </c>
      <c r="AS1097" s="1">
        <v>44669</v>
      </c>
      <c r="AT1097" s="1">
        <v>6.42</v>
      </c>
      <c r="AU1097" s="1">
        <v>44669</v>
      </c>
      <c r="AV1097" s="1">
        <v>6.19</v>
      </c>
      <c r="AW1097" s="1">
        <v>44669</v>
      </c>
      <c r="AX1097" s="1">
        <v>5.94</v>
      </c>
      <c r="AY1097" s="1">
        <v>44669</v>
      </c>
      <c r="AZ1097" s="1">
        <v>5.6849999999999996</v>
      </c>
      <c r="BB1097" s="1">
        <v>44588</v>
      </c>
      <c r="BC1097" s="1">
        <v>3.75</v>
      </c>
      <c r="BD1097" s="1">
        <v>44608</v>
      </c>
      <c r="BE1097" s="1">
        <v>4.74</v>
      </c>
      <c r="BF1097" s="1">
        <v>44669</v>
      </c>
      <c r="BG1097" s="1">
        <v>5.74</v>
      </c>
      <c r="BH1097" s="1">
        <v>44669</v>
      </c>
      <c r="BI1097" s="1">
        <v>5.7830000000000004</v>
      </c>
      <c r="BJ1097" s="1">
        <v>44669</v>
      </c>
      <c r="BK1097" s="1">
        <v>5.9850000000000003</v>
      </c>
      <c r="BL1097" s="1">
        <v>44669</v>
      </c>
      <c r="BM1097" s="1">
        <v>5.9829999999999997</v>
      </c>
      <c r="BN1097" s="1">
        <v>44666</v>
      </c>
      <c r="BO1097" s="1">
        <v>5.9829999999999997</v>
      </c>
      <c r="BP1097" s="1">
        <v>44669</v>
      </c>
      <c r="BQ1097" s="1">
        <v>5.8330000000000002</v>
      </c>
      <c r="BR1097" s="1">
        <v>44669</v>
      </c>
      <c r="BS1097" s="1">
        <v>5.5049999999999999</v>
      </c>
      <c r="BT1097" s="1">
        <v>44669</v>
      </c>
      <c r="BU1097" s="1">
        <v>5.1050000000000004</v>
      </c>
      <c r="BV1097" s="1">
        <v>44669</v>
      </c>
      <c r="BW1097" s="1">
        <v>4.8280000000000003</v>
      </c>
      <c r="BY1097" s="1">
        <v>44592</v>
      </c>
      <c r="BZ1097" s="1">
        <v>2.9</v>
      </c>
      <c r="CA1097" s="1">
        <v>44600</v>
      </c>
      <c r="CB1097" s="1">
        <v>4.51</v>
      </c>
      <c r="CC1097" s="1">
        <v>44669</v>
      </c>
      <c r="CD1097" s="1">
        <v>7.0949999999999998</v>
      </c>
      <c r="CE1097" s="1">
        <v>44669</v>
      </c>
      <c r="CF1097" s="1">
        <v>7.375</v>
      </c>
      <c r="CG1097" s="1">
        <v>44669</v>
      </c>
      <c r="CH1097" s="1">
        <v>7.53</v>
      </c>
      <c r="CI1097" s="1">
        <v>44669</v>
      </c>
      <c r="CJ1097" s="1">
        <v>7.875</v>
      </c>
      <c r="CK1097" s="1">
        <v>44669</v>
      </c>
      <c r="CL1097" s="1">
        <v>7.915</v>
      </c>
      <c r="CM1097" s="1">
        <v>44669</v>
      </c>
      <c r="CN1097" s="1">
        <v>7.84</v>
      </c>
      <c r="CO1097" s="1">
        <v>44659</v>
      </c>
      <c r="CP1097" s="1">
        <v>8.35</v>
      </c>
      <c r="CQ1097" s="1">
        <v>44659</v>
      </c>
      <c r="CR1097" s="1">
        <v>8.1150000000000002</v>
      </c>
      <c r="CS1097" s="1">
        <v>44659</v>
      </c>
      <c r="CT1097" s="1">
        <v>7.8150000000000004</v>
      </c>
    </row>
    <row r="1098" spans="31:98" x14ac:dyDescent="0.2">
      <c r="AE1098" s="1">
        <v>44658</v>
      </c>
      <c r="AF1098" s="1">
        <v>4.5</v>
      </c>
      <c r="AG1098" s="1">
        <v>44608</v>
      </c>
      <c r="AH1098" s="1">
        <v>3.39</v>
      </c>
      <c r="AI1098" s="1">
        <v>44666</v>
      </c>
      <c r="AJ1098" s="1">
        <v>6.4569999999999999</v>
      </c>
      <c r="AK1098" s="1">
        <v>44666</v>
      </c>
      <c r="AL1098" s="1">
        <v>6.5750000000000002</v>
      </c>
      <c r="AM1098" s="1">
        <v>44666</v>
      </c>
      <c r="AN1098" s="1">
        <v>6.625</v>
      </c>
      <c r="AO1098" s="1">
        <v>44666</v>
      </c>
      <c r="AP1098" s="1">
        <v>6.7</v>
      </c>
      <c r="AQ1098" s="1">
        <v>44666</v>
      </c>
      <c r="AR1098" s="1">
        <v>6.59</v>
      </c>
      <c r="AS1098" s="1">
        <v>44666</v>
      </c>
      <c r="AT1098" s="1">
        <v>6.42</v>
      </c>
      <c r="AU1098" s="1">
        <v>44666</v>
      </c>
      <c r="AV1098" s="1">
        <v>6.19</v>
      </c>
      <c r="AW1098" s="1">
        <v>44666</v>
      </c>
      <c r="AX1098" s="1">
        <v>5.94</v>
      </c>
      <c r="AY1098" s="1">
        <v>44666</v>
      </c>
      <c r="AZ1098" s="1">
        <v>5.6849999999999996</v>
      </c>
      <c r="BB1098" s="1">
        <v>44587</v>
      </c>
      <c r="BC1098" s="1">
        <v>3.75</v>
      </c>
      <c r="BD1098" s="1">
        <v>44607</v>
      </c>
      <c r="BE1098" s="1">
        <v>4.74</v>
      </c>
      <c r="BF1098" s="1">
        <v>44666</v>
      </c>
      <c r="BG1098" s="1">
        <v>5.74</v>
      </c>
      <c r="BH1098" s="1">
        <v>44666</v>
      </c>
      <c r="BI1098" s="1">
        <v>5.79</v>
      </c>
      <c r="BJ1098" s="1">
        <v>44666</v>
      </c>
      <c r="BK1098" s="1">
        <v>5.9850000000000003</v>
      </c>
      <c r="BL1098" s="1">
        <v>44666</v>
      </c>
      <c r="BM1098" s="1">
        <v>5.9829999999999997</v>
      </c>
      <c r="BN1098" s="1">
        <v>44665</v>
      </c>
      <c r="BO1098" s="1">
        <v>5.9829999999999997</v>
      </c>
      <c r="BP1098" s="1">
        <v>44666</v>
      </c>
      <c r="BQ1098" s="1">
        <v>5.8330000000000002</v>
      </c>
      <c r="BR1098" s="1">
        <v>44666</v>
      </c>
      <c r="BS1098" s="1">
        <v>5.5049999999999999</v>
      </c>
      <c r="BT1098" s="1">
        <v>44666</v>
      </c>
      <c r="BU1098" s="1">
        <v>5.1050000000000004</v>
      </c>
      <c r="BV1098" s="1">
        <v>44666</v>
      </c>
      <c r="BW1098" s="1">
        <v>4.8280000000000003</v>
      </c>
      <c r="BY1098" s="1">
        <v>44589</v>
      </c>
      <c r="BZ1098" s="1">
        <v>2.9</v>
      </c>
      <c r="CA1098" s="1">
        <v>44599</v>
      </c>
      <c r="CB1098" s="1">
        <v>4.5199999999999996</v>
      </c>
      <c r="CC1098" s="1">
        <v>44666</v>
      </c>
      <c r="CD1098" s="1">
        <v>7.0949999999999998</v>
      </c>
      <c r="CE1098" s="1">
        <v>44666</v>
      </c>
      <c r="CF1098" s="1">
        <v>7.375</v>
      </c>
      <c r="CG1098" s="1">
        <v>44666</v>
      </c>
      <c r="CH1098" s="1">
        <v>7.53</v>
      </c>
      <c r="CI1098" s="1">
        <v>44666</v>
      </c>
      <c r="CJ1098" s="1">
        <v>7.875</v>
      </c>
      <c r="CK1098" s="1">
        <v>44666</v>
      </c>
      <c r="CL1098" s="1">
        <v>7.915</v>
      </c>
      <c r="CM1098" s="1">
        <v>44666</v>
      </c>
      <c r="CN1098" s="1">
        <v>7.84</v>
      </c>
      <c r="CO1098" s="1">
        <v>44658</v>
      </c>
      <c r="CP1098" s="1">
        <v>8.2200000000000006</v>
      </c>
      <c r="CQ1098" s="1">
        <v>44658</v>
      </c>
      <c r="CR1098" s="1">
        <v>7.9249999999999998</v>
      </c>
      <c r="CS1098" s="1">
        <v>44658</v>
      </c>
      <c r="CT1098" s="1">
        <v>7.5650000000000004</v>
      </c>
    </row>
    <row r="1099" spans="31:98" x14ac:dyDescent="0.2">
      <c r="AE1099" s="1">
        <v>44657</v>
      </c>
      <c r="AF1099" s="1">
        <v>4.5</v>
      </c>
      <c r="AG1099" s="1">
        <v>44607</v>
      </c>
      <c r="AH1099" s="1">
        <v>3.38</v>
      </c>
      <c r="AI1099" s="1">
        <v>44665</v>
      </c>
      <c r="AJ1099" s="1">
        <v>6.4619999999999997</v>
      </c>
      <c r="AK1099" s="1">
        <v>44665</v>
      </c>
      <c r="AL1099" s="1">
        <v>6.556</v>
      </c>
      <c r="AM1099" s="1">
        <v>44665</v>
      </c>
      <c r="AN1099" s="1">
        <v>6.625</v>
      </c>
      <c r="AO1099" s="1">
        <v>44665</v>
      </c>
      <c r="AP1099" s="1">
        <v>6.7</v>
      </c>
      <c r="AQ1099" s="1">
        <v>44665</v>
      </c>
      <c r="AR1099" s="1">
        <v>6.6074999999999999</v>
      </c>
      <c r="AS1099" s="1">
        <v>44665</v>
      </c>
      <c r="AT1099" s="1">
        <v>6.415</v>
      </c>
      <c r="AU1099" s="1">
        <v>44665</v>
      </c>
      <c r="AV1099" s="1">
        <v>6.1849999999999996</v>
      </c>
      <c r="AW1099" s="1">
        <v>44665</v>
      </c>
      <c r="AX1099" s="1">
        <v>5.9349999999999996</v>
      </c>
      <c r="AY1099" s="1">
        <v>44665</v>
      </c>
      <c r="AZ1099" s="1">
        <v>5.68</v>
      </c>
      <c r="BB1099" s="1">
        <v>44586</v>
      </c>
      <c r="BC1099" s="1">
        <v>3.75</v>
      </c>
      <c r="BD1099" s="1">
        <v>44606</v>
      </c>
      <c r="BE1099" s="1">
        <v>4.74</v>
      </c>
      <c r="BF1099" s="1">
        <v>44665</v>
      </c>
      <c r="BG1099" s="1">
        <v>5.75</v>
      </c>
      <c r="BH1099" s="1">
        <v>44665</v>
      </c>
      <c r="BI1099" s="1">
        <v>5.79</v>
      </c>
      <c r="BJ1099" s="1">
        <v>44665</v>
      </c>
      <c r="BK1099" s="1">
        <v>5.98</v>
      </c>
      <c r="BL1099" s="1">
        <v>44665</v>
      </c>
      <c r="BM1099" s="1">
        <v>5.9829999999999997</v>
      </c>
      <c r="BN1099" s="1">
        <v>44664</v>
      </c>
      <c r="BO1099" s="1">
        <v>5.9649999999999999</v>
      </c>
      <c r="BP1099" s="1">
        <v>44665</v>
      </c>
      <c r="BQ1099" s="1">
        <v>5.8330000000000002</v>
      </c>
      <c r="BR1099" s="1">
        <v>44665</v>
      </c>
      <c r="BS1099" s="1">
        <v>5.5049999999999999</v>
      </c>
      <c r="BT1099" s="1">
        <v>44665</v>
      </c>
      <c r="BU1099" s="1">
        <v>5.1050000000000004</v>
      </c>
      <c r="BV1099" s="1">
        <v>44665</v>
      </c>
      <c r="BW1099" s="1">
        <v>4.8280000000000003</v>
      </c>
      <c r="BY1099" s="1">
        <v>44588</v>
      </c>
      <c r="BZ1099" s="1">
        <v>2.9</v>
      </c>
      <c r="CA1099" s="1">
        <v>44596</v>
      </c>
      <c r="CB1099" s="1">
        <v>4.5199999999999996</v>
      </c>
      <c r="CC1099" s="1">
        <v>44665</v>
      </c>
      <c r="CD1099" s="1">
        <v>7.16</v>
      </c>
      <c r="CE1099" s="1">
        <v>44665</v>
      </c>
      <c r="CF1099" s="1">
        <v>7.36</v>
      </c>
      <c r="CG1099" s="1">
        <v>44665</v>
      </c>
      <c r="CH1099" s="1">
        <v>7.55</v>
      </c>
      <c r="CI1099" s="1">
        <v>44665</v>
      </c>
      <c r="CJ1099" s="1">
        <v>7.8650000000000002</v>
      </c>
      <c r="CK1099" s="1">
        <v>44665</v>
      </c>
      <c r="CL1099" s="1">
        <v>7.9524999999999997</v>
      </c>
      <c r="CM1099" s="1">
        <v>44665</v>
      </c>
      <c r="CN1099" s="1">
        <v>7.9077999999999999</v>
      </c>
      <c r="CO1099" s="1">
        <v>44657</v>
      </c>
      <c r="CP1099" s="1">
        <v>7.84</v>
      </c>
      <c r="CQ1099" s="1">
        <v>44657</v>
      </c>
      <c r="CR1099" s="1">
        <v>7.49</v>
      </c>
      <c r="CS1099" s="1">
        <v>44657</v>
      </c>
      <c r="CT1099" s="1">
        <v>7.08</v>
      </c>
    </row>
    <row r="1100" spans="31:98" x14ac:dyDescent="0.2">
      <c r="AE1100" s="1">
        <v>44656</v>
      </c>
      <c r="AF1100" s="1">
        <v>3.5</v>
      </c>
      <c r="AG1100" s="1">
        <v>44606</v>
      </c>
      <c r="AH1100" s="1">
        <v>3.32</v>
      </c>
      <c r="AI1100" s="1">
        <v>44664</v>
      </c>
      <c r="AJ1100" s="1">
        <v>6.29</v>
      </c>
      <c r="AK1100" s="1">
        <v>44664</v>
      </c>
      <c r="AL1100" s="1">
        <v>6.56</v>
      </c>
      <c r="AM1100" s="1">
        <v>44664</v>
      </c>
      <c r="AN1100" s="1">
        <v>6.6349999999999998</v>
      </c>
      <c r="AO1100" s="1">
        <v>44664</v>
      </c>
      <c r="AP1100" s="1">
        <v>6.65</v>
      </c>
      <c r="AQ1100" s="1">
        <v>44664</v>
      </c>
      <c r="AR1100" s="1">
        <v>6.54</v>
      </c>
      <c r="AS1100" s="1">
        <v>44664</v>
      </c>
      <c r="AT1100" s="1">
        <v>6.3449999999999998</v>
      </c>
      <c r="AU1100" s="1">
        <v>44664</v>
      </c>
      <c r="AV1100" s="1">
        <v>6.11</v>
      </c>
      <c r="AW1100" s="1">
        <v>44664</v>
      </c>
      <c r="AX1100" s="1">
        <v>5.86</v>
      </c>
      <c r="AY1100" s="1">
        <v>44664</v>
      </c>
      <c r="AZ1100" s="1">
        <v>5.6050000000000004</v>
      </c>
      <c r="BB1100" s="1">
        <v>44585</v>
      </c>
      <c r="BC1100" s="1">
        <v>3.75</v>
      </c>
      <c r="BD1100" s="1">
        <v>44603</v>
      </c>
      <c r="BE1100" s="1">
        <v>4.74</v>
      </c>
      <c r="BF1100" s="1">
        <v>44664</v>
      </c>
      <c r="BG1100" s="1">
        <v>5.7450000000000001</v>
      </c>
      <c r="BH1100" s="1">
        <v>44664</v>
      </c>
      <c r="BI1100" s="1">
        <v>5.8049999999999997</v>
      </c>
      <c r="BJ1100" s="1">
        <v>44664</v>
      </c>
      <c r="BK1100" s="1">
        <v>5.9930000000000003</v>
      </c>
      <c r="BL1100" s="1">
        <v>44664</v>
      </c>
      <c r="BM1100" s="1">
        <v>5.9829999999999997</v>
      </c>
      <c r="BN1100" s="1">
        <v>44663</v>
      </c>
      <c r="BO1100" s="1">
        <v>6.2380000000000004</v>
      </c>
      <c r="BP1100" s="1">
        <v>44664</v>
      </c>
      <c r="BQ1100" s="1">
        <v>5.7949999999999999</v>
      </c>
      <c r="BR1100" s="1">
        <v>44664</v>
      </c>
      <c r="BS1100" s="1">
        <v>5.4779999999999998</v>
      </c>
      <c r="BT1100" s="1">
        <v>44664</v>
      </c>
      <c r="BU1100" s="1">
        <v>5.09</v>
      </c>
      <c r="BV1100" s="1">
        <v>44664</v>
      </c>
      <c r="BW1100" s="1">
        <v>4.82</v>
      </c>
      <c r="BY1100" s="1">
        <v>44587</v>
      </c>
      <c r="BZ1100" s="1">
        <v>2.9</v>
      </c>
      <c r="CA1100" s="1">
        <v>44595</v>
      </c>
      <c r="CB1100" s="1">
        <v>4.51</v>
      </c>
      <c r="CC1100" s="1">
        <v>44664</v>
      </c>
      <c r="CD1100" s="1">
        <v>7.1275000000000004</v>
      </c>
      <c r="CE1100" s="1">
        <v>44664</v>
      </c>
      <c r="CF1100" s="1">
        <v>7.4029999999999996</v>
      </c>
      <c r="CG1100" s="1">
        <v>44664</v>
      </c>
      <c r="CH1100" s="1">
        <v>7.5449999999999999</v>
      </c>
      <c r="CI1100" s="1">
        <v>44664</v>
      </c>
      <c r="CJ1100" s="1">
        <v>7.94</v>
      </c>
      <c r="CK1100" s="1">
        <v>44664</v>
      </c>
      <c r="CL1100" s="1">
        <v>8.06</v>
      </c>
      <c r="CM1100" s="1">
        <v>44664</v>
      </c>
      <c r="CN1100" s="1">
        <v>7.92</v>
      </c>
      <c r="CO1100" s="1">
        <v>44656</v>
      </c>
      <c r="CP1100" s="1">
        <v>7.6375000000000002</v>
      </c>
      <c r="CQ1100" s="1">
        <v>44656</v>
      </c>
      <c r="CR1100" s="1">
        <v>7.31</v>
      </c>
      <c r="CS1100" s="1">
        <v>44656</v>
      </c>
      <c r="CT1100" s="1">
        <v>6.97</v>
      </c>
    </row>
    <row r="1101" spans="31:98" x14ac:dyDescent="0.2">
      <c r="AE1101" s="1">
        <v>44655</v>
      </c>
      <c r="AF1101" s="1">
        <v>3.5</v>
      </c>
      <c r="AG1101" s="1">
        <v>44603</v>
      </c>
      <c r="AH1101" s="1">
        <v>3.3</v>
      </c>
      <c r="AI1101" s="1">
        <v>44663</v>
      </c>
      <c r="AJ1101" s="1">
        <v>6.4465000000000003</v>
      </c>
      <c r="AK1101" s="1">
        <v>44663</v>
      </c>
      <c r="AL1101" s="1">
        <v>6.6550000000000002</v>
      </c>
      <c r="AM1101" s="1">
        <v>44663</v>
      </c>
      <c r="AN1101" s="1">
        <v>6.835</v>
      </c>
      <c r="AO1101" s="1">
        <v>44663</v>
      </c>
      <c r="AP1101" s="1">
        <v>6.91</v>
      </c>
      <c r="AQ1101" s="1">
        <v>44663</v>
      </c>
      <c r="AR1101" s="1">
        <v>6.8550000000000004</v>
      </c>
      <c r="AS1101" s="1">
        <v>44663</v>
      </c>
      <c r="AT1101" s="1">
        <v>6.6550000000000002</v>
      </c>
      <c r="AU1101" s="1">
        <v>44663</v>
      </c>
      <c r="AV1101" s="1">
        <v>6.375</v>
      </c>
      <c r="AW1101" s="1">
        <v>44663</v>
      </c>
      <c r="AX1101" s="1">
        <v>6.12</v>
      </c>
      <c r="AY1101" s="1">
        <v>44663</v>
      </c>
      <c r="AZ1101" s="1">
        <v>5.875</v>
      </c>
      <c r="BB1101" s="1">
        <v>44582</v>
      </c>
      <c r="BC1101" s="1">
        <v>3.75</v>
      </c>
      <c r="BD1101" s="1">
        <v>44602</v>
      </c>
      <c r="BE1101" s="1">
        <v>4.74</v>
      </c>
      <c r="BF1101" s="1">
        <v>44663</v>
      </c>
      <c r="BG1101" s="1">
        <v>5.7850000000000001</v>
      </c>
      <c r="BH1101" s="1">
        <v>44663</v>
      </c>
      <c r="BI1101" s="1">
        <v>5.8949999999999996</v>
      </c>
      <c r="BJ1101" s="1">
        <v>44663</v>
      </c>
      <c r="BK1101" s="1">
        <v>6.09</v>
      </c>
      <c r="BL1101" s="1">
        <v>44663</v>
      </c>
      <c r="BM1101" s="1">
        <v>6.17</v>
      </c>
      <c r="BN1101" s="1">
        <v>44662</v>
      </c>
      <c r="BO1101" s="1">
        <v>6.31</v>
      </c>
      <c r="BP1101" s="1">
        <v>44663</v>
      </c>
      <c r="BQ1101" s="1">
        <v>6.09</v>
      </c>
      <c r="BR1101" s="1">
        <v>44663</v>
      </c>
      <c r="BS1101" s="1">
        <v>5.8150000000000004</v>
      </c>
      <c r="BT1101" s="1">
        <v>44663</v>
      </c>
      <c r="BU1101" s="1">
        <v>5.3879999999999999</v>
      </c>
      <c r="BV1101" s="1">
        <v>44663</v>
      </c>
      <c r="BW1101" s="1">
        <v>5.1029999999999998</v>
      </c>
      <c r="BY1101" s="1">
        <v>44586</v>
      </c>
      <c r="BZ1101" s="1">
        <v>2.4</v>
      </c>
      <c r="CA1101" s="1">
        <v>44594</v>
      </c>
      <c r="CB1101" s="1">
        <v>4.5</v>
      </c>
      <c r="CC1101" s="1">
        <v>44663</v>
      </c>
      <c r="CD1101" s="1">
        <v>7.3</v>
      </c>
      <c r="CE1101" s="1">
        <v>44663</v>
      </c>
      <c r="CF1101" s="1">
        <v>7.6</v>
      </c>
      <c r="CG1101" s="1">
        <v>44663</v>
      </c>
      <c r="CH1101" s="1">
        <v>7.7850000000000001</v>
      </c>
      <c r="CI1101" s="1">
        <v>44663</v>
      </c>
      <c r="CJ1101" s="1">
        <v>8.1999999999999993</v>
      </c>
      <c r="CK1101" s="1">
        <v>44663</v>
      </c>
      <c r="CL1101" s="1">
        <v>8.2799999999999994</v>
      </c>
      <c r="CM1101" s="1">
        <v>44663</v>
      </c>
      <c r="CN1101" s="1">
        <v>8.24</v>
      </c>
      <c r="CO1101" s="1">
        <v>44655</v>
      </c>
      <c r="CP1101" s="1">
        <v>7.3274999999999997</v>
      </c>
      <c r="CQ1101" s="1">
        <v>44655</v>
      </c>
      <c r="CR1101" s="1">
        <v>6.9524999999999997</v>
      </c>
      <c r="CS1101" s="1">
        <v>44655</v>
      </c>
      <c r="CT1101" s="1">
        <v>6.67</v>
      </c>
    </row>
    <row r="1102" spans="31:98" x14ac:dyDescent="0.2">
      <c r="AE1102" s="1">
        <v>44652</v>
      </c>
      <c r="AF1102" s="1">
        <v>3.5</v>
      </c>
      <c r="AG1102" s="1">
        <v>44602</v>
      </c>
      <c r="AH1102" s="1">
        <v>3.28</v>
      </c>
      <c r="AI1102" s="1">
        <v>44662</v>
      </c>
      <c r="AJ1102" s="1">
        <v>6.4154999999999998</v>
      </c>
      <c r="AK1102" s="1">
        <v>44662</v>
      </c>
      <c r="AL1102" s="1">
        <v>6.6749999999999998</v>
      </c>
      <c r="AM1102" s="1">
        <v>44662</v>
      </c>
      <c r="AN1102" s="1">
        <v>6.8449999999999998</v>
      </c>
      <c r="AO1102" s="1">
        <v>44662</v>
      </c>
      <c r="AP1102" s="1">
        <v>6.95</v>
      </c>
      <c r="AQ1102" s="1">
        <v>44662</v>
      </c>
      <c r="AR1102" s="1">
        <v>6.92</v>
      </c>
      <c r="AS1102" s="1">
        <v>44662</v>
      </c>
      <c r="AT1102" s="1">
        <v>6.78</v>
      </c>
      <c r="AU1102" s="1">
        <v>44662</v>
      </c>
      <c r="AV1102" s="1">
        <v>6.5250000000000004</v>
      </c>
      <c r="AW1102" s="1">
        <v>44662</v>
      </c>
      <c r="AX1102" s="1">
        <v>6.28</v>
      </c>
      <c r="AY1102" s="1">
        <v>44662</v>
      </c>
      <c r="AZ1102" s="1">
        <v>6.0350000000000001</v>
      </c>
      <c r="BB1102" s="1">
        <v>44581</v>
      </c>
      <c r="BC1102" s="1">
        <v>3.75</v>
      </c>
      <c r="BD1102" s="1">
        <v>44601</v>
      </c>
      <c r="BE1102" s="1">
        <v>4.74</v>
      </c>
      <c r="BF1102" s="1">
        <v>44662</v>
      </c>
      <c r="BG1102" s="1">
        <v>5.75</v>
      </c>
      <c r="BH1102" s="1">
        <v>44662</v>
      </c>
      <c r="BI1102" s="1">
        <v>5.85</v>
      </c>
      <c r="BJ1102" s="1">
        <v>44662</v>
      </c>
      <c r="BK1102" s="1">
        <v>6.0650000000000004</v>
      </c>
      <c r="BL1102" s="1">
        <v>44662</v>
      </c>
      <c r="BM1102" s="1">
        <v>6.2480000000000002</v>
      </c>
      <c r="BN1102" s="1">
        <v>44659</v>
      </c>
      <c r="BO1102" s="1">
        <v>6.28</v>
      </c>
      <c r="BP1102" s="1">
        <v>44662</v>
      </c>
      <c r="BQ1102" s="1">
        <v>6.2030000000000003</v>
      </c>
      <c r="BR1102" s="1">
        <v>44662</v>
      </c>
      <c r="BS1102" s="1">
        <v>5.9379999999999997</v>
      </c>
      <c r="BT1102" s="1">
        <v>44662</v>
      </c>
      <c r="BU1102" s="1">
        <v>5.508</v>
      </c>
      <c r="BV1102" s="1">
        <v>44662</v>
      </c>
      <c r="BW1102" s="1">
        <v>5.2229999999999999</v>
      </c>
      <c r="BY1102" s="1">
        <v>44585</v>
      </c>
      <c r="BZ1102" s="1">
        <v>2.4</v>
      </c>
      <c r="CA1102" s="1">
        <v>44593</v>
      </c>
      <c r="CB1102" s="1">
        <v>4.5</v>
      </c>
      <c r="CC1102" s="1">
        <v>44662</v>
      </c>
      <c r="CD1102" s="1">
        <v>7.53</v>
      </c>
      <c r="CE1102" s="1">
        <v>44662</v>
      </c>
      <c r="CF1102" s="1">
        <v>7.95</v>
      </c>
      <c r="CG1102" s="1">
        <v>44662</v>
      </c>
      <c r="CH1102" s="1">
        <v>8.0250000000000004</v>
      </c>
      <c r="CI1102" s="1">
        <v>44662</v>
      </c>
      <c r="CJ1102" s="1">
        <v>8.44</v>
      </c>
      <c r="CK1102" s="1">
        <v>44662</v>
      </c>
      <c r="CL1102" s="1">
        <v>8.5</v>
      </c>
      <c r="CM1102" s="1">
        <v>44662</v>
      </c>
      <c r="CN1102" s="1">
        <v>8.5399999999999991</v>
      </c>
      <c r="CO1102" s="1">
        <v>44652</v>
      </c>
      <c r="CP1102" s="1">
        <v>7.3324999999999996</v>
      </c>
      <c r="CQ1102" s="1">
        <v>44652</v>
      </c>
      <c r="CR1102" s="1">
        <v>6.9474999999999998</v>
      </c>
      <c r="CS1102" s="1">
        <v>44652</v>
      </c>
      <c r="CT1102" s="1">
        <v>6.6275000000000004</v>
      </c>
    </row>
    <row r="1103" spans="31:98" x14ac:dyDescent="0.2">
      <c r="AE1103" s="1">
        <v>44651</v>
      </c>
      <c r="AF1103" s="1">
        <v>3.5</v>
      </c>
      <c r="AG1103" s="1">
        <v>44601</v>
      </c>
      <c r="AH1103" s="1">
        <v>3.23</v>
      </c>
      <c r="AI1103" s="1">
        <v>44659</v>
      </c>
      <c r="AJ1103" s="1">
        <v>6.3</v>
      </c>
      <c r="AK1103" s="1">
        <v>44659</v>
      </c>
      <c r="AL1103" s="1">
        <v>6.6050000000000004</v>
      </c>
      <c r="AM1103" s="1">
        <v>44659</v>
      </c>
      <c r="AN1103" s="1">
        <v>6.7350000000000003</v>
      </c>
      <c r="AO1103" s="1">
        <v>44659</v>
      </c>
      <c r="AP1103" s="1">
        <v>6.8550000000000004</v>
      </c>
      <c r="AQ1103" s="1">
        <v>44659</v>
      </c>
      <c r="AR1103" s="1">
        <v>6.85</v>
      </c>
      <c r="AS1103" s="1">
        <v>44659</v>
      </c>
      <c r="AT1103" s="1">
        <v>6.71</v>
      </c>
      <c r="AU1103" s="1">
        <v>44659</v>
      </c>
      <c r="AV1103" s="1">
        <v>6.47</v>
      </c>
      <c r="AW1103" s="1">
        <v>44659</v>
      </c>
      <c r="AX1103" s="1">
        <v>6.24</v>
      </c>
      <c r="AY1103" s="1">
        <v>44659</v>
      </c>
      <c r="AZ1103" s="1">
        <v>6.01</v>
      </c>
      <c r="BB1103" s="1">
        <v>44580</v>
      </c>
      <c r="BC1103" s="1">
        <v>3.75</v>
      </c>
      <c r="BD1103" s="1">
        <v>44600</v>
      </c>
      <c r="BE1103" s="1">
        <v>4.74</v>
      </c>
      <c r="BF1103" s="1">
        <v>44659</v>
      </c>
      <c r="BG1103" s="1">
        <v>5.67</v>
      </c>
      <c r="BH1103" s="1">
        <v>44659</v>
      </c>
      <c r="BI1103" s="1">
        <v>5.75</v>
      </c>
      <c r="BJ1103" s="1">
        <v>44659</v>
      </c>
      <c r="BK1103" s="1">
        <v>6.01</v>
      </c>
      <c r="BL1103" s="1">
        <v>44659</v>
      </c>
      <c r="BM1103" s="1">
        <v>6.24</v>
      </c>
      <c r="BN1103" s="1">
        <v>44658</v>
      </c>
      <c r="BO1103" s="1">
        <v>6.165</v>
      </c>
      <c r="BP1103" s="1">
        <v>44659</v>
      </c>
      <c r="BQ1103" s="1">
        <v>6.165</v>
      </c>
      <c r="BR1103" s="1">
        <v>44659</v>
      </c>
      <c r="BS1103" s="1">
        <v>5.91</v>
      </c>
      <c r="BT1103" s="1">
        <v>44659</v>
      </c>
      <c r="BU1103" s="1">
        <v>5.4829999999999997</v>
      </c>
      <c r="BV1103" s="1">
        <v>44659</v>
      </c>
      <c r="BW1103" s="1">
        <v>5.17</v>
      </c>
      <c r="BY1103" s="1">
        <v>44582</v>
      </c>
      <c r="BZ1103" s="1">
        <v>2.4</v>
      </c>
      <c r="CA1103" s="1">
        <v>44592</v>
      </c>
      <c r="CB1103" s="1">
        <v>4.49</v>
      </c>
      <c r="CC1103" s="1">
        <v>44659</v>
      </c>
      <c r="CD1103" s="1">
        <v>7.56</v>
      </c>
      <c r="CE1103" s="1">
        <v>44659</v>
      </c>
      <c r="CF1103" s="1">
        <v>7.98</v>
      </c>
      <c r="CG1103" s="1">
        <v>44659</v>
      </c>
      <c r="CH1103" s="1">
        <v>8.07</v>
      </c>
      <c r="CI1103" s="1">
        <v>44659</v>
      </c>
      <c r="CJ1103" s="1">
        <v>8.4700000000000006</v>
      </c>
      <c r="CK1103" s="1">
        <v>44659</v>
      </c>
      <c r="CL1103" s="1">
        <v>8.5299999999999994</v>
      </c>
      <c r="CM1103" s="1">
        <v>44659</v>
      </c>
      <c r="CN1103" s="1">
        <v>8.57</v>
      </c>
      <c r="CO1103" s="1">
        <v>44651</v>
      </c>
      <c r="CP1103" s="1">
        <v>7.2975000000000003</v>
      </c>
      <c r="CQ1103" s="1">
        <v>44651</v>
      </c>
      <c r="CR1103" s="1">
        <v>6.9225000000000003</v>
      </c>
      <c r="CS1103" s="1">
        <v>44651</v>
      </c>
      <c r="CT1103" s="1">
        <v>6.5774999999999997</v>
      </c>
    </row>
    <row r="1104" spans="31:98" x14ac:dyDescent="0.2">
      <c r="AE1104" s="1">
        <v>44650</v>
      </c>
      <c r="AF1104" s="1">
        <v>3.5</v>
      </c>
      <c r="AG1104" s="1">
        <v>44600</v>
      </c>
      <c r="AH1104" s="1">
        <v>3.17</v>
      </c>
      <c r="AI1104" s="1">
        <v>44658</v>
      </c>
      <c r="AJ1104" s="1">
        <v>6.2160000000000002</v>
      </c>
      <c r="AK1104" s="1">
        <v>44658</v>
      </c>
      <c r="AL1104" s="1">
        <v>6.49</v>
      </c>
      <c r="AM1104" s="1">
        <v>44658</v>
      </c>
      <c r="AN1104" s="1">
        <v>6.67</v>
      </c>
      <c r="AO1104" s="1">
        <v>44658</v>
      </c>
      <c r="AP1104" s="1">
        <v>6.7050000000000001</v>
      </c>
      <c r="AQ1104" s="1">
        <v>44658</v>
      </c>
      <c r="AR1104" s="1">
        <v>6.64</v>
      </c>
      <c r="AS1104" s="1">
        <v>44658</v>
      </c>
      <c r="AT1104" s="1">
        <v>6.54</v>
      </c>
      <c r="AU1104" s="1">
        <v>44658</v>
      </c>
      <c r="AV1104" s="1">
        <v>6.29</v>
      </c>
      <c r="AW1104" s="1">
        <v>44658</v>
      </c>
      <c r="AX1104" s="1">
        <v>6.05</v>
      </c>
      <c r="AY1104" s="1">
        <v>44658</v>
      </c>
      <c r="AZ1104" s="1">
        <v>5.81</v>
      </c>
      <c r="BB1104" s="1">
        <v>44579</v>
      </c>
      <c r="BC1104" s="1">
        <v>3.75</v>
      </c>
      <c r="BD1104" s="1">
        <v>44599</v>
      </c>
      <c r="BE1104" s="1">
        <v>4.74</v>
      </c>
      <c r="BF1104" s="1">
        <v>44658</v>
      </c>
      <c r="BG1104" s="1">
        <v>5.6449999999999996</v>
      </c>
      <c r="BH1104" s="1">
        <v>44658</v>
      </c>
      <c r="BI1104" s="1">
        <v>5.7549999999999999</v>
      </c>
      <c r="BJ1104" s="1">
        <v>44658</v>
      </c>
      <c r="BK1104" s="1">
        <v>5.9950000000000001</v>
      </c>
      <c r="BL1104" s="1">
        <v>44658</v>
      </c>
      <c r="BM1104" s="1">
        <v>6.125</v>
      </c>
      <c r="BN1104" s="1">
        <v>44657</v>
      </c>
      <c r="BO1104" s="1">
        <v>6</v>
      </c>
      <c r="BP1104" s="1">
        <v>44658</v>
      </c>
      <c r="BQ1104" s="1">
        <v>6.07</v>
      </c>
      <c r="BR1104" s="1">
        <v>44658</v>
      </c>
      <c r="BS1104" s="1">
        <v>5.8</v>
      </c>
      <c r="BT1104" s="1">
        <v>44658</v>
      </c>
      <c r="BU1104" s="1">
        <v>5.3730000000000002</v>
      </c>
      <c r="BV1104" s="1">
        <v>44658</v>
      </c>
      <c r="BW1104" s="1">
        <v>5.0549999999999997</v>
      </c>
      <c r="BY1104" s="1">
        <v>44581</v>
      </c>
      <c r="BZ1104" s="1">
        <v>2.4</v>
      </c>
      <c r="CA1104" s="1">
        <v>44589</v>
      </c>
      <c r="CB1104" s="1">
        <v>4.4800000000000004</v>
      </c>
      <c r="CC1104" s="1">
        <v>44658</v>
      </c>
      <c r="CD1104" s="1">
        <v>7.5350000000000001</v>
      </c>
      <c r="CE1104" s="1">
        <v>44658</v>
      </c>
      <c r="CF1104" s="1">
        <v>7.9550000000000001</v>
      </c>
      <c r="CG1104" s="1">
        <v>44658</v>
      </c>
      <c r="CH1104" s="1">
        <v>8.0399999999999991</v>
      </c>
      <c r="CI1104" s="1">
        <v>44658</v>
      </c>
      <c r="CJ1104" s="1">
        <v>8.4450000000000003</v>
      </c>
      <c r="CK1104" s="1">
        <v>44658</v>
      </c>
      <c r="CL1104" s="1">
        <v>8.5050000000000008</v>
      </c>
      <c r="CM1104" s="1">
        <v>44658</v>
      </c>
      <c r="CN1104" s="1">
        <v>8.5150000000000006</v>
      </c>
      <c r="CO1104" s="1">
        <v>44650</v>
      </c>
      <c r="CP1104" s="1">
        <v>7.4050000000000002</v>
      </c>
      <c r="CQ1104" s="1">
        <v>44650</v>
      </c>
      <c r="CR1104" s="1">
        <v>7.03</v>
      </c>
      <c r="CS1104" s="1">
        <v>44650</v>
      </c>
      <c r="CT1104" s="1">
        <v>6.6849999999999996</v>
      </c>
    </row>
    <row r="1105" spans="31:98" x14ac:dyDescent="0.2">
      <c r="AE1105" s="1">
        <v>44649</v>
      </c>
      <c r="AF1105" s="1">
        <v>3.5</v>
      </c>
      <c r="AG1105" s="1">
        <v>44599</v>
      </c>
      <c r="AH1105" s="1">
        <v>3.13</v>
      </c>
      <c r="AI1105" s="1">
        <v>44657</v>
      </c>
      <c r="AJ1105" s="1">
        <v>5.9405000000000001</v>
      </c>
      <c r="AK1105" s="1">
        <v>44657</v>
      </c>
      <c r="AL1105" s="1">
        <v>6.23</v>
      </c>
      <c r="AM1105" s="1">
        <v>44657</v>
      </c>
      <c r="AN1105" s="1">
        <v>6.4349999999999996</v>
      </c>
      <c r="AO1105" s="1">
        <v>44657</v>
      </c>
      <c r="AP1105" s="1">
        <v>6.5350000000000001</v>
      </c>
      <c r="AQ1105" s="1">
        <v>44657</v>
      </c>
      <c r="AR1105" s="1">
        <v>6.5149999999999997</v>
      </c>
      <c r="AS1105" s="1">
        <v>44657</v>
      </c>
      <c r="AT1105" s="1">
        <v>6.39</v>
      </c>
      <c r="AU1105" s="1">
        <v>44657</v>
      </c>
      <c r="AV1105" s="1">
        <v>6.14</v>
      </c>
      <c r="AW1105" s="1">
        <v>44657</v>
      </c>
      <c r="AX1105" s="1">
        <v>5.9</v>
      </c>
      <c r="AY1105" s="1">
        <v>44657</v>
      </c>
      <c r="AZ1105" s="1">
        <v>5.665</v>
      </c>
      <c r="BB1105" s="1">
        <v>44578</v>
      </c>
      <c r="BC1105" s="1">
        <v>3.75</v>
      </c>
      <c r="BD1105" s="1">
        <v>44596</v>
      </c>
      <c r="BE1105" s="1">
        <v>4.74</v>
      </c>
      <c r="BF1105" s="1">
        <v>44657</v>
      </c>
      <c r="BG1105" s="1">
        <v>5.47</v>
      </c>
      <c r="BH1105" s="1">
        <v>44657</v>
      </c>
      <c r="BI1105" s="1">
        <v>5.73</v>
      </c>
      <c r="BJ1105" s="1">
        <v>44657</v>
      </c>
      <c r="BK1105" s="1">
        <v>5.93</v>
      </c>
      <c r="BL1105" s="1">
        <v>44657</v>
      </c>
      <c r="BM1105" s="1">
        <v>5.99</v>
      </c>
      <c r="BN1105" s="1">
        <v>44656</v>
      </c>
      <c r="BO1105" s="1">
        <v>5.9749999999999996</v>
      </c>
      <c r="BP1105" s="1">
        <v>44657</v>
      </c>
      <c r="BQ1105" s="1">
        <v>5.8849999999999998</v>
      </c>
      <c r="BR1105" s="1">
        <v>44657</v>
      </c>
      <c r="BS1105" s="1">
        <v>5.58</v>
      </c>
      <c r="BT1105" s="1">
        <v>44657</v>
      </c>
      <c r="BU1105" s="1">
        <v>5.1150000000000002</v>
      </c>
      <c r="BV1105" s="1">
        <v>44657</v>
      </c>
      <c r="BW1105" s="1">
        <v>4.83</v>
      </c>
      <c r="BY1105" s="1">
        <v>44580</v>
      </c>
      <c r="BZ1105" s="1">
        <v>2.4</v>
      </c>
      <c r="CA1105" s="1">
        <v>44588</v>
      </c>
      <c r="CB1105" s="1">
        <v>4.46</v>
      </c>
      <c r="CC1105" s="1">
        <v>44657</v>
      </c>
      <c r="CD1105" s="1">
        <v>7.42</v>
      </c>
      <c r="CE1105" s="1">
        <v>44657</v>
      </c>
      <c r="CF1105" s="1">
        <v>7.76</v>
      </c>
      <c r="CG1105" s="1">
        <v>44657</v>
      </c>
      <c r="CH1105" s="1">
        <v>8.0500000000000007</v>
      </c>
      <c r="CI1105" s="1">
        <v>44657</v>
      </c>
      <c r="CJ1105" s="1">
        <v>8.25</v>
      </c>
      <c r="CK1105" s="1">
        <v>44657</v>
      </c>
      <c r="CL1105" s="1">
        <v>8.2349999999999994</v>
      </c>
      <c r="CM1105" s="1">
        <v>44657</v>
      </c>
      <c r="CN1105" s="1">
        <v>8.19</v>
      </c>
      <c r="CO1105" s="1">
        <v>44649</v>
      </c>
      <c r="CP1105" s="1">
        <v>7.4050000000000002</v>
      </c>
      <c r="CQ1105" s="1">
        <v>44649</v>
      </c>
      <c r="CR1105" s="1">
        <v>7.03</v>
      </c>
      <c r="CS1105" s="1">
        <v>44649</v>
      </c>
      <c r="CT1105" s="1">
        <v>6.8250000000000002</v>
      </c>
    </row>
    <row r="1106" spans="31:98" x14ac:dyDescent="0.2">
      <c r="AE1106" s="1">
        <v>44648</v>
      </c>
      <c r="AF1106" s="1">
        <v>3.5</v>
      </c>
      <c r="AG1106" s="1">
        <v>44596</v>
      </c>
      <c r="AH1106" s="1">
        <v>3.11</v>
      </c>
      <c r="AI1106" s="1">
        <v>44656</v>
      </c>
      <c r="AJ1106" s="1">
        <v>5.609</v>
      </c>
      <c r="AK1106" s="1">
        <v>44656</v>
      </c>
      <c r="AL1106" s="1">
        <v>5.92</v>
      </c>
      <c r="AM1106" s="1">
        <v>44656</v>
      </c>
      <c r="AN1106" s="1">
        <v>6.1449999999999996</v>
      </c>
      <c r="AO1106" s="1">
        <v>44656</v>
      </c>
      <c r="AP1106" s="1">
        <v>6.32</v>
      </c>
      <c r="AQ1106" s="1">
        <v>44656</v>
      </c>
      <c r="AR1106" s="1">
        <v>6.3</v>
      </c>
      <c r="AS1106" s="1">
        <v>44656</v>
      </c>
      <c r="AT1106" s="1">
        <v>6.0949999999999998</v>
      </c>
      <c r="AU1106" s="1">
        <v>44656</v>
      </c>
      <c r="AV1106" s="1">
        <v>5.87</v>
      </c>
      <c r="AW1106" s="1">
        <v>44656</v>
      </c>
      <c r="AX1106" s="1">
        <v>5.63</v>
      </c>
      <c r="AY1106" s="1">
        <v>44656</v>
      </c>
      <c r="AZ1106" s="1">
        <v>5.375</v>
      </c>
      <c r="BB1106" s="1">
        <v>44575</v>
      </c>
      <c r="BC1106" s="1">
        <v>3.75</v>
      </c>
      <c r="BD1106" s="1">
        <v>44595</v>
      </c>
      <c r="BE1106" s="1">
        <v>4.51</v>
      </c>
      <c r="BF1106" s="1">
        <v>44656</v>
      </c>
      <c r="BG1106" s="1">
        <v>5.46</v>
      </c>
      <c r="BH1106" s="1">
        <v>44656</v>
      </c>
      <c r="BI1106" s="1">
        <v>5.73</v>
      </c>
      <c r="BJ1106" s="1">
        <v>44656</v>
      </c>
      <c r="BK1106" s="1">
        <v>5.9249999999999998</v>
      </c>
      <c r="BL1106" s="1">
        <v>44656</v>
      </c>
      <c r="BM1106" s="1">
        <v>5.9749999999999996</v>
      </c>
      <c r="BN1106" s="1">
        <v>44655</v>
      </c>
      <c r="BO1106" s="1">
        <v>5.9450000000000003</v>
      </c>
      <c r="BP1106" s="1">
        <v>44656</v>
      </c>
      <c r="BQ1106" s="1">
        <v>5.8650000000000002</v>
      </c>
      <c r="BR1106" s="1">
        <v>44656</v>
      </c>
      <c r="BS1106" s="1">
        <v>5.5529999999999999</v>
      </c>
      <c r="BT1106" s="1">
        <v>44656</v>
      </c>
      <c r="BU1106" s="1">
        <v>5.0949999999999998</v>
      </c>
      <c r="BV1106" s="1">
        <v>44656</v>
      </c>
      <c r="BW1106" s="1">
        <v>4.76</v>
      </c>
      <c r="BY1106" s="1">
        <v>44579</v>
      </c>
      <c r="BZ1106" s="1">
        <v>2.4</v>
      </c>
      <c r="CA1106" s="1">
        <v>44587</v>
      </c>
      <c r="CB1106" s="1">
        <v>4.3099999999999996</v>
      </c>
      <c r="CC1106" s="1">
        <v>44656</v>
      </c>
      <c r="CD1106" s="1">
        <v>7.2240000000000002</v>
      </c>
      <c r="CE1106" s="1">
        <v>44656</v>
      </c>
      <c r="CF1106" s="1">
        <v>7.5449999999999999</v>
      </c>
      <c r="CG1106" s="1">
        <v>44656</v>
      </c>
      <c r="CH1106" s="1">
        <v>7.7938000000000001</v>
      </c>
      <c r="CI1106" s="1">
        <v>44656</v>
      </c>
      <c r="CJ1106" s="1">
        <v>7.9725000000000001</v>
      </c>
      <c r="CK1106" s="1">
        <v>44656</v>
      </c>
      <c r="CL1106" s="1">
        <v>7.97</v>
      </c>
      <c r="CM1106" s="1">
        <v>44656</v>
      </c>
      <c r="CN1106" s="1">
        <v>7.9375</v>
      </c>
      <c r="CO1106" s="1">
        <v>44648</v>
      </c>
      <c r="CP1106" s="1">
        <v>7.6150000000000002</v>
      </c>
      <c r="CQ1106" s="1">
        <v>44648</v>
      </c>
      <c r="CR1106" s="1">
        <v>7.3150000000000004</v>
      </c>
      <c r="CS1106" s="1">
        <v>44648</v>
      </c>
      <c r="CT1106" s="1">
        <v>7.0149999999999997</v>
      </c>
    </row>
    <row r="1107" spans="31:98" x14ac:dyDescent="0.2">
      <c r="AE1107" s="1">
        <v>44645</v>
      </c>
      <c r="AF1107" s="1">
        <v>3.5</v>
      </c>
      <c r="AG1107" s="1">
        <v>44595</v>
      </c>
      <c r="AH1107" s="1">
        <v>3.1</v>
      </c>
      <c r="AI1107" s="1">
        <v>44655</v>
      </c>
      <c r="AJ1107" s="1">
        <v>5.5765000000000002</v>
      </c>
      <c r="AK1107" s="1">
        <v>44655</v>
      </c>
      <c r="AL1107" s="1">
        <v>5.85</v>
      </c>
      <c r="AM1107" s="1">
        <v>44655</v>
      </c>
      <c r="AN1107" s="1">
        <v>6.05</v>
      </c>
      <c r="AO1107" s="1">
        <v>44655</v>
      </c>
      <c r="AP1107" s="1">
        <v>6.21</v>
      </c>
      <c r="AQ1107" s="1">
        <v>44655</v>
      </c>
      <c r="AR1107" s="1">
        <v>6.1950000000000003</v>
      </c>
      <c r="AS1107" s="1">
        <v>44655</v>
      </c>
      <c r="AT1107" s="1">
        <v>6.02</v>
      </c>
      <c r="AU1107" s="1">
        <v>44655</v>
      </c>
      <c r="AV1107" s="1">
        <v>5.8049999999999997</v>
      </c>
      <c r="AW1107" s="1">
        <v>44655</v>
      </c>
      <c r="AX1107" s="1">
        <v>5.5750000000000002</v>
      </c>
      <c r="AY1107" s="1">
        <v>44655</v>
      </c>
      <c r="AZ1107" s="1">
        <v>5.3449999999999998</v>
      </c>
      <c r="BB1107" s="1">
        <v>44574</v>
      </c>
      <c r="BC1107" s="1">
        <v>3.75</v>
      </c>
      <c r="BD1107" s="1">
        <v>44594</v>
      </c>
      <c r="BE1107" s="1">
        <v>4.45</v>
      </c>
      <c r="BF1107" s="1">
        <v>44655</v>
      </c>
      <c r="BG1107" s="1">
        <v>5.46</v>
      </c>
      <c r="BH1107" s="1">
        <v>44655</v>
      </c>
      <c r="BI1107" s="1">
        <v>5.7279999999999998</v>
      </c>
      <c r="BJ1107" s="1">
        <v>44655</v>
      </c>
      <c r="BK1107" s="1">
        <v>5.93</v>
      </c>
      <c r="BL1107" s="1">
        <v>44655</v>
      </c>
      <c r="BM1107" s="1">
        <v>5.9550000000000001</v>
      </c>
      <c r="BN1107" s="1">
        <v>44652</v>
      </c>
      <c r="BO1107" s="1">
        <v>5.915</v>
      </c>
      <c r="BP1107" s="1">
        <v>44655</v>
      </c>
      <c r="BQ1107" s="1">
        <v>5.79</v>
      </c>
      <c r="BR1107" s="1">
        <v>44655</v>
      </c>
      <c r="BS1107" s="1">
        <v>5.4349999999999996</v>
      </c>
      <c r="BT1107" s="1">
        <v>44655</v>
      </c>
      <c r="BU1107" s="1">
        <v>4.9729999999999999</v>
      </c>
      <c r="BV1107" s="1">
        <v>44655</v>
      </c>
      <c r="BW1107" s="1">
        <v>4.6479999999999997</v>
      </c>
      <c r="BY1107" s="1">
        <v>44578</v>
      </c>
      <c r="BZ1107" s="1">
        <v>2.4</v>
      </c>
      <c r="CA1107" s="1">
        <v>44586</v>
      </c>
      <c r="CB1107" s="1">
        <v>4.1900000000000004</v>
      </c>
      <c r="CC1107" s="1">
        <v>44655</v>
      </c>
      <c r="CD1107" s="1">
        <v>7.0425000000000004</v>
      </c>
      <c r="CE1107" s="1">
        <v>44655</v>
      </c>
      <c r="CF1107" s="1">
        <v>7.24</v>
      </c>
      <c r="CG1107" s="1">
        <v>44655</v>
      </c>
      <c r="CH1107" s="1">
        <v>7.57</v>
      </c>
      <c r="CI1107" s="1">
        <v>44655</v>
      </c>
      <c r="CJ1107" s="1">
        <v>7.78</v>
      </c>
      <c r="CK1107" s="1">
        <v>44655</v>
      </c>
      <c r="CL1107" s="1">
        <v>7.86</v>
      </c>
      <c r="CM1107" s="1">
        <v>44655</v>
      </c>
      <c r="CN1107" s="1">
        <v>7.6325000000000003</v>
      </c>
      <c r="CO1107" s="1">
        <v>44645</v>
      </c>
      <c r="CP1107" s="1">
        <v>7.5650000000000004</v>
      </c>
      <c r="CQ1107" s="1">
        <v>44645</v>
      </c>
      <c r="CR1107" s="1">
        <v>7.3250000000000002</v>
      </c>
      <c r="CS1107" s="1">
        <v>44645</v>
      </c>
      <c r="CT1107" s="1">
        <v>7.05</v>
      </c>
    </row>
    <row r="1108" spans="31:98" x14ac:dyDescent="0.2">
      <c r="AE1108" s="1">
        <v>44644</v>
      </c>
      <c r="AF1108" s="1">
        <v>3.5</v>
      </c>
      <c r="AG1108" s="1">
        <v>44594</v>
      </c>
      <c r="AH1108" s="1">
        <v>3.06</v>
      </c>
      <c r="AI1108" s="1">
        <v>44652</v>
      </c>
      <c r="AJ1108" s="1">
        <v>5.585</v>
      </c>
      <c r="AK1108" s="1">
        <v>44652</v>
      </c>
      <c r="AL1108" s="1">
        <v>5.8550000000000004</v>
      </c>
      <c r="AM1108" s="1">
        <v>44652</v>
      </c>
      <c r="AN1108" s="1">
        <v>6.05</v>
      </c>
      <c r="AO1108" s="1">
        <v>44652</v>
      </c>
      <c r="AP1108" s="1">
        <v>6.2125000000000004</v>
      </c>
      <c r="AQ1108" s="1">
        <v>44652</v>
      </c>
      <c r="AR1108" s="1">
        <v>6.19</v>
      </c>
      <c r="AS1108" s="1">
        <v>44652</v>
      </c>
      <c r="AT1108" s="1">
        <v>6.0125000000000002</v>
      </c>
      <c r="AU1108" s="1">
        <v>44652</v>
      </c>
      <c r="AV1108" s="1">
        <v>5.8</v>
      </c>
      <c r="AW1108" s="1">
        <v>44652</v>
      </c>
      <c r="AX1108" s="1">
        <v>5.5774999999999997</v>
      </c>
      <c r="AY1108" s="1">
        <v>44652</v>
      </c>
      <c r="AZ1108" s="1">
        <v>5.3574999999999999</v>
      </c>
      <c r="BB1108" s="1">
        <v>44573</v>
      </c>
      <c r="BC1108" s="1">
        <v>3.75</v>
      </c>
      <c r="BD1108" s="1">
        <v>44593</v>
      </c>
      <c r="BE1108" s="1">
        <v>4.42</v>
      </c>
      <c r="BF1108" s="1">
        <v>44652</v>
      </c>
      <c r="BG1108" s="1">
        <v>5.42</v>
      </c>
      <c r="BH1108" s="1">
        <v>44652</v>
      </c>
      <c r="BI1108" s="1">
        <v>5.75</v>
      </c>
      <c r="BJ1108" s="1">
        <v>44652</v>
      </c>
      <c r="BK1108" s="1">
        <v>5.93</v>
      </c>
      <c r="BL1108" s="1">
        <v>44652</v>
      </c>
      <c r="BM1108" s="1">
        <v>5.94</v>
      </c>
      <c r="BN1108" s="1">
        <v>44651</v>
      </c>
      <c r="BO1108" s="1">
        <v>5.82</v>
      </c>
      <c r="BP1108" s="1">
        <v>44652</v>
      </c>
      <c r="BQ1108" s="1">
        <v>5.72</v>
      </c>
      <c r="BR1108" s="1">
        <v>44652</v>
      </c>
      <c r="BS1108" s="1">
        <v>5.36</v>
      </c>
      <c r="BT1108" s="1">
        <v>44652</v>
      </c>
      <c r="BU1108" s="1">
        <v>4.9050000000000002</v>
      </c>
      <c r="BV1108" s="1">
        <v>44652</v>
      </c>
      <c r="BW1108" s="1">
        <v>4.585</v>
      </c>
      <c r="BY1108" s="1">
        <v>44575</v>
      </c>
      <c r="BZ1108" s="1">
        <v>2.4</v>
      </c>
      <c r="CA1108" s="1">
        <v>44585</v>
      </c>
      <c r="CB1108" s="1">
        <v>4.1900000000000004</v>
      </c>
      <c r="CC1108" s="1">
        <v>44652</v>
      </c>
      <c r="CD1108" s="1">
        <v>7.04</v>
      </c>
      <c r="CE1108" s="1">
        <v>44652</v>
      </c>
      <c r="CF1108" s="1">
        <v>7.26</v>
      </c>
      <c r="CG1108" s="1">
        <v>44652</v>
      </c>
      <c r="CH1108" s="1">
        <v>7.57</v>
      </c>
      <c r="CI1108" s="1">
        <v>44652</v>
      </c>
      <c r="CJ1108" s="1">
        <v>7.75</v>
      </c>
      <c r="CK1108" s="1">
        <v>44652</v>
      </c>
      <c r="CL1108" s="1">
        <v>7.82</v>
      </c>
      <c r="CM1108" s="1">
        <v>44652</v>
      </c>
      <c r="CN1108" s="1">
        <v>7.6375000000000002</v>
      </c>
      <c r="CO1108" s="1">
        <v>44644</v>
      </c>
      <c r="CP1108" s="1">
        <v>7.5350000000000001</v>
      </c>
      <c r="CQ1108" s="1">
        <v>44644</v>
      </c>
      <c r="CR1108" s="1">
        <v>7.2750000000000004</v>
      </c>
      <c r="CS1108" s="1">
        <v>44644</v>
      </c>
      <c r="CT1108" s="1">
        <v>7</v>
      </c>
    </row>
    <row r="1109" spans="31:98" x14ac:dyDescent="0.2">
      <c r="AE1109" s="1">
        <v>44643</v>
      </c>
      <c r="AF1109" s="1">
        <v>3.5</v>
      </c>
      <c r="AG1109" s="1">
        <v>44593</v>
      </c>
      <c r="AH1109" s="1">
        <v>3.04</v>
      </c>
      <c r="AI1109" s="1">
        <v>44651</v>
      </c>
      <c r="AJ1109" s="1">
        <v>5.4770000000000003</v>
      </c>
      <c r="AK1109" s="1">
        <v>44651</v>
      </c>
      <c r="AL1109" s="1">
        <v>5.73</v>
      </c>
      <c r="AM1109" s="1">
        <v>44651</v>
      </c>
      <c r="AN1109" s="1">
        <v>5.8574999999999999</v>
      </c>
      <c r="AO1109" s="1">
        <v>44651</v>
      </c>
      <c r="AP1109" s="1">
        <v>5.9924999999999997</v>
      </c>
      <c r="AQ1109" s="1">
        <v>44651</v>
      </c>
      <c r="AR1109" s="1">
        <v>6</v>
      </c>
      <c r="AS1109" s="1">
        <v>44651</v>
      </c>
      <c r="AT1109" s="1">
        <v>5.8125</v>
      </c>
      <c r="AU1109" s="1">
        <v>44651</v>
      </c>
      <c r="AV1109" s="1">
        <v>5.6050000000000004</v>
      </c>
      <c r="AW1109" s="1">
        <v>44651</v>
      </c>
      <c r="AX1109" s="1">
        <v>5.4</v>
      </c>
      <c r="AY1109" s="1">
        <v>44651</v>
      </c>
      <c r="AZ1109" s="1">
        <v>5.1875</v>
      </c>
      <c r="BB1109" s="1">
        <v>44572</v>
      </c>
      <c r="BC1109" s="1">
        <v>3.75</v>
      </c>
      <c r="BD1109" s="1">
        <v>44592</v>
      </c>
      <c r="BE1109" s="1">
        <v>4.3600000000000003</v>
      </c>
      <c r="BF1109" s="1">
        <v>44651</v>
      </c>
      <c r="BG1109" s="1">
        <v>5.38</v>
      </c>
      <c r="BH1109" s="1">
        <v>44651</v>
      </c>
      <c r="BI1109" s="1">
        <v>5.66</v>
      </c>
      <c r="BJ1109" s="1">
        <v>44651</v>
      </c>
      <c r="BK1109" s="1">
        <v>5.85</v>
      </c>
      <c r="BL1109" s="1">
        <v>44651</v>
      </c>
      <c r="BM1109" s="1">
        <v>5.84</v>
      </c>
      <c r="BN1109" s="1">
        <v>44650</v>
      </c>
      <c r="BO1109" s="1">
        <v>5.7350000000000003</v>
      </c>
      <c r="BP1109" s="1">
        <v>44651</v>
      </c>
      <c r="BQ1109" s="1">
        <v>5.5179999999999998</v>
      </c>
      <c r="BR1109" s="1">
        <v>44651</v>
      </c>
      <c r="BS1109" s="1">
        <v>5.1349999999999998</v>
      </c>
      <c r="BT1109" s="1">
        <v>44651</v>
      </c>
      <c r="BU1109" s="1">
        <v>4.7549999999999999</v>
      </c>
      <c r="BV1109" s="1">
        <v>44651</v>
      </c>
      <c r="BW1109" s="1">
        <v>4.4249999999999998</v>
      </c>
      <c r="BY1109" s="1">
        <v>44573</v>
      </c>
      <c r="BZ1109" s="1">
        <v>2.4</v>
      </c>
      <c r="CA1109" s="1">
        <v>44582</v>
      </c>
      <c r="CB1109" s="1">
        <v>4.1900000000000004</v>
      </c>
      <c r="CC1109" s="1">
        <v>44651</v>
      </c>
      <c r="CD1109" s="1">
        <v>7.01</v>
      </c>
      <c r="CE1109" s="1">
        <v>44651</v>
      </c>
      <c r="CF1109" s="1">
        <v>7.15</v>
      </c>
      <c r="CG1109" s="1">
        <v>44651</v>
      </c>
      <c r="CH1109" s="1">
        <v>7.39</v>
      </c>
      <c r="CI1109" s="1">
        <v>44651</v>
      </c>
      <c r="CJ1109" s="1">
        <v>7.52</v>
      </c>
      <c r="CK1109" s="1">
        <v>44651</v>
      </c>
      <c r="CL1109" s="1">
        <v>7.6</v>
      </c>
      <c r="CM1109" s="1">
        <v>44651</v>
      </c>
      <c r="CN1109" s="1">
        <v>7.6025</v>
      </c>
      <c r="CO1109" s="1">
        <v>44643</v>
      </c>
      <c r="CP1109" s="1">
        <v>7.35</v>
      </c>
      <c r="CQ1109" s="1">
        <v>44643</v>
      </c>
      <c r="CR1109" s="1">
        <v>7.05</v>
      </c>
      <c r="CS1109" s="1">
        <v>44643</v>
      </c>
      <c r="CT1109" s="1">
        <v>6.72</v>
      </c>
    </row>
    <row r="1110" spans="31:98" x14ac:dyDescent="0.2">
      <c r="AE1110" s="1">
        <v>44642</v>
      </c>
      <c r="AF1110" s="1">
        <v>3.5</v>
      </c>
      <c r="AG1110" s="1">
        <v>44592</v>
      </c>
      <c r="AH1110" s="1">
        <v>3.02</v>
      </c>
      <c r="AI1110" s="1">
        <v>44650</v>
      </c>
      <c r="AJ1110" s="1">
        <v>5.4515000000000002</v>
      </c>
      <c r="AK1110" s="1">
        <v>44650</v>
      </c>
      <c r="AL1110" s="1">
        <v>5.6825000000000001</v>
      </c>
      <c r="AM1110" s="1">
        <v>44650</v>
      </c>
      <c r="AN1110" s="1">
        <v>5.8475000000000001</v>
      </c>
      <c r="AO1110" s="1">
        <v>44650</v>
      </c>
      <c r="AP1110" s="1">
        <v>6.0175000000000001</v>
      </c>
      <c r="AQ1110" s="1">
        <v>44650</v>
      </c>
      <c r="AR1110" s="1">
        <v>6.01</v>
      </c>
      <c r="AS1110" s="1">
        <v>44650</v>
      </c>
      <c r="AT1110" s="1">
        <v>5.8324999999999996</v>
      </c>
      <c r="AU1110" s="1">
        <v>44650</v>
      </c>
      <c r="AV1110" s="1">
        <v>5.6325000000000003</v>
      </c>
      <c r="AW1110" s="1">
        <v>44650</v>
      </c>
      <c r="AX1110" s="1">
        <v>5.43</v>
      </c>
      <c r="AY1110" s="1">
        <v>44650</v>
      </c>
      <c r="AZ1110" s="1">
        <v>5.2175000000000002</v>
      </c>
      <c r="BB1110" s="1">
        <v>44571</v>
      </c>
      <c r="BC1110" s="1">
        <v>3.75</v>
      </c>
      <c r="BD1110" s="1">
        <v>44589</v>
      </c>
      <c r="BE1110" s="1">
        <v>4.33</v>
      </c>
      <c r="BF1110" s="1">
        <v>44650</v>
      </c>
      <c r="BG1110" s="1">
        <v>5.5129999999999999</v>
      </c>
      <c r="BH1110" s="1">
        <v>44650</v>
      </c>
      <c r="BI1110" s="1">
        <v>5.673</v>
      </c>
      <c r="BJ1110" s="1">
        <v>44650</v>
      </c>
      <c r="BK1110" s="1">
        <v>5.8029999999999999</v>
      </c>
      <c r="BL1110" s="1">
        <v>44650</v>
      </c>
      <c r="BM1110" s="1">
        <v>5.8</v>
      </c>
      <c r="BN1110" s="1">
        <v>44649</v>
      </c>
      <c r="BO1110" s="1">
        <v>5.74</v>
      </c>
      <c r="BP1110" s="1">
        <v>44650</v>
      </c>
      <c r="BQ1110" s="1">
        <v>5.4429999999999996</v>
      </c>
      <c r="BR1110" s="1">
        <v>44650</v>
      </c>
      <c r="BS1110" s="1">
        <v>5.0430000000000001</v>
      </c>
      <c r="BT1110" s="1">
        <v>44650</v>
      </c>
      <c r="BU1110" s="1">
        <v>4.66</v>
      </c>
      <c r="BV1110" s="1">
        <v>44650</v>
      </c>
      <c r="BW1110" s="1">
        <v>4.33</v>
      </c>
      <c r="BY1110" s="1">
        <v>44572</v>
      </c>
      <c r="BZ1110" s="1">
        <v>2.4</v>
      </c>
      <c r="CA1110" s="1">
        <v>44581</v>
      </c>
      <c r="CB1110" s="1">
        <v>4.1900000000000004</v>
      </c>
      <c r="CC1110" s="1">
        <v>44650</v>
      </c>
      <c r="CD1110" s="1">
        <v>7.09</v>
      </c>
      <c r="CE1110" s="1">
        <v>44650</v>
      </c>
      <c r="CF1110" s="1">
        <v>7.29</v>
      </c>
      <c r="CG1110" s="1">
        <v>44650</v>
      </c>
      <c r="CH1110" s="1">
        <v>7.7</v>
      </c>
      <c r="CI1110" s="1">
        <v>44650</v>
      </c>
      <c r="CJ1110" s="1">
        <v>7.69</v>
      </c>
      <c r="CK1110" s="1">
        <v>44650</v>
      </c>
      <c r="CL1110" s="1">
        <v>7.7675000000000001</v>
      </c>
      <c r="CM1110" s="1">
        <v>44650</v>
      </c>
      <c r="CN1110" s="1">
        <v>7.71</v>
      </c>
      <c r="CO1110" s="1">
        <v>44642</v>
      </c>
      <c r="CP1110" s="1">
        <v>7.12</v>
      </c>
      <c r="CQ1110" s="1">
        <v>44642</v>
      </c>
      <c r="CR1110" s="1">
        <v>6.8449999999999998</v>
      </c>
      <c r="CS1110" s="1">
        <v>44642</v>
      </c>
      <c r="CT1110" s="1">
        <v>6.56</v>
      </c>
    </row>
    <row r="1111" spans="31:98" x14ac:dyDescent="0.2">
      <c r="AE1111" s="1">
        <v>44641</v>
      </c>
      <c r="AF1111" s="1">
        <v>3.5</v>
      </c>
      <c r="AG1111" s="1">
        <v>44589</v>
      </c>
      <c r="AH1111" s="1">
        <v>2.99</v>
      </c>
      <c r="AI1111" s="1">
        <v>44649</v>
      </c>
      <c r="AJ1111" s="1">
        <v>5.4145000000000003</v>
      </c>
      <c r="AK1111" s="1">
        <v>44649</v>
      </c>
      <c r="AL1111" s="1">
        <v>5.7060000000000004</v>
      </c>
      <c r="AM1111" s="1">
        <v>44649</v>
      </c>
      <c r="AN1111" s="1">
        <v>5.8550000000000004</v>
      </c>
      <c r="AO1111" s="1">
        <v>44649</v>
      </c>
      <c r="AP1111" s="1">
        <v>6.0549999999999997</v>
      </c>
      <c r="AQ1111" s="1">
        <v>44649</v>
      </c>
      <c r="AR1111" s="1">
        <v>6.0549999999999997</v>
      </c>
      <c r="AS1111" s="1">
        <v>44649</v>
      </c>
      <c r="AT1111" s="1">
        <v>5.8574999999999999</v>
      </c>
      <c r="AU1111" s="1">
        <v>44649</v>
      </c>
      <c r="AV1111" s="1">
        <v>5.6550000000000002</v>
      </c>
      <c r="AW1111" s="1">
        <v>44649</v>
      </c>
      <c r="AX1111" s="1">
        <v>5.4524999999999997</v>
      </c>
      <c r="AY1111" s="1">
        <v>44649</v>
      </c>
      <c r="AZ1111" s="1">
        <v>5.24</v>
      </c>
      <c r="BB1111" s="1">
        <v>44568</v>
      </c>
      <c r="BC1111" s="1">
        <v>3.75</v>
      </c>
      <c r="BD1111" s="1">
        <v>44588</v>
      </c>
      <c r="BE1111" s="1">
        <v>4.3099999999999996</v>
      </c>
      <c r="BF1111" s="1">
        <v>44649</v>
      </c>
      <c r="BG1111" s="1">
        <v>5.46</v>
      </c>
      <c r="BH1111" s="1">
        <v>44649</v>
      </c>
      <c r="BI1111" s="1">
        <v>5.68</v>
      </c>
      <c r="BJ1111" s="1">
        <v>44649</v>
      </c>
      <c r="BK1111" s="1">
        <v>5.8049999999999997</v>
      </c>
      <c r="BL1111" s="1">
        <v>44649</v>
      </c>
      <c r="BM1111" s="1">
        <v>5.8</v>
      </c>
      <c r="BN1111" s="1">
        <v>44648</v>
      </c>
      <c r="BO1111" s="1">
        <v>5.9450000000000003</v>
      </c>
      <c r="BP1111" s="1">
        <v>44649</v>
      </c>
      <c r="BQ1111" s="1">
        <v>5.5250000000000004</v>
      </c>
      <c r="BR1111" s="1">
        <v>44649</v>
      </c>
      <c r="BS1111" s="1">
        <v>5.1180000000000003</v>
      </c>
      <c r="BT1111" s="1">
        <v>44649</v>
      </c>
      <c r="BU1111" s="1">
        <v>4.7329999999999997</v>
      </c>
      <c r="BV1111" s="1">
        <v>44649</v>
      </c>
      <c r="BW1111" s="1">
        <v>4.4029999999999996</v>
      </c>
      <c r="BY1111" s="1">
        <v>44571</v>
      </c>
      <c r="BZ1111" s="1">
        <v>2.4</v>
      </c>
      <c r="CA1111" s="1">
        <v>44580</v>
      </c>
      <c r="CB1111" s="1">
        <v>4.1900000000000004</v>
      </c>
      <c r="CC1111" s="1">
        <v>44649</v>
      </c>
      <c r="CD1111" s="1">
        <v>7.0910000000000002</v>
      </c>
      <c r="CE1111" s="1">
        <v>44649</v>
      </c>
      <c r="CF1111" s="1">
        <v>7.32</v>
      </c>
      <c r="CG1111" s="1">
        <v>44649</v>
      </c>
      <c r="CH1111" s="1">
        <v>7.6037999999999997</v>
      </c>
      <c r="CI1111" s="1">
        <v>44649</v>
      </c>
      <c r="CJ1111" s="1">
        <v>7.73</v>
      </c>
      <c r="CK1111" s="1">
        <v>44649</v>
      </c>
      <c r="CL1111" s="1">
        <v>7.7812999999999999</v>
      </c>
      <c r="CM1111" s="1">
        <v>44649</v>
      </c>
      <c r="CN1111" s="1">
        <v>7.71</v>
      </c>
      <c r="CO1111" s="1">
        <v>44641</v>
      </c>
      <c r="CP1111" s="1">
        <v>6.92</v>
      </c>
      <c r="CQ1111" s="1">
        <v>44641</v>
      </c>
      <c r="CR1111" s="1">
        <v>6.67</v>
      </c>
      <c r="CS1111" s="1">
        <v>44641</v>
      </c>
      <c r="CT1111" s="1">
        <v>6.41</v>
      </c>
    </row>
    <row r="1112" spans="31:98" x14ac:dyDescent="0.2">
      <c r="AE1112" s="1">
        <v>44638</v>
      </c>
      <c r="AF1112" s="1">
        <v>3.5</v>
      </c>
      <c r="AG1112" s="1">
        <v>44588</v>
      </c>
      <c r="AH1112" s="1">
        <v>2.96</v>
      </c>
      <c r="AI1112" s="1">
        <v>44648</v>
      </c>
      <c r="AJ1112" s="1">
        <v>5.47</v>
      </c>
      <c r="AK1112" s="1">
        <v>44648</v>
      </c>
      <c r="AL1112" s="1">
        <v>5.875</v>
      </c>
      <c r="AM1112" s="1">
        <v>44648</v>
      </c>
      <c r="AN1112" s="1">
        <v>6.08</v>
      </c>
      <c r="AO1112" s="1">
        <v>44648</v>
      </c>
      <c r="AP1112" s="1">
        <v>6.2874999999999996</v>
      </c>
      <c r="AQ1112" s="1">
        <v>44648</v>
      </c>
      <c r="AR1112" s="1">
        <v>6.3174999999999999</v>
      </c>
      <c r="AS1112" s="1">
        <v>44648</v>
      </c>
      <c r="AT1112" s="1">
        <v>6.165</v>
      </c>
      <c r="AU1112" s="1">
        <v>44648</v>
      </c>
      <c r="AV1112" s="1">
        <v>5.9574999999999996</v>
      </c>
      <c r="AW1112" s="1">
        <v>44648</v>
      </c>
      <c r="AX1112" s="1">
        <v>5.7474999999999996</v>
      </c>
      <c r="AY1112" s="1">
        <v>44648</v>
      </c>
      <c r="AZ1112" s="1">
        <v>5.5475000000000003</v>
      </c>
      <c r="BB1112" s="1">
        <v>44567</v>
      </c>
      <c r="BC1112" s="1">
        <v>3.75</v>
      </c>
      <c r="BD1112" s="1">
        <v>44587</v>
      </c>
      <c r="BE1112" s="1">
        <v>4.29</v>
      </c>
      <c r="BF1112" s="1">
        <v>44648</v>
      </c>
      <c r="BG1112" s="1">
        <v>5.5</v>
      </c>
      <c r="BH1112" s="1">
        <v>44648</v>
      </c>
      <c r="BI1112" s="1">
        <v>5.77</v>
      </c>
      <c r="BJ1112" s="1">
        <v>44648</v>
      </c>
      <c r="BK1112" s="1">
        <v>5.93</v>
      </c>
      <c r="BL1112" s="1">
        <v>44648</v>
      </c>
      <c r="BM1112" s="1">
        <v>5.968</v>
      </c>
      <c r="BN1112" s="1">
        <v>44645</v>
      </c>
      <c r="BO1112" s="1">
        <v>5.9580000000000002</v>
      </c>
      <c r="BP1112" s="1">
        <v>44648</v>
      </c>
      <c r="BQ1112" s="1">
        <v>5.7030000000000003</v>
      </c>
      <c r="BR1112" s="1">
        <v>44648</v>
      </c>
      <c r="BS1112" s="1">
        <v>5.3</v>
      </c>
      <c r="BT1112" s="1">
        <v>44648</v>
      </c>
      <c r="BU1112" s="1">
        <v>4.9180000000000001</v>
      </c>
      <c r="BV1112" s="1">
        <v>44648</v>
      </c>
      <c r="BW1112" s="1">
        <v>4.585</v>
      </c>
      <c r="BY1112" s="1">
        <v>44568</v>
      </c>
      <c r="BZ1112" s="1">
        <v>2.4</v>
      </c>
      <c r="CA1112" s="1">
        <v>44579</v>
      </c>
      <c r="CB1112" s="1">
        <v>4.1900000000000004</v>
      </c>
      <c r="CC1112" s="1">
        <v>44648</v>
      </c>
      <c r="CD1112" s="1">
        <v>7.16</v>
      </c>
      <c r="CE1112" s="1">
        <v>44648</v>
      </c>
      <c r="CF1112" s="1">
        <v>7.42</v>
      </c>
      <c r="CG1112" s="1">
        <v>44648</v>
      </c>
      <c r="CH1112" s="1">
        <v>7.8</v>
      </c>
      <c r="CI1112" s="1">
        <v>44648</v>
      </c>
      <c r="CJ1112" s="1">
        <v>8.02</v>
      </c>
      <c r="CK1112" s="1">
        <v>44648</v>
      </c>
      <c r="CL1112" s="1">
        <v>8.0299999999999994</v>
      </c>
      <c r="CM1112" s="1">
        <v>44648</v>
      </c>
      <c r="CN1112" s="1">
        <v>7.8949999999999996</v>
      </c>
      <c r="CO1112" s="1">
        <v>44638</v>
      </c>
      <c r="CP1112" s="1">
        <v>6.61</v>
      </c>
      <c r="CQ1112" s="1">
        <v>44638</v>
      </c>
      <c r="CR1112" s="1">
        <v>6.27</v>
      </c>
      <c r="CS1112" s="1">
        <v>44638</v>
      </c>
      <c r="CT1112" s="1">
        <v>5.91</v>
      </c>
    </row>
    <row r="1113" spans="31:98" x14ac:dyDescent="0.2">
      <c r="AE1113" s="1">
        <v>44637</v>
      </c>
      <c r="AF1113" s="1">
        <v>3.5</v>
      </c>
      <c r="AG1113" s="1">
        <v>44587</v>
      </c>
      <c r="AH1113" s="1">
        <v>2.94</v>
      </c>
      <c r="AI1113" s="1">
        <v>44645</v>
      </c>
      <c r="AJ1113" s="1">
        <v>5.3975</v>
      </c>
      <c r="AK1113" s="1">
        <v>44645</v>
      </c>
      <c r="AL1113" s="1">
        <v>5.8125</v>
      </c>
      <c r="AM1113" s="1">
        <v>44645</v>
      </c>
      <c r="AN1113" s="1">
        <v>6.0025000000000004</v>
      </c>
      <c r="AO1113" s="1">
        <v>44645</v>
      </c>
      <c r="AP1113" s="1">
        <v>6.2249999999999996</v>
      </c>
      <c r="AQ1113" s="1">
        <v>44645</v>
      </c>
      <c r="AR1113" s="1">
        <v>6.2324999999999999</v>
      </c>
      <c r="AS1113" s="1">
        <v>44645</v>
      </c>
      <c r="AT1113" s="1">
        <v>6.1025</v>
      </c>
      <c r="AU1113" s="1">
        <v>44645</v>
      </c>
      <c r="AV1113" s="1">
        <v>5.8925000000000001</v>
      </c>
      <c r="AW1113" s="1">
        <v>44645</v>
      </c>
      <c r="AX1113" s="1">
        <v>5.6825000000000001</v>
      </c>
      <c r="AY1113" s="1">
        <v>44645</v>
      </c>
      <c r="AZ1113" s="1">
        <v>5.4824999999999999</v>
      </c>
      <c r="BB1113" s="1">
        <v>44566</v>
      </c>
      <c r="BC1113" s="1">
        <v>3.75</v>
      </c>
      <c r="BD1113" s="1">
        <v>44586</v>
      </c>
      <c r="BE1113" s="1">
        <v>4.28</v>
      </c>
      <c r="BF1113" s="1">
        <v>44645</v>
      </c>
      <c r="BG1113" s="1">
        <v>5.51</v>
      </c>
      <c r="BH1113" s="1">
        <v>44645</v>
      </c>
      <c r="BI1113" s="1">
        <v>5.75</v>
      </c>
      <c r="BJ1113" s="1">
        <v>44645</v>
      </c>
      <c r="BK1113" s="1">
        <v>5.91</v>
      </c>
      <c r="BL1113" s="1">
        <v>44645</v>
      </c>
      <c r="BM1113" s="1">
        <v>5.9779999999999998</v>
      </c>
      <c r="BN1113" s="1">
        <v>44644</v>
      </c>
      <c r="BO1113" s="1">
        <v>5.97</v>
      </c>
      <c r="BP1113" s="1">
        <v>44645</v>
      </c>
      <c r="BQ1113" s="1">
        <v>5.7249999999999996</v>
      </c>
      <c r="BR1113" s="1">
        <v>44645</v>
      </c>
      <c r="BS1113" s="1">
        <v>5.335</v>
      </c>
      <c r="BT1113" s="1">
        <v>44645</v>
      </c>
      <c r="BU1113" s="1">
        <v>4.875</v>
      </c>
      <c r="BV1113" s="1">
        <v>44645</v>
      </c>
      <c r="BW1113" s="1">
        <v>4.593</v>
      </c>
      <c r="BY1113" s="1">
        <v>44567</v>
      </c>
      <c r="BZ1113" s="1">
        <v>2.4</v>
      </c>
      <c r="CA1113" s="1">
        <v>44578</v>
      </c>
      <c r="CB1113" s="1">
        <v>4.1900000000000004</v>
      </c>
      <c r="CC1113" s="1">
        <v>44645</v>
      </c>
      <c r="CD1113" s="1">
        <v>7.15</v>
      </c>
      <c r="CE1113" s="1">
        <v>44645</v>
      </c>
      <c r="CF1113" s="1">
        <v>7.38</v>
      </c>
      <c r="CG1113" s="1">
        <v>44645</v>
      </c>
      <c r="CH1113" s="1">
        <v>7.73</v>
      </c>
      <c r="CI1113" s="1">
        <v>44645</v>
      </c>
      <c r="CJ1113" s="1">
        <v>7.96</v>
      </c>
      <c r="CK1113" s="1">
        <v>44645</v>
      </c>
      <c r="CL1113" s="1">
        <v>7.96</v>
      </c>
      <c r="CM1113" s="1">
        <v>44645</v>
      </c>
      <c r="CN1113" s="1">
        <v>7.7949999999999999</v>
      </c>
      <c r="CO1113" s="1">
        <v>44637</v>
      </c>
      <c r="CP1113" s="1">
        <v>6.59</v>
      </c>
      <c r="CQ1113" s="1">
        <v>44637</v>
      </c>
      <c r="CR1113" s="1">
        <v>6.25</v>
      </c>
      <c r="CS1113" s="1">
        <v>44637</v>
      </c>
      <c r="CT1113" s="1">
        <v>5.89</v>
      </c>
    </row>
    <row r="1114" spans="31:98" x14ac:dyDescent="0.2">
      <c r="AE1114" s="1">
        <v>44636</v>
      </c>
      <c r="AF1114" s="1">
        <v>3.5</v>
      </c>
      <c r="AG1114" s="1">
        <v>44586</v>
      </c>
      <c r="AH1114" s="1">
        <v>2.91</v>
      </c>
      <c r="AI1114" s="1">
        <v>44644</v>
      </c>
      <c r="AJ1114" s="1">
        <v>5.3334999999999999</v>
      </c>
      <c r="AK1114" s="1">
        <v>44644</v>
      </c>
      <c r="AL1114" s="1">
        <v>5.7225000000000001</v>
      </c>
      <c r="AM1114" s="1">
        <v>44644</v>
      </c>
      <c r="AN1114" s="1">
        <v>5.9550000000000001</v>
      </c>
      <c r="AO1114" s="1">
        <v>44644</v>
      </c>
      <c r="AP1114" s="1">
        <v>6.15</v>
      </c>
      <c r="AQ1114" s="1">
        <v>44644</v>
      </c>
      <c r="AR1114" s="1">
        <v>6.1675000000000004</v>
      </c>
      <c r="AS1114" s="1">
        <v>44644</v>
      </c>
      <c r="AT1114" s="1">
        <v>6.0374999999999996</v>
      </c>
      <c r="AU1114" s="1">
        <v>44644</v>
      </c>
      <c r="AV1114" s="1">
        <v>5.8274999999999997</v>
      </c>
      <c r="AW1114" s="1">
        <v>44644</v>
      </c>
      <c r="AX1114" s="1">
        <v>5.6174999999999997</v>
      </c>
      <c r="AY1114" s="1">
        <v>44644</v>
      </c>
      <c r="AZ1114" s="1">
        <v>5.4175000000000004</v>
      </c>
      <c r="BB1114" s="1">
        <v>44564</v>
      </c>
      <c r="BC1114" s="1">
        <v>3.75</v>
      </c>
      <c r="BD1114" s="1">
        <v>44585</v>
      </c>
      <c r="BE1114" s="1">
        <v>4.26</v>
      </c>
      <c r="BF1114" s="1">
        <v>44644</v>
      </c>
      <c r="BG1114" s="1">
        <v>5.52</v>
      </c>
      <c r="BH1114" s="1">
        <v>44644</v>
      </c>
      <c r="BI1114" s="1">
        <v>5.7249999999999996</v>
      </c>
      <c r="BJ1114" s="1">
        <v>44644</v>
      </c>
      <c r="BK1114" s="1">
        <v>5.9</v>
      </c>
      <c r="BL1114" s="1">
        <v>44644</v>
      </c>
      <c r="BM1114" s="1">
        <v>5.98</v>
      </c>
      <c r="BN1114" s="1">
        <v>44643</v>
      </c>
      <c r="BO1114" s="1">
        <v>5.8949999999999996</v>
      </c>
      <c r="BP1114" s="1">
        <v>44644</v>
      </c>
      <c r="BQ1114" s="1">
        <v>5.7450000000000001</v>
      </c>
      <c r="BR1114" s="1">
        <v>44644</v>
      </c>
      <c r="BS1114" s="1">
        <v>5.4349999999999996</v>
      </c>
      <c r="BT1114" s="1">
        <v>44644</v>
      </c>
      <c r="BU1114" s="1">
        <v>4.9349999999999996</v>
      </c>
      <c r="BV1114" s="1">
        <v>44644</v>
      </c>
      <c r="BW1114" s="1">
        <v>4.68</v>
      </c>
      <c r="BY1114" s="1">
        <v>44566</v>
      </c>
      <c r="BZ1114" s="1">
        <v>2.4</v>
      </c>
      <c r="CA1114" s="1">
        <v>44575</v>
      </c>
      <c r="CB1114" s="1">
        <v>4.1900000000000004</v>
      </c>
      <c r="CC1114" s="1">
        <v>44644</v>
      </c>
      <c r="CD1114" s="1">
        <v>7.12</v>
      </c>
      <c r="CE1114" s="1">
        <v>44644</v>
      </c>
      <c r="CF1114" s="1">
        <v>7.4850000000000003</v>
      </c>
      <c r="CG1114" s="1">
        <v>44644</v>
      </c>
      <c r="CH1114" s="1">
        <v>7.81</v>
      </c>
      <c r="CI1114" s="1">
        <v>44644</v>
      </c>
      <c r="CJ1114" s="1">
        <v>8</v>
      </c>
      <c r="CK1114" s="1">
        <v>44644</v>
      </c>
      <c r="CL1114" s="1">
        <v>8.02</v>
      </c>
      <c r="CM1114" s="1">
        <v>44644</v>
      </c>
      <c r="CN1114" s="1">
        <v>7.7850000000000001</v>
      </c>
      <c r="CO1114" s="1">
        <v>44636</v>
      </c>
      <c r="CP1114" s="1">
        <v>6.79</v>
      </c>
      <c r="CQ1114" s="1">
        <v>44636</v>
      </c>
      <c r="CR1114" s="1">
        <v>6.44</v>
      </c>
      <c r="CS1114" s="1">
        <v>44636</v>
      </c>
      <c r="CT1114" s="1">
        <v>6.07</v>
      </c>
    </row>
    <row r="1115" spans="31:98" x14ac:dyDescent="0.2">
      <c r="AE1115" s="1">
        <v>44635</v>
      </c>
      <c r="AF1115" s="1">
        <v>3.5</v>
      </c>
      <c r="AG1115" s="1">
        <v>44585</v>
      </c>
      <c r="AH1115" s="1">
        <v>2.89</v>
      </c>
      <c r="AI1115" s="1">
        <v>44643</v>
      </c>
      <c r="AJ1115" s="1">
        <v>5.3014999999999999</v>
      </c>
      <c r="AK1115" s="1">
        <v>44643</v>
      </c>
      <c r="AL1115" s="1">
        <v>5.69</v>
      </c>
      <c r="AM1115" s="1">
        <v>44643</v>
      </c>
      <c r="AN1115" s="1">
        <v>5.9</v>
      </c>
      <c r="AO1115" s="1">
        <v>44643</v>
      </c>
      <c r="AP1115" s="1">
        <v>6.1</v>
      </c>
      <c r="AQ1115" s="1">
        <v>44643</v>
      </c>
      <c r="AR1115" s="1">
        <v>6.1150000000000002</v>
      </c>
      <c r="AS1115" s="1">
        <v>44643</v>
      </c>
      <c r="AT1115" s="1">
        <v>5.99</v>
      </c>
      <c r="AU1115" s="1">
        <v>44643</v>
      </c>
      <c r="AV1115" s="1">
        <v>5.78</v>
      </c>
      <c r="AW1115" s="1">
        <v>44643</v>
      </c>
      <c r="AX1115" s="1">
        <v>5.57</v>
      </c>
      <c r="AY1115" s="1">
        <v>44643</v>
      </c>
      <c r="AZ1115" s="1">
        <v>5.37</v>
      </c>
      <c r="BB1115" s="1">
        <v>44561</v>
      </c>
      <c r="BC1115" s="1">
        <v>3.75</v>
      </c>
      <c r="BD1115" s="1">
        <v>44582</v>
      </c>
      <c r="BE1115" s="1">
        <v>4.25</v>
      </c>
      <c r="BF1115" s="1">
        <v>44643</v>
      </c>
      <c r="BG1115" s="1">
        <v>5.4450000000000003</v>
      </c>
      <c r="BH1115" s="1">
        <v>44643</v>
      </c>
      <c r="BI1115" s="1">
        <v>5.6230000000000002</v>
      </c>
      <c r="BJ1115" s="1">
        <v>44643</v>
      </c>
      <c r="BK1115" s="1">
        <v>5.8079999999999998</v>
      </c>
      <c r="BL1115" s="1">
        <v>44643</v>
      </c>
      <c r="BM1115" s="1">
        <v>5.9</v>
      </c>
      <c r="BN1115" s="1">
        <v>44642</v>
      </c>
      <c r="BO1115" s="1">
        <v>5.68</v>
      </c>
      <c r="BP1115" s="1">
        <v>44643</v>
      </c>
      <c r="BQ1115" s="1">
        <v>5.6150000000000002</v>
      </c>
      <c r="BR1115" s="1">
        <v>44643</v>
      </c>
      <c r="BS1115" s="1">
        <v>5.3150000000000004</v>
      </c>
      <c r="BT1115" s="1">
        <v>44643</v>
      </c>
      <c r="BU1115" s="1">
        <v>4.8550000000000004</v>
      </c>
      <c r="BV1115" s="1">
        <v>44643</v>
      </c>
      <c r="BW1115" s="1">
        <v>4.593</v>
      </c>
      <c r="BY1115" s="1">
        <v>44565</v>
      </c>
      <c r="BZ1115" s="1">
        <v>2.4</v>
      </c>
      <c r="CA1115" s="1">
        <v>44574</v>
      </c>
      <c r="CB1115" s="1">
        <v>4.22</v>
      </c>
      <c r="CC1115" s="1">
        <v>44643</v>
      </c>
      <c r="CD1115" s="1">
        <v>7.22</v>
      </c>
      <c r="CE1115" s="1">
        <v>44643</v>
      </c>
      <c r="CF1115" s="1">
        <v>7.6</v>
      </c>
      <c r="CG1115" s="1">
        <v>44643</v>
      </c>
      <c r="CH1115" s="1">
        <v>7.8</v>
      </c>
      <c r="CI1115" s="1">
        <v>44643</v>
      </c>
      <c r="CJ1115" s="1">
        <v>7.9</v>
      </c>
      <c r="CK1115" s="1">
        <v>44643</v>
      </c>
      <c r="CL1115" s="1">
        <v>7.88</v>
      </c>
      <c r="CM1115" s="1">
        <v>44643</v>
      </c>
      <c r="CN1115" s="1">
        <v>7.6349999999999998</v>
      </c>
      <c r="CO1115" s="1">
        <v>44631</v>
      </c>
      <c r="CP1115" s="1">
        <v>6.84</v>
      </c>
      <c r="CQ1115" s="1">
        <v>44631</v>
      </c>
      <c r="CR1115" s="1">
        <v>6.45</v>
      </c>
      <c r="CS1115" s="1">
        <v>44631</v>
      </c>
      <c r="CT1115" s="1">
        <v>6.06</v>
      </c>
    </row>
    <row r="1116" spans="31:98" x14ac:dyDescent="0.2">
      <c r="AE1116" s="1">
        <v>44634</v>
      </c>
      <c r="AF1116" s="1">
        <v>3.5</v>
      </c>
      <c r="AG1116" s="1">
        <v>44582</v>
      </c>
      <c r="AH1116" s="1">
        <v>2.85</v>
      </c>
      <c r="AI1116" s="1">
        <v>44642</v>
      </c>
      <c r="AJ1116" s="1">
        <v>5.2945000000000002</v>
      </c>
      <c r="AK1116" s="1">
        <v>44642</v>
      </c>
      <c r="AL1116" s="1">
        <v>5.665</v>
      </c>
      <c r="AM1116" s="1">
        <v>44642</v>
      </c>
      <c r="AN1116" s="1">
        <v>5.915</v>
      </c>
      <c r="AO1116" s="1">
        <v>44642</v>
      </c>
      <c r="AP1116" s="1">
        <v>6.085</v>
      </c>
      <c r="AQ1116" s="1">
        <v>44642</v>
      </c>
      <c r="AR1116" s="1">
        <v>6.1150000000000002</v>
      </c>
      <c r="AS1116" s="1">
        <v>44642</v>
      </c>
      <c r="AT1116" s="1">
        <v>5.93</v>
      </c>
      <c r="AU1116" s="1">
        <v>44642</v>
      </c>
      <c r="AV1116" s="1">
        <v>5.73</v>
      </c>
      <c r="AW1116" s="1">
        <v>44642</v>
      </c>
      <c r="AX1116" s="1">
        <v>5.53</v>
      </c>
      <c r="AY1116" s="1">
        <v>44642</v>
      </c>
      <c r="AZ1116" s="1">
        <v>5.33</v>
      </c>
      <c r="BB1116" s="1">
        <v>44560</v>
      </c>
      <c r="BC1116" s="1">
        <v>3.75</v>
      </c>
      <c r="BD1116" s="1">
        <v>44581</v>
      </c>
      <c r="BE1116" s="1">
        <v>4.24</v>
      </c>
      <c r="BF1116" s="1">
        <v>44642</v>
      </c>
      <c r="BG1116" s="1">
        <v>5.4</v>
      </c>
      <c r="BH1116" s="1">
        <v>44642</v>
      </c>
      <c r="BI1116" s="1">
        <v>5.5579999999999998</v>
      </c>
      <c r="BJ1116" s="1">
        <v>44642</v>
      </c>
      <c r="BK1116" s="1">
        <v>5.62</v>
      </c>
      <c r="BL1116" s="1">
        <v>44642</v>
      </c>
      <c r="BM1116" s="1">
        <v>5.71</v>
      </c>
      <c r="BN1116" s="1">
        <v>44641</v>
      </c>
      <c r="BO1116" s="1">
        <v>5.335</v>
      </c>
      <c r="BP1116" s="1">
        <v>44642</v>
      </c>
      <c r="BQ1116" s="1">
        <v>5.3879999999999999</v>
      </c>
      <c r="BR1116" s="1">
        <v>44642</v>
      </c>
      <c r="BS1116" s="1">
        <v>5.0449999999999999</v>
      </c>
      <c r="BT1116" s="1">
        <v>44642</v>
      </c>
      <c r="BU1116" s="1">
        <v>4.673</v>
      </c>
      <c r="BV1116" s="1">
        <v>44642</v>
      </c>
      <c r="BW1116" s="1">
        <v>4.4379999999999997</v>
      </c>
      <c r="BY1116" s="1">
        <v>44561</v>
      </c>
      <c r="BZ1116" s="1">
        <v>2.4</v>
      </c>
      <c r="CA1116" s="1">
        <v>44573</v>
      </c>
      <c r="CB1116" s="1">
        <v>4.24</v>
      </c>
      <c r="CC1116" s="1">
        <v>44642</v>
      </c>
      <c r="CD1116" s="1">
        <v>7.1749999999999998</v>
      </c>
      <c r="CE1116" s="1">
        <v>44642</v>
      </c>
      <c r="CF1116" s="1">
        <v>7.5</v>
      </c>
      <c r="CG1116" s="1">
        <v>44642</v>
      </c>
      <c r="CH1116" s="1">
        <v>7.81</v>
      </c>
      <c r="CI1116" s="1">
        <v>44642</v>
      </c>
      <c r="CJ1116" s="1">
        <v>7.81</v>
      </c>
      <c r="CK1116" s="1">
        <v>44642</v>
      </c>
      <c r="CL1116" s="1">
        <v>7.67</v>
      </c>
      <c r="CM1116" s="1">
        <v>44642</v>
      </c>
      <c r="CN1116" s="1">
        <v>7.3949999999999996</v>
      </c>
      <c r="CO1116" s="1">
        <v>44630</v>
      </c>
      <c r="CP1116" s="1">
        <v>6.73</v>
      </c>
      <c r="CQ1116" s="1">
        <v>44630</v>
      </c>
      <c r="CR1116" s="1">
        <v>6.35</v>
      </c>
      <c r="CS1116" s="1">
        <v>44630</v>
      </c>
      <c r="CT1116" s="1">
        <v>5.96</v>
      </c>
    </row>
    <row r="1117" spans="31:98" x14ac:dyDescent="0.2">
      <c r="AE1117" s="1">
        <v>44631</v>
      </c>
      <c r="AF1117" s="1">
        <v>3.5</v>
      </c>
      <c r="AG1117" s="1">
        <v>44581</v>
      </c>
      <c r="AH1117" s="1">
        <v>2.83</v>
      </c>
      <c r="AI1117" s="1">
        <v>44641</v>
      </c>
      <c r="AJ1117" s="1">
        <v>5.21</v>
      </c>
      <c r="AK1117" s="1">
        <v>44641</v>
      </c>
      <c r="AL1117" s="1">
        <v>5.59</v>
      </c>
      <c r="AM1117" s="1">
        <v>44641</v>
      </c>
      <c r="AN1117" s="1">
        <v>5.8150000000000004</v>
      </c>
      <c r="AO1117" s="1">
        <v>44641</v>
      </c>
      <c r="AP1117" s="1">
        <v>5.9249999999999998</v>
      </c>
      <c r="AQ1117" s="1">
        <v>44641</v>
      </c>
      <c r="AR1117" s="1">
        <v>5.93</v>
      </c>
      <c r="AS1117" s="1">
        <v>44641</v>
      </c>
      <c r="AT1117" s="1">
        <v>5.7549999999999999</v>
      </c>
      <c r="AU1117" s="1">
        <v>44641</v>
      </c>
      <c r="AV1117" s="1">
        <v>5.5549999999999997</v>
      </c>
      <c r="AW1117" s="1">
        <v>44641</v>
      </c>
      <c r="AX1117" s="1">
        <v>5.3550000000000004</v>
      </c>
      <c r="AY1117" s="1">
        <v>44641</v>
      </c>
      <c r="AZ1117" s="1">
        <v>5.16</v>
      </c>
      <c r="BB1117" s="1">
        <v>44559</v>
      </c>
      <c r="BC1117" s="1">
        <v>3.75</v>
      </c>
      <c r="BD1117" s="1">
        <v>44580</v>
      </c>
      <c r="BE1117" s="1">
        <v>4.24</v>
      </c>
      <c r="BF1117" s="1">
        <v>44641</v>
      </c>
      <c r="BG1117" s="1">
        <v>5.2149999999999999</v>
      </c>
      <c r="BH1117" s="1">
        <v>44641</v>
      </c>
      <c r="BI1117" s="1">
        <v>5.3550000000000004</v>
      </c>
      <c r="BJ1117" s="1">
        <v>44641</v>
      </c>
      <c r="BK1117" s="1">
        <v>5.3879999999999999</v>
      </c>
      <c r="BL1117" s="1">
        <v>44641</v>
      </c>
      <c r="BM1117" s="1">
        <v>5.41</v>
      </c>
      <c r="BN1117" s="1">
        <v>44638</v>
      </c>
      <c r="BO1117" s="1">
        <v>5.3029999999999999</v>
      </c>
      <c r="BP1117" s="1">
        <v>44641</v>
      </c>
      <c r="BQ1117" s="1">
        <v>5.0199999999999996</v>
      </c>
      <c r="BR1117" s="1">
        <v>44641</v>
      </c>
      <c r="BS1117" s="1">
        <v>4.6849999999999996</v>
      </c>
      <c r="BT1117" s="1">
        <v>44641</v>
      </c>
      <c r="BU1117" s="1">
        <v>4.2949999999999999</v>
      </c>
      <c r="BV1117" s="1">
        <v>44641</v>
      </c>
      <c r="BW1117" s="1">
        <v>4.04</v>
      </c>
      <c r="BY1117" s="1">
        <v>44560</v>
      </c>
      <c r="BZ1117" s="1">
        <v>2.4</v>
      </c>
      <c r="CA1117" s="1">
        <v>44572</v>
      </c>
      <c r="CB1117" s="1">
        <v>4.25</v>
      </c>
      <c r="CC1117" s="1">
        <v>44641</v>
      </c>
      <c r="CD1117" s="1">
        <v>7.17</v>
      </c>
      <c r="CE1117" s="1">
        <v>44641</v>
      </c>
      <c r="CF1117" s="1">
        <v>7.5</v>
      </c>
      <c r="CG1117" s="1">
        <v>44641</v>
      </c>
      <c r="CH1117" s="1">
        <v>7.71</v>
      </c>
      <c r="CI1117" s="1">
        <v>44641</v>
      </c>
      <c r="CJ1117" s="1">
        <v>7.59</v>
      </c>
      <c r="CK1117" s="1">
        <v>44641</v>
      </c>
      <c r="CL1117" s="1">
        <v>7.45</v>
      </c>
      <c r="CM1117" s="1">
        <v>44641</v>
      </c>
      <c r="CN1117" s="1">
        <v>7.17</v>
      </c>
      <c r="CO1117" s="1">
        <v>44629</v>
      </c>
      <c r="CP1117" s="1">
        <v>6.65</v>
      </c>
      <c r="CQ1117" s="1">
        <v>44629</v>
      </c>
      <c r="CR1117" s="1">
        <v>6.32</v>
      </c>
      <c r="CS1117" s="1">
        <v>44629</v>
      </c>
      <c r="CT1117" s="1">
        <v>5.92</v>
      </c>
    </row>
    <row r="1118" spans="31:98" x14ac:dyDescent="0.2">
      <c r="AE1118" s="1">
        <v>44630</v>
      </c>
      <c r="AF1118" s="1">
        <v>3.5</v>
      </c>
      <c r="AG1118" s="1">
        <v>44580</v>
      </c>
      <c r="AH1118" s="1">
        <v>2.81</v>
      </c>
      <c r="AI1118" s="1">
        <v>44638</v>
      </c>
      <c r="AJ1118" s="1">
        <v>5.13</v>
      </c>
      <c r="AK1118" s="1">
        <v>44638</v>
      </c>
      <c r="AL1118" s="1">
        <v>5.54</v>
      </c>
      <c r="AM1118" s="1">
        <v>44638</v>
      </c>
      <c r="AN1118" s="1">
        <v>5.73</v>
      </c>
      <c r="AO1118" s="1">
        <v>44638</v>
      </c>
      <c r="AP1118" s="1">
        <v>5.82</v>
      </c>
      <c r="AQ1118" s="1">
        <v>44638</v>
      </c>
      <c r="AR1118" s="1">
        <v>5.8250000000000002</v>
      </c>
      <c r="AS1118" s="1">
        <v>44638</v>
      </c>
      <c r="AT1118" s="1">
        <v>5.65</v>
      </c>
      <c r="AU1118" s="1">
        <v>44638</v>
      </c>
      <c r="AV1118" s="1">
        <v>5.4450000000000003</v>
      </c>
      <c r="AW1118" s="1">
        <v>44638</v>
      </c>
      <c r="AX1118" s="1">
        <v>5.25</v>
      </c>
      <c r="AY1118" s="1">
        <v>44638</v>
      </c>
      <c r="AZ1118" s="1">
        <v>5.0650000000000004</v>
      </c>
      <c r="BB1118" s="1">
        <v>44558</v>
      </c>
      <c r="BC1118" s="1">
        <v>3.75</v>
      </c>
      <c r="BD1118" s="1">
        <v>44579</v>
      </c>
      <c r="BE1118" s="1">
        <v>4.2300000000000004</v>
      </c>
      <c r="BF1118" s="1">
        <v>44638</v>
      </c>
      <c r="BG1118" s="1">
        <v>5.18</v>
      </c>
      <c r="BH1118" s="1">
        <v>44638</v>
      </c>
      <c r="BI1118" s="1">
        <v>5.31</v>
      </c>
      <c r="BJ1118" s="1">
        <v>44638</v>
      </c>
      <c r="BK1118" s="1">
        <v>5.335</v>
      </c>
      <c r="BL1118" s="1">
        <v>44638</v>
      </c>
      <c r="BM1118" s="1">
        <v>5.3630000000000004</v>
      </c>
      <c r="BN1118" s="1">
        <v>44637</v>
      </c>
      <c r="BO1118" s="1">
        <v>5.32</v>
      </c>
      <c r="BP1118" s="1">
        <v>44638</v>
      </c>
      <c r="BQ1118" s="1">
        <v>4.9580000000000002</v>
      </c>
      <c r="BR1118" s="1">
        <v>44638</v>
      </c>
      <c r="BS1118" s="1">
        <v>4.6029999999999998</v>
      </c>
      <c r="BT1118" s="1">
        <v>44638</v>
      </c>
      <c r="BU1118" s="1">
        <v>4.2930000000000001</v>
      </c>
      <c r="BV1118" s="1">
        <v>44638</v>
      </c>
      <c r="BW1118" s="1">
        <v>4.0279999999999996</v>
      </c>
      <c r="BY1118" s="1">
        <v>44558</v>
      </c>
      <c r="BZ1118" s="1">
        <v>2.4</v>
      </c>
      <c r="CA1118" s="1">
        <v>44571</v>
      </c>
      <c r="CB1118" s="1">
        <v>4.25</v>
      </c>
      <c r="CC1118" s="1">
        <v>44638</v>
      </c>
      <c r="CD1118" s="1">
        <v>7.18</v>
      </c>
      <c r="CE1118" s="1">
        <v>44638</v>
      </c>
      <c r="CF1118" s="1">
        <v>7.4349999999999996</v>
      </c>
      <c r="CG1118" s="1">
        <v>44638</v>
      </c>
      <c r="CH1118" s="1">
        <v>7.58</v>
      </c>
      <c r="CI1118" s="1">
        <v>44638</v>
      </c>
      <c r="CJ1118" s="1">
        <v>7.46</v>
      </c>
      <c r="CK1118" s="1">
        <v>44638</v>
      </c>
      <c r="CL1118" s="1">
        <v>7.4</v>
      </c>
      <c r="CM1118" s="1">
        <v>44638</v>
      </c>
      <c r="CN1118" s="1">
        <v>6.95</v>
      </c>
      <c r="CO1118" s="1">
        <v>44628</v>
      </c>
      <c r="CP1118" s="1">
        <v>6.82</v>
      </c>
      <c r="CQ1118" s="1">
        <v>44628</v>
      </c>
      <c r="CR1118" s="1">
        <v>6.47</v>
      </c>
      <c r="CS1118" s="1">
        <v>44628</v>
      </c>
      <c r="CT1118" s="1">
        <v>6.01</v>
      </c>
    </row>
    <row r="1119" spans="31:98" x14ac:dyDescent="0.2">
      <c r="AE1119" s="1">
        <v>44629</v>
      </c>
      <c r="AF1119" s="1">
        <v>3.5</v>
      </c>
      <c r="AG1119" s="1">
        <v>44579</v>
      </c>
      <c r="AH1119" s="1">
        <v>2.8</v>
      </c>
      <c r="AI1119" s="1">
        <v>44637</v>
      </c>
      <c r="AJ1119" s="1">
        <v>5.1319999999999997</v>
      </c>
      <c r="AK1119" s="1">
        <v>44637</v>
      </c>
      <c r="AL1119" s="1">
        <v>5.53</v>
      </c>
      <c r="AM1119" s="1">
        <v>44637</v>
      </c>
      <c r="AN1119" s="1">
        <v>5.73</v>
      </c>
      <c r="AO1119" s="1">
        <v>44637</v>
      </c>
      <c r="AP1119" s="1">
        <v>5.82</v>
      </c>
      <c r="AQ1119" s="1">
        <v>44637</v>
      </c>
      <c r="AR1119" s="1">
        <v>5.82</v>
      </c>
      <c r="AS1119" s="1">
        <v>44637</v>
      </c>
      <c r="AT1119" s="1">
        <v>5.62</v>
      </c>
      <c r="AU1119" s="1">
        <v>44637</v>
      </c>
      <c r="AV1119" s="1">
        <v>5.415</v>
      </c>
      <c r="AW1119" s="1">
        <v>44637</v>
      </c>
      <c r="AX1119" s="1">
        <v>5.22</v>
      </c>
      <c r="AY1119" s="1">
        <v>44637</v>
      </c>
      <c r="AZ1119" s="1">
        <v>5.0350000000000001</v>
      </c>
      <c r="BB1119" s="1">
        <v>44557</v>
      </c>
      <c r="BC1119" s="1">
        <v>3.75</v>
      </c>
      <c r="BD1119" s="1">
        <v>44578</v>
      </c>
      <c r="BE1119" s="1">
        <v>4.2300000000000004</v>
      </c>
      <c r="BF1119" s="1">
        <v>44637</v>
      </c>
      <c r="BG1119" s="1">
        <v>5.19</v>
      </c>
      <c r="BH1119" s="1">
        <v>44637</v>
      </c>
      <c r="BI1119" s="1">
        <v>5.3150000000000004</v>
      </c>
      <c r="BJ1119" s="1">
        <v>44637</v>
      </c>
      <c r="BK1119" s="1">
        <v>5.3449999999999998</v>
      </c>
      <c r="BL1119" s="1">
        <v>44637</v>
      </c>
      <c r="BM1119" s="1">
        <v>5.375</v>
      </c>
      <c r="BN1119" s="1">
        <v>44636</v>
      </c>
      <c r="BO1119" s="1">
        <v>5.3230000000000004</v>
      </c>
      <c r="BP1119" s="1">
        <v>44637</v>
      </c>
      <c r="BQ1119" s="1">
        <v>4.9649999999999999</v>
      </c>
      <c r="BR1119" s="1">
        <v>44637</v>
      </c>
      <c r="BS1119" s="1">
        <v>4.6500000000000004</v>
      </c>
      <c r="BT1119" s="1">
        <v>44637</v>
      </c>
      <c r="BU1119" s="1">
        <v>4.3600000000000003</v>
      </c>
      <c r="BV1119" s="1">
        <v>44637</v>
      </c>
      <c r="BW1119" s="1">
        <v>4.125</v>
      </c>
      <c r="BY1119" s="1">
        <v>44557</v>
      </c>
      <c r="BZ1119" s="1">
        <v>2.4</v>
      </c>
      <c r="CA1119" s="1">
        <v>44568</v>
      </c>
      <c r="CB1119" s="1">
        <v>4.26</v>
      </c>
      <c r="CC1119" s="1">
        <v>44637</v>
      </c>
      <c r="CD1119" s="1">
        <v>7.18</v>
      </c>
      <c r="CE1119" s="1">
        <v>44637</v>
      </c>
      <c r="CF1119" s="1">
        <v>7.53</v>
      </c>
      <c r="CG1119" s="1">
        <v>44637</v>
      </c>
      <c r="CH1119" s="1">
        <v>7.56</v>
      </c>
      <c r="CI1119" s="1">
        <v>44637</v>
      </c>
      <c r="CJ1119" s="1">
        <v>7.44</v>
      </c>
      <c r="CK1119" s="1">
        <v>44637</v>
      </c>
      <c r="CL1119" s="1">
        <v>7.28</v>
      </c>
      <c r="CM1119" s="1">
        <v>44637</v>
      </c>
      <c r="CN1119" s="1">
        <v>6.93</v>
      </c>
      <c r="CO1119" s="1">
        <v>44627</v>
      </c>
      <c r="CP1119" s="1">
        <v>6.96</v>
      </c>
      <c r="CQ1119" s="1">
        <v>44627</v>
      </c>
      <c r="CR1119" s="1">
        <v>6.6</v>
      </c>
      <c r="CS1119" s="1">
        <v>44627</v>
      </c>
      <c r="CT1119" s="1">
        <v>6.16</v>
      </c>
    </row>
    <row r="1120" spans="31:98" x14ac:dyDescent="0.2">
      <c r="AE1120" s="1">
        <v>44628</v>
      </c>
      <c r="AF1120" s="1">
        <v>3.5</v>
      </c>
      <c r="AG1120" s="1">
        <v>44578</v>
      </c>
      <c r="AH1120" s="1">
        <v>2.79</v>
      </c>
      <c r="AI1120" s="1">
        <v>44636</v>
      </c>
      <c r="AJ1120" s="1">
        <v>5.07</v>
      </c>
      <c r="AK1120" s="1">
        <v>44636</v>
      </c>
      <c r="AL1120" s="1">
        <v>5.5250000000000004</v>
      </c>
      <c r="AM1120" s="1">
        <v>44636</v>
      </c>
      <c r="AN1120" s="1">
        <v>5.7249999999999996</v>
      </c>
      <c r="AO1120" s="1">
        <v>44636</v>
      </c>
      <c r="AP1120" s="1">
        <v>5.76</v>
      </c>
      <c r="AQ1120" s="1">
        <v>44636</v>
      </c>
      <c r="AR1120" s="1">
        <v>5.76</v>
      </c>
      <c r="AS1120" s="1">
        <v>44636</v>
      </c>
      <c r="AT1120" s="1">
        <v>5.63</v>
      </c>
      <c r="AU1120" s="1">
        <v>44636</v>
      </c>
      <c r="AV1120" s="1">
        <v>5.43</v>
      </c>
      <c r="AW1120" s="1">
        <v>44636</v>
      </c>
      <c r="AX1120" s="1">
        <v>5.2350000000000003</v>
      </c>
      <c r="AY1120" s="1">
        <v>44636</v>
      </c>
      <c r="AZ1120" s="1">
        <v>5.05</v>
      </c>
      <c r="BB1120" s="1">
        <v>44553</v>
      </c>
      <c r="BC1120" s="1">
        <v>3.75</v>
      </c>
      <c r="BD1120" s="1">
        <v>44575</v>
      </c>
      <c r="BE1120" s="1">
        <v>4.21</v>
      </c>
      <c r="BF1120" s="1">
        <v>44636</v>
      </c>
      <c r="BG1120" s="1">
        <v>5.1849999999999996</v>
      </c>
      <c r="BH1120" s="1">
        <v>44636</v>
      </c>
      <c r="BI1120" s="1">
        <v>5.3250000000000002</v>
      </c>
      <c r="BJ1120" s="1">
        <v>44636</v>
      </c>
      <c r="BK1120" s="1">
        <v>5.3449999999999998</v>
      </c>
      <c r="BL1120" s="1">
        <v>44636</v>
      </c>
      <c r="BM1120" s="1">
        <v>5.3730000000000002</v>
      </c>
      <c r="BN1120" s="1">
        <v>44635</v>
      </c>
      <c r="BO1120" s="1">
        <v>5.31</v>
      </c>
      <c r="BP1120" s="1">
        <v>44636</v>
      </c>
      <c r="BQ1120" s="1">
        <v>5.0179999999999998</v>
      </c>
      <c r="BR1120" s="1">
        <v>44636</v>
      </c>
      <c r="BS1120" s="1">
        <v>4.7130000000000001</v>
      </c>
      <c r="BT1120" s="1">
        <v>44636</v>
      </c>
      <c r="BU1120" s="1">
        <v>4.43</v>
      </c>
      <c r="BV1120" s="1">
        <v>44636</v>
      </c>
      <c r="BW1120" s="1">
        <v>4.2</v>
      </c>
      <c r="BY1120" s="1">
        <v>44554</v>
      </c>
      <c r="BZ1120" s="1">
        <v>2.4</v>
      </c>
      <c r="CA1120" s="1">
        <v>44567</v>
      </c>
      <c r="CB1120" s="1">
        <v>4.26</v>
      </c>
      <c r="CC1120" s="1">
        <v>44636</v>
      </c>
      <c r="CD1120" s="1">
        <v>7.2949999999999999</v>
      </c>
      <c r="CE1120" s="1">
        <v>44636</v>
      </c>
      <c r="CF1120" s="1">
        <v>7.57</v>
      </c>
      <c r="CG1120" s="1">
        <v>44636</v>
      </c>
      <c r="CH1120" s="1">
        <v>7.65</v>
      </c>
      <c r="CI1120" s="1">
        <v>44636</v>
      </c>
      <c r="CJ1120" s="1">
        <v>7.53</v>
      </c>
      <c r="CK1120" s="1">
        <v>44636</v>
      </c>
      <c r="CL1120" s="1">
        <v>7.33</v>
      </c>
      <c r="CM1120" s="1">
        <v>44636</v>
      </c>
      <c r="CN1120" s="1">
        <v>7.14</v>
      </c>
      <c r="CO1120" s="1">
        <v>44624</v>
      </c>
      <c r="CP1120" s="1">
        <v>6.1550000000000002</v>
      </c>
      <c r="CQ1120" s="1">
        <v>44624</v>
      </c>
      <c r="CR1120" s="1">
        <v>5.8</v>
      </c>
      <c r="CS1120" s="1">
        <v>44624</v>
      </c>
      <c r="CT1120" s="1">
        <v>5.4249999999999998</v>
      </c>
    </row>
    <row r="1121" spans="31:98" x14ac:dyDescent="0.2">
      <c r="AE1121" s="1">
        <v>44627</v>
      </c>
      <c r="AF1121" s="1">
        <v>2.75</v>
      </c>
      <c r="AG1121" s="1">
        <v>44575</v>
      </c>
      <c r="AH1121" s="1">
        <v>2.77</v>
      </c>
      <c r="AI1121" s="1">
        <v>44635</v>
      </c>
      <c r="AJ1121" s="1">
        <v>5.0709999999999997</v>
      </c>
      <c r="AK1121" s="1">
        <v>44635</v>
      </c>
      <c r="AL1121" s="1">
        <v>5.5250000000000004</v>
      </c>
      <c r="AM1121" s="1">
        <v>44635</v>
      </c>
      <c r="AN1121" s="1">
        <v>5.75</v>
      </c>
      <c r="AO1121" s="1">
        <v>44635</v>
      </c>
      <c r="AP1121" s="1">
        <v>5.84</v>
      </c>
      <c r="AQ1121" s="1">
        <v>44635</v>
      </c>
      <c r="AR1121" s="1">
        <v>5.84</v>
      </c>
      <c r="AS1121" s="1">
        <v>44635</v>
      </c>
      <c r="AT1121" s="1">
        <v>5.7050000000000001</v>
      </c>
      <c r="AU1121" s="1">
        <v>44635</v>
      </c>
      <c r="AV1121" s="1">
        <v>5.5049999999999999</v>
      </c>
      <c r="AW1121" s="1">
        <v>44635</v>
      </c>
      <c r="AX1121" s="1">
        <v>5.3250000000000002</v>
      </c>
      <c r="AY1121" s="1">
        <v>44635</v>
      </c>
      <c r="AZ1121" s="1">
        <v>5.1100000000000003</v>
      </c>
      <c r="BB1121" s="1">
        <v>44552</v>
      </c>
      <c r="BC1121" s="1">
        <v>2.75</v>
      </c>
      <c r="BD1121" s="1">
        <v>44574</v>
      </c>
      <c r="BE1121" s="1">
        <v>4.2</v>
      </c>
      <c r="BF1121" s="1">
        <v>44635</v>
      </c>
      <c r="BG1121" s="1">
        <v>5.22</v>
      </c>
      <c r="BH1121" s="1">
        <v>44635</v>
      </c>
      <c r="BI1121" s="1">
        <v>5.31</v>
      </c>
      <c r="BJ1121" s="1">
        <v>44635</v>
      </c>
      <c r="BK1121" s="1">
        <v>5.3449999999999998</v>
      </c>
      <c r="BL1121" s="1">
        <v>44635</v>
      </c>
      <c r="BM1121" s="1">
        <v>5.38</v>
      </c>
      <c r="BN1121" s="1">
        <v>44634</v>
      </c>
      <c r="BO1121" s="1">
        <v>5.3650000000000002</v>
      </c>
      <c r="BP1121" s="1">
        <v>44635</v>
      </c>
      <c r="BQ1121" s="1">
        <v>5.048</v>
      </c>
      <c r="BR1121" s="1">
        <v>44635</v>
      </c>
      <c r="BS1121" s="1">
        <v>4.7380000000000004</v>
      </c>
      <c r="BT1121" s="1">
        <v>44635</v>
      </c>
      <c r="BU1121" s="1">
        <v>4.4550000000000001</v>
      </c>
      <c r="BV1121" s="1">
        <v>44635</v>
      </c>
      <c r="BW1121" s="1">
        <v>4.2249999999999996</v>
      </c>
      <c r="BY1121" s="1">
        <v>44553</v>
      </c>
      <c r="BZ1121" s="1">
        <v>2.4</v>
      </c>
      <c r="CA1121" s="1">
        <v>44566</v>
      </c>
      <c r="CB1121" s="1">
        <v>4.26</v>
      </c>
      <c r="CC1121" s="1">
        <v>44635</v>
      </c>
      <c r="CD1121" s="1">
        <v>7.39</v>
      </c>
      <c r="CE1121" s="1">
        <v>44635</v>
      </c>
      <c r="CF1121" s="1">
        <v>7.585</v>
      </c>
      <c r="CG1121" s="1">
        <v>44635</v>
      </c>
      <c r="CH1121" s="1">
        <v>7.9</v>
      </c>
      <c r="CI1121" s="1">
        <v>44635</v>
      </c>
      <c r="CJ1121" s="1">
        <v>7.75</v>
      </c>
      <c r="CK1121" s="1">
        <v>44635</v>
      </c>
      <c r="CL1121" s="1">
        <v>7.625</v>
      </c>
      <c r="CM1121" s="1">
        <v>44631</v>
      </c>
      <c r="CN1121" s="1">
        <v>7.21</v>
      </c>
      <c r="CO1121" s="1">
        <v>44623</v>
      </c>
      <c r="CP1121" s="1">
        <v>5.9050000000000002</v>
      </c>
      <c r="CQ1121" s="1">
        <v>44623</v>
      </c>
      <c r="CR1121" s="1">
        <v>5.5350000000000001</v>
      </c>
      <c r="CS1121" s="1">
        <v>44623</v>
      </c>
      <c r="CT1121" s="1">
        <v>5.1449999999999996</v>
      </c>
    </row>
    <row r="1122" spans="31:98" x14ac:dyDescent="0.2">
      <c r="AE1122" s="1">
        <v>44624</v>
      </c>
      <c r="AF1122" s="1">
        <v>2.75</v>
      </c>
      <c r="AG1122" s="1">
        <v>44574</v>
      </c>
      <c r="AH1122" s="1">
        <v>2.75</v>
      </c>
      <c r="AI1122" s="1">
        <v>44634</v>
      </c>
      <c r="AJ1122" s="1">
        <v>5.1159999999999997</v>
      </c>
      <c r="AK1122" s="1">
        <v>44634</v>
      </c>
      <c r="AL1122" s="1">
        <v>5.61</v>
      </c>
      <c r="AM1122" s="1">
        <v>44634</v>
      </c>
      <c r="AN1122" s="1">
        <v>5.8849999999999998</v>
      </c>
      <c r="AO1122" s="1">
        <v>44634</v>
      </c>
      <c r="AP1122" s="1">
        <v>5.97</v>
      </c>
      <c r="AQ1122" s="1">
        <v>44634</v>
      </c>
      <c r="AR1122" s="1">
        <v>5.97</v>
      </c>
      <c r="AS1122" s="1">
        <v>44634</v>
      </c>
      <c r="AT1122" s="1">
        <v>5.8</v>
      </c>
      <c r="AU1122" s="1">
        <v>44634</v>
      </c>
      <c r="AV1122" s="1">
        <v>5.585</v>
      </c>
      <c r="AW1122" s="1">
        <v>44634</v>
      </c>
      <c r="AX1122" s="1">
        <v>5.39</v>
      </c>
      <c r="AY1122" s="1">
        <v>44634</v>
      </c>
      <c r="AZ1122" s="1">
        <v>5.165</v>
      </c>
      <c r="BB1122" s="1">
        <v>44551</v>
      </c>
      <c r="BC1122" s="1">
        <v>2.75</v>
      </c>
      <c r="BD1122" s="1">
        <v>44573</v>
      </c>
      <c r="BE1122" s="1">
        <v>4.18</v>
      </c>
      <c r="BF1122" s="1">
        <v>44634</v>
      </c>
      <c r="BG1122" s="1">
        <v>5.23</v>
      </c>
      <c r="BH1122" s="1">
        <v>44634</v>
      </c>
      <c r="BI1122" s="1">
        <v>5.335</v>
      </c>
      <c r="BJ1122" s="1">
        <v>44634</v>
      </c>
      <c r="BK1122" s="1">
        <v>5.3650000000000002</v>
      </c>
      <c r="BL1122" s="1">
        <v>44634</v>
      </c>
      <c r="BM1122" s="1">
        <v>5.4349999999999996</v>
      </c>
      <c r="BN1122" s="1">
        <v>44631</v>
      </c>
      <c r="BO1122" s="1">
        <v>5.34</v>
      </c>
      <c r="BP1122" s="1">
        <v>44634</v>
      </c>
      <c r="BQ1122" s="1">
        <v>5.12</v>
      </c>
      <c r="BR1122" s="1">
        <v>44634</v>
      </c>
      <c r="BS1122" s="1">
        <v>4.8029999999999999</v>
      </c>
      <c r="BT1122" s="1">
        <v>44634</v>
      </c>
      <c r="BU1122" s="1">
        <v>4.5199999999999996</v>
      </c>
      <c r="BV1122" s="1">
        <v>44634</v>
      </c>
      <c r="BW1122" s="1">
        <v>4.29</v>
      </c>
      <c r="BY1122" s="1">
        <v>44552</v>
      </c>
      <c r="BZ1122" s="1">
        <v>2.4</v>
      </c>
      <c r="CA1122" s="1">
        <v>44565</v>
      </c>
      <c r="CB1122" s="1">
        <v>4.2300000000000004</v>
      </c>
      <c r="CC1122" s="1">
        <v>44634</v>
      </c>
      <c r="CD1122" s="1">
        <v>7.39</v>
      </c>
      <c r="CE1122" s="1">
        <v>44634</v>
      </c>
      <c r="CF1122" s="1">
        <v>7.585</v>
      </c>
      <c r="CG1122" s="1">
        <v>44634</v>
      </c>
      <c r="CH1122" s="1">
        <v>7.9</v>
      </c>
      <c r="CI1122" s="1">
        <v>44634</v>
      </c>
      <c r="CJ1122" s="1">
        <v>7.75</v>
      </c>
      <c r="CK1122" s="1">
        <v>44634</v>
      </c>
      <c r="CL1122" s="1">
        <v>7.625</v>
      </c>
      <c r="CM1122" s="1">
        <v>44630</v>
      </c>
      <c r="CN1122" s="1">
        <v>7.09</v>
      </c>
      <c r="CO1122" s="1">
        <v>44622</v>
      </c>
      <c r="CP1122" s="1">
        <v>5.97</v>
      </c>
      <c r="CQ1122" s="1">
        <v>44622</v>
      </c>
      <c r="CR1122" s="1">
        <v>5.67</v>
      </c>
      <c r="CS1122" s="1">
        <v>44622</v>
      </c>
      <c r="CT1122" s="1">
        <v>5.35</v>
      </c>
    </row>
    <row r="1123" spans="31:98" x14ac:dyDescent="0.2">
      <c r="AE1123" s="1">
        <v>44623</v>
      </c>
      <c r="AF1123" s="1">
        <v>2.75</v>
      </c>
      <c r="AG1123" s="1">
        <v>44573</v>
      </c>
      <c r="AH1123" s="1">
        <v>2.74</v>
      </c>
      <c r="AI1123" s="1">
        <v>44631</v>
      </c>
      <c r="AJ1123" s="1">
        <v>5.1245000000000003</v>
      </c>
      <c r="AK1123" s="1">
        <v>44631</v>
      </c>
      <c r="AL1123" s="1">
        <v>5.56</v>
      </c>
      <c r="AM1123" s="1">
        <v>44631</v>
      </c>
      <c r="AN1123" s="1">
        <v>5.8049999999999997</v>
      </c>
      <c r="AO1123" s="1">
        <v>44631</v>
      </c>
      <c r="AP1123" s="1">
        <v>5.8949999999999996</v>
      </c>
      <c r="AQ1123" s="1">
        <v>44631</v>
      </c>
      <c r="AR1123" s="1">
        <v>5.8949999999999996</v>
      </c>
      <c r="AS1123" s="1">
        <v>44631</v>
      </c>
      <c r="AT1123" s="1">
        <v>5.7350000000000003</v>
      </c>
      <c r="AU1123" s="1">
        <v>44631</v>
      </c>
      <c r="AV1123" s="1">
        <v>5.52</v>
      </c>
      <c r="AW1123" s="1">
        <v>44631</v>
      </c>
      <c r="AX1123" s="1">
        <v>5.3150000000000004</v>
      </c>
      <c r="AY1123" s="1">
        <v>44631</v>
      </c>
      <c r="AZ1123" s="1">
        <v>5.0949999999999998</v>
      </c>
      <c r="BB1123" s="1">
        <v>44550</v>
      </c>
      <c r="BC1123" s="1">
        <v>2.75</v>
      </c>
      <c r="BD1123" s="1">
        <v>44572</v>
      </c>
      <c r="BE1123" s="1">
        <v>4.16</v>
      </c>
      <c r="BF1123" s="1">
        <v>44631</v>
      </c>
      <c r="BG1123" s="1">
        <v>5.22</v>
      </c>
      <c r="BH1123" s="1">
        <v>44631</v>
      </c>
      <c r="BI1123" s="1">
        <v>5.35</v>
      </c>
      <c r="BJ1123" s="1">
        <v>44631</v>
      </c>
      <c r="BK1123" s="1">
        <v>5.38</v>
      </c>
      <c r="BL1123" s="1">
        <v>44631</v>
      </c>
      <c r="BM1123" s="1">
        <v>5.4050000000000002</v>
      </c>
      <c r="BN1123" s="1">
        <v>44630</v>
      </c>
      <c r="BO1123" s="1">
        <v>5.343</v>
      </c>
      <c r="BP1123" s="1">
        <v>44631</v>
      </c>
      <c r="BQ1123" s="1">
        <v>5.0650000000000004</v>
      </c>
      <c r="BR1123" s="1">
        <v>44631</v>
      </c>
      <c r="BS1123" s="1">
        <v>4.72</v>
      </c>
      <c r="BT1123" s="1">
        <v>44631</v>
      </c>
      <c r="BU1123" s="1">
        <v>4.4130000000000003</v>
      </c>
      <c r="BV1123" s="1">
        <v>44631</v>
      </c>
      <c r="BW1123" s="1">
        <v>4.1580000000000004</v>
      </c>
      <c r="BY1123" s="1">
        <v>44551</v>
      </c>
      <c r="BZ1123" s="1">
        <v>2.4</v>
      </c>
      <c r="CA1123" s="1">
        <v>44564</v>
      </c>
      <c r="CB1123" s="1">
        <v>4.22</v>
      </c>
      <c r="CC1123" s="1">
        <v>44631</v>
      </c>
      <c r="CD1123" s="1">
        <v>7.39</v>
      </c>
      <c r="CE1123" s="1">
        <v>44631</v>
      </c>
      <c r="CF1123" s="1">
        <v>7.97</v>
      </c>
      <c r="CG1123" s="1">
        <v>44631</v>
      </c>
      <c r="CH1123" s="1">
        <v>8</v>
      </c>
      <c r="CI1123" s="1">
        <v>44631</v>
      </c>
      <c r="CJ1123" s="1">
        <v>7.81</v>
      </c>
      <c r="CK1123" s="1">
        <v>44631</v>
      </c>
      <c r="CL1123" s="1">
        <v>7.625</v>
      </c>
      <c r="CM1123" s="1">
        <v>44629</v>
      </c>
      <c r="CN1123" s="1">
        <v>6.98</v>
      </c>
      <c r="CO1123" s="1">
        <v>44621</v>
      </c>
      <c r="CP1123" s="1">
        <v>5.77</v>
      </c>
      <c r="CQ1123" s="1">
        <v>44621</v>
      </c>
      <c r="CR1123" s="1">
        <v>5.47</v>
      </c>
      <c r="CS1123" s="1">
        <v>44621</v>
      </c>
      <c r="CT1123" s="1">
        <v>5.17</v>
      </c>
    </row>
    <row r="1124" spans="31:98" x14ac:dyDescent="0.2">
      <c r="AE1124" s="1">
        <v>44622</v>
      </c>
      <c r="AF1124" s="1">
        <v>2.75</v>
      </c>
      <c r="AG1124" s="1">
        <v>44572</v>
      </c>
      <c r="AH1124" s="1">
        <v>2.72</v>
      </c>
      <c r="AI1124" s="1">
        <v>44630</v>
      </c>
      <c r="AJ1124" s="1">
        <v>5.08</v>
      </c>
      <c r="AK1124" s="1">
        <v>44630</v>
      </c>
      <c r="AL1124" s="1">
        <v>5.5650000000000004</v>
      </c>
      <c r="AM1124" s="1">
        <v>44630</v>
      </c>
      <c r="AN1124" s="1">
        <v>5.77</v>
      </c>
      <c r="AO1124" s="1">
        <v>44630</v>
      </c>
      <c r="AP1124" s="1">
        <v>5.83</v>
      </c>
      <c r="AQ1124" s="1">
        <v>44630</v>
      </c>
      <c r="AR1124" s="1">
        <v>5.8150000000000004</v>
      </c>
      <c r="AS1124" s="1">
        <v>44630</v>
      </c>
      <c r="AT1124" s="1">
        <v>5.665</v>
      </c>
      <c r="AU1124" s="1">
        <v>44630</v>
      </c>
      <c r="AV1124" s="1">
        <v>5.415</v>
      </c>
      <c r="AW1124" s="1">
        <v>44630</v>
      </c>
      <c r="AX1124" s="1">
        <v>5.16</v>
      </c>
      <c r="AY1124" s="1">
        <v>44630</v>
      </c>
      <c r="AZ1124" s="1">
        <v>5.0049999999999999</v>
      </c>
      <c r="BB1124" s="1">
        <v>44547</v>
      </c>
      <c r="BC1124" s="1">
        <v>2.75</v>
      </c>
      <c r="BD1124" s="1">
        <v>44571</v>
      </c>
      <c r="BE1124" s="1">
        <v>4.1399999999999997</v>
      </c>
      <c r="BF1124" s="1">
        <v>44630</v>
      </c>
      <c r="BG1124" s="1">
        <v>5.24</v>
      </c>
      <c r="BH1124" s="1">
        <v>44630</v>
      </c>
      <c r="BI1124" s="1">
        <v>5.3730000000000002</v>
      </c>
      <c r="BJ1124" s="1">
        <v>44630</v>
      </c>
      <c r="BK1124" s="1">
        <v>5.4080000000000004</v>
      </c>
      <c r="BL1124" s="1">
        <v>44630</v>
      </c>
      <c r="BM1124" s="1">
        <v>5.4429999999999996</v>
      </c>
      <c r="BN1124" s="1">
        <v>44629</v>
      </c>
      <c r="BO1124" s="1">
        <v>5.2229999999999999</v>
      </c>
      <c r="BP1124" s="1">
        <v>44630</v>
      </c>
      <c r="BQ1124" s="1">
        <v>5.0579999999999998</v>
      </c>
      <c r="BR1124" s="1">
        <v>44630</v>
      </c>
      <c r="BS1124" s="1">
        <v>4.7050000000000001</v>
      </c>
      <c r="BT1124" s="1">
        <v>44630</v>
      </c>
      <c r="BU1124" s="1">
        <v>4.3979999999999997</v>
      </c>
      <c r="BV1124" s="1">
        <v>44630</v>
      </c>
      <c r="BW1124" s="1">
        <v>4.1379999999999999</v>
      </c>
      <c r="BY1124" s="1">
        <v>44550</v>
      </c>
      <c r="BZ1124" s="1">
        <v>2.4</v>
      </c>
      <c r="CA1124" s="1">
        <v>44561</v>
      </c>
      <c r="CB1124" s="1">
        <v>4.21</v>
      </c>
      <c r="CC1124" s="1">
        <v>44630</v>
      </c>
      <c r="CD1124" s="1">
        <v>7.35</v>
      </c>
      <c r="CE1124" s="1">
        <v>44630</v>
      </c>
      <c r="CF1124" s="1">
        <v>7.6</v>
      </c>
      <c r="CG1124" s="1">
        <v>44630</v>
      </c>
      <c r="CH1124" s="1">
        <v>7.88</v>
      </c>
      <c r="CI1124" s="1">
        <v>44630</v>
      </c>
      <c r="CJ1124" s="1">
        <v>7.72</v>
      </c>
      <c r="CK1124" s="1">
        <v>44630</v>
      </c>
      <c r="CL1124" s="1">
        <v>7.5549999999999997</v>
      </c>
      <c r="CM1124" s="1">
        <v>44628</v>
      </c>
      <c r="CN1124" s="1">
        <v>7.16</v>
      </c>
      <c r="CO1124" s="1">
        <v>44620</v>
      </c>
      <c r="CP1124" s="1">
        <v>5.76</v>
      </c>
      <c r="CQ1124" s="1">
        <v>44620</v>
      </c>
      <c r="CR1124" s="1">
        <v>5.46</v>
      </c>
      <c r="CS1124" s="1">
        <v>44620</v>
      </c>
      <c r="CT1124" s="1">
        <v>5.16</v>
      </c>
    </row>
    <row r="1125" spans="31:98" x14ac:dyDescent="0.2">
      <c r="AE1125" s="1">
        <v>44621</v>
      </c>
      <c r="AF1125" s="1">
        <v>2.75</v>
      </c>
      <c r="AG1125" s="1">
        <v>44571</v>
      </c>
      <c r="AH1125" s="1">
        <v>2.69</v>
      </c>
      <c r="AI1125" s="1">
        <v>44629</v>
      </c>
      <c r="AJ1125" s="1">
        <v>4.9349999999999996</v>
      </c>
      <c r="AK1125" s="1">
        <v>44629</v>
      </c>
      <c r="AL1125" s="1">
        <v>5.3605</v>
      </c>
      <c r="AM1125" s="1">
        <v>44629</v>
      </c>
      <c r="AN1125" s="1">
        <v>5.6624999999999996</v>
      </c>
      <c r="AO1125" s="1">
        <v>44629</v>
      </c>
      <c r="AP1125" s="1">
        <v>5.6950000000000003</v>
      </c>
      <c r="AQ1125" s="1">
        <v>44629</v>
      </c>
      <c r="AR1125" s="1">
        <v>5.68</v>
      </c>
      <c r="AS1125" s="1">
        <v>44629</v>
      </c>
      <c r="AT1125" s="1">
        <v>5.51</v>
      </c>
      <c r="AU1125" s="1">
        <v>44629</v>
      </c>
      <c r="AV1125" s="1">
        <v>5.18</v>
      </c>
      <c r="AW1125" s="1">
        <v>44629</v>
      </c>
      <c r="AX1125" s="1">
        <v>4.9050000000000002</v>
      </c>
      <c r="AY1125" s="1">
        <v>44629</v>
      </c>
      <c r="AZ1125" s="1">
        <v>4.7350000000000003</v>
      </c>
      <c r="BB1125" s="1">
        <v>44546</v>
      </c>
      <c r="BC1125" s="1">
        <v>2.75</v>
      </c>
      <c r="BD1125" s="1">
        <v>44568</v>
      </c>
      <c r="BE1125" s="1">
        <v>4.12</v>
      </c>
      <c r="BF1125" s="1">
        <v>44629</v>
      </c>
      <c r="BG1125" s="1">
        <v>5.2350000000000003</v>
      </c>
      <c r="BH1125" s="1">
        <v>44629</v>
      </c>
      <c r="BI1125" s="1">
        <v>5.3330000000000002</v>
      </c>
      <c r="BJ1125" s="1">
        <v>44629</v>
      </c>
      <c r="BK1125" s="1">
        <v>5.3630000000000004</v>
      </c>
      <c r="BL1125" s="1">
        <v>44629</v>
      </c>
      <c r="BM1125" s="1">
        <v>5.383</v>
      </c>
      <c r="BN1125" s="1">
        <v>44628</v>
      </c>
      <c r="BO1125" s="1">
        <v>5.2880000000000003</v>
      </c>
      <c r="BP1125" s="1">
        <v>44629</v>
      </c>
      <c r="BQ1125" s="1">
        <v>4.8899999999999997</v>
      </c>
      <c r="BR1125" s="1">
        <v>44629</v>
      </c>
      <c r="BS1125" s="1">
        <v>4.5679999999999996</v>
      </c>
      <c r="BT1125" s="1">
        <v>44629</v>
      </c>
      <c r="BU1125" s="1">
        <v>4.2549999999999999</v>
      </c>
      <c r="BV1125" s="1">
        <v>44629</v>
      </c>
      <c r="BW1125" s="1">
        <v>4.01</v>
      </c>
      <c r="BY1125" s="1">
        <v>44547</v>
      </c>
      <c r="BZ1125" s="1">
        <v>2.4</v>
      </c>
      <c r="CA1125" s="1">
        <v>44560</v>
      </c>
      <c r="CB1125" s="1">
        <v>4.2</v>
      </c>
      <c r="CC1125" s="1">
        <v>44629</v>
      </c>
      <c r="CD1125" s="1">
        <v>7.32</v>
      </c>
      <c r="CE1125" s="1">
        <v>44629</v>
      </c>
      <c r="CF1125" s="1">
        <v>7.72</v>
      </c>
      <c r="CG1125" s="1">
        <v>44629</v>
      </c>
      <c r="CH1125" s="1">
        <v>7.74</v>
      </c>
      <c r="CI1125" s="1">
        <v>44629</v>
      </c>
      <c r="CJ1125" s="1">
        <v>7.54</v>
      </c>
      <c r="CK1125" s="1">
        <v>44629</v>
      </c>
      <c r="CL1125" s="1">
        <v>7.35</v>
      </c>
      <c r="CM1125" s="1">
        <v>44627</v>
      </c>
      <c r="CN1125" s="1">
        <v>7.28</v>
      </c>
      <c r="CO1125" s="1">
        <v>44617</v>
      </c>
      <c r="CP1125" s="1">
        <v>5.62</v>
      </c>
      <c r="CQ1125" s="1">
        <v>44617</v>
      </c>
      <c r="CR1125" s="1">
        <v>5.32</v>
      </c>
      <c r="CS1125" s="1">
        <v>44617</v>
      </c>
      <c r="CT1125" s="1">
        <v>5.0199999999999996</v>
      </c>
    </row>
    <row r="1126" spans="31:98" x14ac:dyDescent="0.2">
      <c r="AE1126" s="1">
        <v>44620</v>
      </c>
      <c r="AF1126" s="1">
        <v>2.75</v>
      </c>
      <c r="AG1126" s="1">
        <v>44568</v>
      </c>
      <c r="AH1126" s="1">
        <v>2.63</v>
      </c>
      <c r="AI1126" s="1">
        <v>44628</v>
      </c>
      <c r="AJ1126" s="1">
        <v>4.9829999999999997</v>
      </c>
      <c r="AK1126" s="1">
        <v>44628</v>
      </c>
      <c r="AL1126" s="1">
        <v>5.4059999999999997</v>
      </c>
      <c r="AM1126" s="1">
        <v>44628</v>
      </c>
      <c r="AN1126" s="1">
        <v>5.5750000000000002</v>
      </c>
      <c r="AO1126" s="1">
        <v>44628</v>
      </c>
      <c r="AP1126" s="1">
        <v>5.6050000000000004</v>
      </c>
      <c r="AQ1126" s="1">
        <v>44628</v>
      </c>
      <c r="AR1126" s="1">
        <v>5.5449999999999999</v>
      </c>
      <c r="AS1126" s="1">
        <v>44628</v>
      </c>
      <c r="AT1126" s="1">
        <v>5.3650000000000002</v>
      </c>
      <c r="AU1126" s="1">
        <v>44628</v>
      </c>
      <c r="AV1126" s="1">
        <v>5.0650000000000004</v>
      </c>
      <c r="AW1126" s="1">
        <v>44628</v>
      </c>
      <c r="AX1126" s="1">
        <v>4.8250000000000002</v>
      </c>
      <c r="AY1126" s="1">
        <v>44628</v>
      </c>
      <c r="AZ1126" s="1">
        <v>4.665</v>
      </c>
      <c r="BB1126" s="1">
        <v>44545</v>
      </c>
      <c r="BC1126" s="1">
        <v>2.75</v>
      </c>
      <c r="BD1126" s="1">
        <v>44567</v>
      </c>
      <c r="BE1126" s="1">
        <v>4.0999999999999996</v>
      </c>
      <c r="BF1126" s="1">
        <v>44628</v>
      </c>
      <c r="BG1126" s="1">
        <v>5.2750000000000004</v>
      </c>
      <c r="BH1126" s="1">
        <v>44628</v>
      </c>
      <c r="BI1126" s="1">
        <v>5.4130000000000003</v>
      </c>
      <c r="BJ1126" s="1">
        <v>44628</v>
      </c>
      <c r="BK1126" s="1">
        <v>5.4379999999999997</v>
      </c>
      <c r="BL1126" s="1">
        <v>44628</v>
      </c>
      <c r="BM1126" s="1">
        <v>5.47</v>
      </c>
      <c r="BN1126" s="1">
        <v>44627</v>
      </c>
      <c r="BO1126" s="1">
        <v>5.31</v>
      </c>
      <c r="BP1126" s="1">
        <v>44628</v>
      </c>
      <c r="BQ1126" s="1">
        <v>4.9729999999999999</v>
      </c>
      <c r="BR1126" s="1">
        <v>44628</v>
      </c>
      <c r="BS1126" s="1">
        <v>4.5979999999999999</v>
      </c>
      <c r="BT1126" s="1">
        <v>44628</v>
      </c>
      <c r="BU1126" s="1">
        <v>4.2679999999999998</v>
      </c>
      <c r="BV1126" s="1">
        <v>44628</v>
      </c>
      <c r="BW1126" s="1">
        <v>3.9980000000000002</v>
      </c>
      <c r="BY1126" s="1">
        <v>44546</v>
      </c>
      <c r="BZ1126" s="1">
        <v>2.4</v>
      </c>
      <c r="CA1126" s="1">
        <v>44559</v>
      </c>
      <c r="CB1126" s="1">
        <v>4.05</v>
      </c>
      <c r="CC1126" s="1">
        <v>44628</v>
      </c>
      <c r="CD1126" s="1">
        <v>7.4</v>
      </c>
      <c r="CE1126" s="1">
        <v>44628</v>
      </c>
      <c r="CF1126" s="1">
        <v>7.74</v>
      </c>
      <c r="CG1126" s="1">
        <v>44628</v>
      </c>
      <c r="CH1126" s="1">
        <v>7.8</v>
      </c>
      <c r="CI1126" s="1">
        <v>44628</v>
      </c>
      <c r="CJ1126" s="1">
        <v>7.68</v>
      </c>
      <c r="CK1126" s="1">
        <v>44628</v>
      </c>
      <c r="CL1126" s="1">
        <v>7.48</v>
      </c>
      <c r="CM1126" s="1">
        <v>44624</v>
      </c>
      <c r="CN1126" s="1">
        <v>6.48</v>
      </c>
      <c r="CO1126" s="1">
        <v>44616</v>
      </c>
      <c r="CP1126" s="1">
        <v>5.68</v>
      </c>
      <c r="CQ1126" s="1">
        <v>44616</v>
      </c>
      <c r="CR1126" s="1">
        <v>5.42</v>
      </c>
      <c r="CS1126" s="1">
        <v>44616</v>
      </c>
      <c r="CT1126" s="1">
        <v>5.13</v>
      </c>
    </row>
    <row r="1127" spans="31:98" x14ac:dyDescent="0.2">
      <c r="AE1127" s="1">
        <v>44617</v>
      </c>
      <c r="AF1127" s="1">
        <v>2.75</v>
      </c>
      <c r="AG1127" s="1">
        <v>44566</v>
      </c>
      <c r="AH1127" s="1">
        <v>2.62</v>
      </c>
      <c r="AI1127" s="1">
        <v>44627</v>
      </c>
      <c r="AJ1127" s="1">
        <v>5.0389999999999997</v>
      </c>
      <c r="AK1127" s="1">
        <v>44627</v>
      </c>
      <c r="AL1127" s="1">
        <v>5.3849999999999998</v>
      </c>
      <c r="AM1127" s="1">
        <v>44627</v>
      </c>
      <c r="AN1127" s="1">
        <v>5.4550000000000001</v>
      </c>
      <c r="AO1127" s="1">
        <v>44627</v>
      </c>
      <c r="AP1127" s="1">
        <v>5.4550000000000001</v>
      </c>
      <c r="AQ1127" s="1">
        <v>44627</v>
      </c>
      <c r="AR1127" s="1">
        <v>5.41</v>
      </c>
      <c r="AS1127" s="1">
        <v>44627</v>
      </c>
      <c r="AT1127" s="1">
        <v>5.2149999999999999</v>
      </c>
      <c r="AU1127" s="1">
        <v>44627</v>
      </c>
      <c r="AV1127" s="1">
        <v>4.8849999999999998</v>
      </c>
      <c r="AW1127" s="1">
        <v>44627</v>
      </c>
      <c r="AX1127" s="1">
        <v>4.6500000000000004</v>
      </c>
      <c r="AY1127" s="1">
        <v>44627</v>
      </c>
      <c r="AZ1127" s="1">
        <v>4.4950000000000001</v>
      </c>
      <c r="BB1127" s="1">
        <v>44544</v>
      </c>
      <c r="BC1127" s="1">
        <v>2.75</v>
      </c>
      <c r="BD1127" s="1">
        <v>44566</v>
      </c>
      <c r="BE1127" s="1">
        <v>4.08</v>
      </c>
      <c r="BF1127" s="1">
        <v>44627</v>
      </c>
      <c r="BG1127" s="1">
        <v>5.18</v>
      </c>
      <c r="BH1127" s="1">
        <v>44627</v>
      </c>
      <c r="BI1127" s="1">
        <v>5.3579999999999997</v>
      </c>
      <c r="BJ1127" s="1">
        <v>44627</v>
      </c>
      <c r="BK1127" s="1">
        <v>5.4450000000000003</v>
      </c>
      <c r="BL1127" s="1">
        <v>44627</v>
      </c>
      <c r="BM1127" s="1">
        <v>5.48</v>
      </c>
      <c r="BN1127" s="1">
        <v>44624</v>
      </c>
      <c r="BO1127" s="1">
        <v>5.125</v>
      </c>
      <c r="BP1127" s="1">
        <v>44627</v>
      </c>
      <c r="BQ1127" s="1">
        <v>5.0149999999999997</v>
      </c>
      <c r="BR1127" s="1">
        <v>44627</v>
      </c>
      <c r="BS1127" s="1">
        <v>4.6449999999999996</v>
      </c>
      <c r="BT1127" s="1">
        <v>44627</v>
      </c>
      <c r="BU1127" s="1">
        <v>4.3150000000000004</v>
      </c>
      <c r="BV1127" s="1">
        <v>44627</v>
      </c>
      <c r="BW1127" s="1">
        <v>4.0279999999999996</v>
      </c>
      <c r="BY1127" s="1">
        <v>44545</v>
      </c>
      <c r="BZ1127" s="1">
        <v>2.4</v>
      </c>
      <c r="CA1127" s="1">
        <v>44558</v>
      </c>
      <c r="CB1127" s="1">
        <v>4.05</v>
      </c>
      <c r="CC1127" s="1">
        <v>44627</v>
      </c>
      <c r="CD1127" s="1">
        <v>7.45</v>
      </c>
      <c r="CE1127" s="1">
        <v>44627</v>
      </c>
      <c r="CF1127" s="1">
        <v>7.7</v>
      </c>
      <c r="CG1127" s="1">
        <v>44627</v>
      </c>
      <c r="CH1127" s="1">
        <v>7.85</v>
      </c>
      <c r="CI1127" s="1">
        <v>44627</v>
      </c>
      <c r="CJ1127" s="1">
        <v>7.75</v>
      </c>
      <c r="CK1127" s="1">
        <v>44627</v>
      </c>
      <c r="CL1127" s="1">
        <v>7.6</v>
      </c>
      <c r="CM1127" s="1">
        <v>44623</v>
      </c>
      <c r="CN1127" s="1">
        <v>6.25</v>
      </c>
      <c r="CO1127" s="1">
        <v>44615</v>
      </c>
      <c r="CP1127" s="1">
        <v>5.39</v>
      </c>
      <c r="CQ1127" s="1">
        <v>44615</v>
      </c>
      <c r="CR1127" s="1">
        <v>5.15</v>
      </c>
      <c r="CS1127" s="1">
        <v>44615</v>
      </c>
      <c r="CT1127" s="1">
        <v>4.88</v>
      </c>
    </row>
    <row r="1128" spans="31:98" x14ac:dyDescent="0.2">
      <c r="AE1128" s="1">
        <v>44616</v>
      </c>
      <c r="AF1128" s="1">
        <v>2.75</v>
      </c>
      <c r="AG1128" s="1">
        <v>44565</v>
      </c>
      <c r="AH1128" s="1">
        <v>2.59</v>
      </c>
      <c r="AI1128" s="1">
        <v>44624</v>
      </c>
      <c r="AJ1128" s="1">
        <v>4.6510999999999996</v>
      </c>
      <c r="AK1128" s="1">
        <v>44624</v>
      </c>
      <c r="AL1128" s="1">
        <v>5.08</v>
      </c>
      <c r="AM1128" s="1">
        <v>44624</v>
      </c>
      <c r="AN1128" s="1">
        <v>5.1849999999999996</v>
      </c>
      <c r="AO1128" s="1">
        <v>44624</v>
      </c>
      <c r="AP1128" s="1">
        <v>5.2074999999999996</v>
      </c>
      <c r="AQ1128" s="1">
        <v>44624</v>
      </c>
      <c r="AR1128" s="1">
        <v>5.1749999999999998</v>
      </c>
      <c r="AS1128" s="1">
        <v>44624</v>
      </c>
      <c r="AT1128" s="1">
        <v>4.9424999999999999</v>
      </c>
      <c r="AU1128" s="1">
        <v>44624</v>
      </c>
      <c r="AV1128" s="1">
        <v>4.6275000000000004</v>
      </c>
      <c r="AW1128" s="1">
        <v>44624</v>
      </c>
      <c r="AX1128" s="1">
        <v>4.4550000000000001</v>
      </c>
      <c r="AY1128" s="1">
        <v>44624</v>
      </c>
      <c r="AZ1128" s="1">
        <v>4.3550000000000004</v>
      </c>
      <c r="BB1128" s="1">
        <v>44543</v>
      </c>
      <c r="BC1128" s="1">
        <v>2.75</v>
      </c>
      <c r="BD1128" s="1">
        <v>44565</v>
      </c>
      <c r="BE1128" s="1">
        <v>4.08</v>
      </c>
      <c r="BF1128" s="1">
        <v>44624</v>
      </c>
      <c r="BG1128" s="1">
        <v>5.09</v>
      </c>
      <c r="BH1128" s="1">
        <v>44624</v>
      </c>
      <c r="BI1128" s="1">
        <v>5.17</v>
      </c>
      <c r="BJ1128" s="1">
        <v>44624</v>
      </c>
      <c r="BK1128" s="1">
        <v>5.2549999999999999</v>
      </c>
      <c r="BL1128" s="1">
        <v>44624</v>
      </c>
      <c r="BM1128" s="1">
        <v>5.27</v>
      </c>
      <c r="BN1128" s="1">
        <v>44623</v>
      </c>
      <c r="BO1128" s="1">
        <v>5.1100000000000003</v>
      </c>
      <c r="BP1128" s="1">
        <v>44624</v>
      </c>
      <c r="BQ1128" s="1">
        <v>4.8150000000000004</v>
      </c>
      <c r="BR1128" s="1">
        <v>44624</v>
      </c>
      <c r="BS1128" s="1">
        <v>4.4349999999999996</v>
      </c>
      <c r="BT1128" s="1">
        <v>44624</v>
      </c>
      <c r="BU1128" s="1">
        <v>4.1230000000000002</v>
      </c>
      <c r="BV1128" s="1">
        <v>44624</v>
      </c>
      <c r="BW1128" s="1">
        <v>3.9049999999999998</v>
      </c>
      <c r="BY1128" s="1">
        <v>44544</v>
      </c>
      <c r="BZ1128" s="1">
        <v>2.4</v>
      </c>
      <c r="CA1128" s="1">
        <v>44557</v>
      </c>
      <c r="CB1128" s="1">
        <v>4.05</v>
      </c>
      <c r="CC1128" s="1">
        <v>44624</v>
      </c>
      <c r="CD1128" s="1">
        <v>6.32</v>
      </c>
      <c r="CE1128" s="1">
        <v>44624</v>
      </c>
      <c r="CF1128" s="1">
        <v>6.6749999999999998</v>
      </c>
      <c r="CG1128" s="1">
        <v>44624</v>
      </c>
      <c r="CH1128" s="1">
        <v>6.97</v>
      </c>
      <c r="CI1128" s="1">
        <v>44624</v>
      </c>
      <c r="CJ1128" s="1">
        <v>6.9850000000000003</v>
      </c>
      <c r="CK1128" s="1">
        <v>44624</v>
      </c>
      <c r="CL1128" s="1">
        <v>6.88</v>
      </c>
      <c r="CM1128" s="1">
        <v>44622</v>
      </c>
      <c r="CN1128" s="1">
        <v>6.24</v>
      </c>
      <c r="CO1128" s="1">
        <v>44614</v>
      </c>
      <c r="CP1128" s="1">
        <v>5.45</v>
      </c>
      <c r="CQ1128" s="1">
        <v>44614</v>
      </c>
      <c r="CR1128" s="1">
        <v>5.21</v>
      </c>
      <c r="CS1128" s="1">
        <v>44614</v>
      </c>
      <c r="CT1128" s="1">
        <v>4.95</v>
      </c>
    </row>
    <row r="1129" spans="31:98" x14ac:dyDescent="0.2">
      <c r="AE1129" s="1">
        <v>44615</v>
      </c>
      <c r="AF1129" s="1">
        <v>2.75</v>
      </c>
      <c r="AG1129" s="1">
        <v>44564</v>
      </c>
      <c r="AH1129" s="1">
        <v>2.56</v>
      </c>
      <c r="AI1129" s="1">
        <v>44623</v>
      </c>
      <c r="AJ1129" s="1">
        <v>4.4779999999999998</v>
      </c>
      <c r="AK1129" s="1">
        <v>44623</v>
      </c>
      <c r="AL1129" s="1">
        <v>4.8449999999999998</v>
      </c>
      <c r="AM1129" s="1">
        <v>44623</v>
      </c>
      <c r="AN1129" s="1">
        <v>4.9850000000000003</v>
      </c>
      <c r="AO1129" s="1">
        <v>44623</v>
      </c>
      <c r="AP1129" s="1">
        <v>5.01</v>
      </c>
      <c r="AQ1129" s="1">
        <v>44623</v>
      </c>
      <c r="AR1129" s="1">
        <v>4.9950000000000001</v>
      </c>
      <c r="AS1129" s="1">
        <v>44623</v>
      </c>
      <c r="AT1129" s="1">
        <v>4.7549999999999999</v>
      </c>
      <c r="AU1129" s="1">
        <v>44623</v>
      </c>
      <c r="AV1129" s="1">
        <v>4.4400000000000004</v>
      </c>
      <c r="AW1129" s="1">
        <v>44623</v>
      </c>
      <c r="AX1129" s="1">
        <v>4.2300000000000004</v>
      </c>
      <c r="AY1129" s="1">
        <v>44623</v>
      </c>
      <c r="AZ1129" s="1">
        <v>4.0350000000000001</v>
      </c>
      <c r="BB1129" s="1">
        <v>44540</v>
      </c>
      <c r="BC1129" s="1">
        <v>2.75</v>
      </c>
      <c r="BD1129" s="1">
        <v>44564</v>
      </c>
      <c r="BE1129" s="1">
        <v>4.08</v>
      </c>
      <c r="BF1129" s="1">
        <v>44623</v>
      </c>
      <c r="BG1129" s="1">
        <v>5.08</v>
      </c>
      <c r="BH1129" s="1">
        <v>44623</v>
      </c>
      <c r="BI1129" s="1">
        <v>5.1449999999999996</v>
      </c>
      <c r="BJ1129" s="1">
        <v>44623</v>
      </c>
      <c r="BK1129" s="1">
        <v>5.23</v>
      </c>
      <c r="BL1129" s="1">
        <v>44623</v>
      </c>
      <c r="BM1129" s="1">
        <v>5.24</v>
      </c>
      <c r="BN1129" s="1">
        <v>44622</v>
      </c>
      <c r="BO1129" s="1">
        <v>4.9950000000000001</v>
      </c>
      <c r="BP1129" s="1">
        <v>44623</v>
      </c>
      <c r="BQ1129" s="1">
        <v>4.7430000000000003</v>
      </c>
      <c r="BR1129" s="1">
        <v>44623</v>
      </c>
      <c r="BS1129" s="1">
        <v>4.3330000000000002</v>
      </c>
      <c r="BT1129" s="1">
        <v>44623</v>
      </c>
      <c r="BU1129" s="1">
        <v>4.03</v>
      </c>
      <c r="BV1129" s="1">
        <v>44623</v>
      </c>
      <c r="BW1129" s="1">
        <v>3.78</v>
      </c>
      <c r="BY1129" s="1">
        <v>44543</v>
      </c>
      <c r="BZ1129" s="1">
        <v>2.1</v>
      </c>
      <c r="CA1129" s="1">
        <v>44553</v>
      </c>
      <c r="CB1129" s="1">
        <v>4.03</v>
      </c>
      <c r="CC1129" s="1">
        <v>44623</v>
      </c>
      <c r="CD1129" s="1">
        <v>6.05</v>
      </c>
      <c r="CE1129" s="1">
        <v>44623</v>
      </c>
      <c r="CF1129" s="1">
        <v>6.4749999999999996</v>
      </c>
      <c r="CG1129" s="1">
        <v>44623</v>
      </c>
      <c r="CH1129" s="1">
        <v>6.78</v>
      </c>
      <c r="CI1129" s="1">
        <v>44623</v>
      </c>
      <c r="CJ1129" s="1">
        <v>6.78</v>
      </c>
      <c r="CK1129" s="1">
        <v>44623</v>
      </c>
      <c r="CL1129" s="1">
        <v>6.64</v>
      </c>
      <c r="CM1129" s="1">
        <v>44621</v>
      </c>
      <c r="CN1129" s="1">
        <v>6.05</v>
      </c>
      <c r="CO1129" s="1">
        <v>44613</v>
      </c>
      <c r="CP1129" s="1">
        <v>5.35</v>
      </c>
      <c r="CQ1129" s="1">
        <v>44613</v>
      </c>
      <c r="CR1129" s="1">
        <v>5.0999999999999996</v>
      </c>
      <c r="CS1129" s="1">
        <v>44613</v>
      </c>
      <c r="CT1129" s="1">
        <v>4.84</v>
      </c>
    </row>
    <row r="1130" spans="31:98" x14ac:dyDescent="0.2">
      <c r="AE1130" s="1">
        <v>44614</v>
      </c>
      <c r="AF1130" s="1">
        <v>2.75</v>
      </c>
      <c r="AG1130" s="1">
        <v>44561</v>
      </c>
      <c r="AH1130" s="1">
        <v>2.54</v>
      </c>
      <c r="AI1130" s="1">
        <v>44622</v>
      </c>
      <c r="AJ1130" s="1">
        <v>4.32</v>
      </c>
      <c r="AK1130" s="1">
        <v>44622</v>
      </c>
      <c r="AL1130" s="1">
        <v>4.6900000000000004</v>
      </c>
      <c r="AM1130" s="1">
        <v>44622</v>
      </c>
      <c r="AN1130" s="1">
        <v>4.82</v>
      </c>
      <c r="AO1130" s="1">
        <v>44622</v>
      </c>
      <c r="AP1130" s="1">
        <v>4.8600000000000003</v>
      </c>
      <c r="AQ1130" s="1">
        <v>44622</v>
      </c>
      <c r="AR1130" s="1">
        <v>4.835</v>
      </c>
      <c r="AS1130" s="1">
        <v>44622</v>
      </c>
      <c r="AT1130" s="1">
        <v>4.5750000000000002</v>
      </c>
      <c r="AU1130" s="1">
        <v>44622</v>
      </c>
      <c r="AV1130" s="1">
        <v>4.26</v>
      </c>
      <c r="AW1130" s="1">
        <v>44622</v>
      </c>
      <c r="AX1130" s="1">
        <v>4.0599999999999996</v>
      </c>
      <c r="AY1130" s="1">
        <v>44622</v>
      </c>
      <c r="AZ1130" s="1">
        <v>3.8650000000000002</v>
      </c>
      <c r="BB1130" s="1">
        <v>44539</v>
      </c>
      <c r="BC1130" s="1">
        <v>2.75</v>
      </c>
      <c r="BD1130" s="1">
        <v>44561</v>
      </c>
      <c r="BE1130" s="1">
        <v>4.08</v>
      </c>
      <c r="BF1130" s="1">
        <v>44622</v>
      </c>
      <c r="BG1130" s="1">
        <v>4.88</v>
      </c>
      <c r="BH1130" s="1">
        <v>44622</v>
      </c>
      <c r="BI1130" s="1">
        <v>5.0880000000000001</v>
      </c>
      <c r="BJ1130" s="1">
        <v>44622</v>
      </c>
      <c r="BK1130" s="1">
        <v>5.13</v>
      </c>
      <c r="BL1130" s="1">
        <v>44622</v>
      </c>
      <c r="BM1130" s="1">
        <v>5.13</v>
      </c>
      <c r="BN1130" s="1">
        <v>44621</v>
      </c>
      <c r="BO1130" s="1">
        <v>4.8099999999999996</v>
      </c>
      <c r="BP1130" s="1">
        <v>44622</v>
      </c>
      <c r="BQ1130" s="1">
        <v>4.633</v>
      </c>
      <c r="BR1130" s="1">
        <v>44622</v>
      </c>
      <c r="BS1130" s="1">
        <v>4.2249999999999996</v>
      </c>
      <c r="BT1130" s="1">
        <v>44622</v>
      </c>
      <c r="BU1130" s="1">
        <v>3.9449999999999998</v>
      </c>
      <c r="BV1130" s="1">
        <v>44622</v>
      </c>
      <c r="BW1130" s="1">
        <v>3.7</v>
      </c>
      <c r="BY1130" s="1">
        <v>44540</v>
      </c>
      <c r="BZ1130" s="1">
        <v>2.1</v>
      </c>
      <c r="CA1130" s="1">
        <v>44552</v>
      </c>
      <c r="CB1130" s="1">
        <v>3.94</v>
      </c>
      <c r="CC1130" s="1">
        <v>44622</v>
      </c>
      <c r="CD1130" s="1">
        <v>5.74</v>
      </c>
      <c r="CE1130" s="1">
        <v>44622</v>
      </c>
      <c r="CF1130" s="1">
        <v>6.1189999999999998</v>
      </c>
      <c r="CG1130" s="1">
        <v>44622</v>
      </c>
      <c r="CH1130" s="1">
        <v>6.4</v>
      </c>
      <c r="CI1130" s="1">
        <v>44622</v>
      </c>
      <c r="CJ1130" s="1">
        <v>6.6</v>
      </c>
      <c r="CK1130" s="1">
        <v>44622</v>
      </c>
      <c r="CL1130" s="1">
        <v>6.51</v>
      </c>
      <c r="CM1130" s="1">
        <v>44620</v>
      </c>
      <c r="CN1130" s="1">
        <v>6.04</v>
      </c>
      <c r="CO1130" s="1">
        <v>44610</v>
      </c>
      <c r="CP1130" s="1">
        <v>5.41</v>
      </c>
      <c r="CQ1130" s="1">
        <v>44610</v>
      </c>
      <c r="CR1130" s="1">
        <v>5.19</v>
      </c>
      <c r="CS1130" s="1">
        <v>44610</v>
      </c>
      <c r="CT1130" s="1">
        <v>4.9400000000000004</v>
      </c>
    </row>
    <row r="1131" spans="31:98" x14ac:dyDescent="0.2">
      <c r="AE1131" s="1">
        <v>44613</v>
      </c>
      <c r="AF1131" s="1">
        <v>2.75</v>
      </c>
      <c r="AG1131" s="1">
        <v>44560</v>
      </c>
      <c r="AH1131" s="1">
        <v>2.5099999999999998</v>
      </c>
      <c r="AI1131" s="1">
        <v>44621</v>
      </c>
      <c r="AJ1131" s="1">
        <v>4.1993</v>
      </c>
      <c r="AK1131" s="1">
        <v>44621</v>
      </c>
      <c r="AL1131" s="1">
        <v>4.6087999999999996</v>
      </c>
      <c r="AM1131" s="1">
        <v>44621</v>
      </c>
      <c r="AN1131" s="1">
        <v>4.7384000000000004</v>
      </c>
      <c r="AO1131" s="1">
        <v>44621</v>
      </c>
      <c r="AP1131" s="1">
        <v>4.7427000000000001</v>
      </c>
      <c r="AQ1131" s="1">
        <v>44621</v>
      </c>
      <c r="AR1131" s="1">
        <v>4.6963999999999997</v>
      </c>
      <c r="AS1131" s="1">
        <v>44621</v>
      </c>
      <c r="AT1131" s="1">
        <v>4.4400000000000004</v>
      </c>
      <c r="AU1131" s="1">
        <v>44621</v>
      </c>
      <c r="AV1131" s="1">
        <v>4.24</v>
      </c>
      <c r="AW1131" s="1">
        <v>44621</v>
      </c>
      <c r="AX1131" s="1">
        <v>4.04</v>
      </c>
      <c r="AY1131" s="1">
        <v>44621</v>
      </c>
      <c r="AZ1131" s="1">
        <v>3.85</v>
      </c>
      <c r="BB1131" s="1">
        <v>44538</v>
      </c>
      <c r="BC1131" s="1">
        <v>2.75</v>
      </c>
      <c r="BD1131" s="1">
        <v>44560</v>
      </c>
      <c r="BE1131" s="1">
        <v>4.07</v>
      </c>
      <c r="BF1131" s="1">
        <v>44621</v>
      </c>
      <c r="BG1131" s="1">
        <v>4.79</v>
      </c>
      <c r="BH1131" s="1">
        <v>44621</v>
      </c>
      <c r="BI1131" s="1">
        <v>4.9400000000000004</v>
      </c>
      <c r="BJ1131" s="1">
        <v>44621</v>
      </c>
      <c r="BK1131" s="1">
        <v>4.9800000000000004</v>
      </c>
      <c r="BL1131" s="1">
        <v>44621</v>
      </c>
      <c r="BM1131" s="1">
        <v>4.97</v>
      </c>
      <c r="BN1131" s="1">
        <v>44620</v>
      </c>
      <c r="BO1131" s="1">
        <v>4.9580000000000002</v>
      </c>
      <c r="BP1131" s="1">
        <v>44621</v>
      </c>
      <c r="BQ1131" s="1">
        <v>4.4550000000000001</v>
      </c>
      <c r="BR1131" s="1">
        <v>44621</v>
      </c>
      <c r="BS1131" s="1">
        <v>4.048</v>
      </c>
      <c r="BT1131" s="1">
        <v>44621</v>
      </c>
      <c r="BU1131" s="1">
        <v>3.7850000000000001</v>
      </c>
      <c r="BV1131" s="1">
        <v>44621</v>
      </c>
      <c r="BW1131" s="1">
        <v>3.5529999999999999</v>
      </c>
      <c r="BY1131" s="1">
        <v>44539</v>
      </c>
      <c r="BZ1131" s="1">
        <v>2.1</v>
      </c>
      <c r="CA1131" s="1">
        <v>44551</v>
      </c>
      <c r="CB1131" s="1">
        <v>3.94</v>
      </c>
      <c r="CC1131" s="1">
        <v>44621</v>
      </c>
      <c r="CD1131" s="1">
        <v>5.52</v>
      </c>
      <c r="CE1131" s="1">
        <v>44621</v>
      </c>
      <c r="CF1131" s="1">
        <v>5.9249999999999998</v>
      </c>
      <c r="CG1131" s="1">
        <v>44621</v>
      </c>
      <c r="CH1131" s="1">
        <v>6.2149999999999999</v>
      </c>
      <c r="CI1131" s="1">
        <v>44621</v>
      </c>
      <c r="CJ1131" s="1">
        <v>6.3650000000000002</v>
      </c>
      <c r="CK1131" s="1">
        <v>44621</v>
      </c>
      <c r="CL1131" s="1">
        <v>6.25</v>
      </c>
      <c r="CM1131" s="1">
        <v>44617</v>
      </c>
      <c r="CN1131" s="1">
        <v>5.9</v>
      </c>
      <c r="CO1131" s="1">
        <v>44609</v>
      </c>
      <c r="CP1131" s="1">
        <v>5.47</v>
      </c>
      <c r="CQ1131" s="1">
        <v>44609</v>
      </c>
      <c r="CR1131" s="1">
        <v>5.25</v>
      </c>
      <c r="CS1131" s="1">
        <v>44609</v>
      </c>
      <c r="CT1131" s="1">
        <v>5</v>
      </c>
    </row>
    <row r="1132" spans="31:98" x14ac:dyDescent="0.2">
      <c r="AE1132" s="1">
        <v>44610</v>
      </c>
      <c r="AF1132" s="1">
        <v>2.75</v>
      </c>
      <c r="AG1132" s="1">
        <v>44559</v>
      </c>
      <c r="AH1132" s="1">
        <v>2.5</v>
      </c>
      <c r="AI1132" s="1">
        <v>44620</v>
      </c>
      <c r="AJ1132" s="1">
        <v>4.3280000000000003</v>
      </c>
      <c r="AK1132" s="1">
        <v>44620</v>
      </c>
      <c r="AL1132" s="1">
        <v>4.7300000000000004</v>
      </c>
      <c r="AM1132" s="1">
        <v>44620</v>
      </c>
      <c r="AN1132" s="1">
        <v>4.95</v>
      </c>
      <c r="AO1132" s="1">
        <v>44620</v>
      </c>
      <c r="AP1132" s="1">
        <v>4.99</v>
      </c>
      <c r="AQ1132" s="1">
        <v>44620</v>
      </c>
      <c r="AR1132" s="1">
        <v>4.9649999999999999</v>
      </c>
      <c r="AS1132" s="1">
        <v>44620</v>
      </c>
      <c r="AT1132" s="1">
        <v>4.72</v>
      </c>
      <c r="AU1132" s="1">
        <v>44620</v>
      </c>
      <c r="AV1132" s="1">
        <v>4.5199999999999996</v>
      </c>
      <c r="AW1132" s="1">
        <v>44620</v>
      </c>
      <c r="AX1132" s="1">
        <v>4.3150000000000004</v>
      </c>
      <c r="AY1132" s="1">
        <v>44620</v>
      </c>
      <c r="AZ1132" s="1">
        <v>4.12</v>
      </c>
      <c r="BB1132" s="1">
        <v>44537</v>
      </c>
      <c r="BC1132" s="1">
        <v>2.75</v>
      </c>
      <c r="BD1132" s="1">
        <v>44559</v>
      </c>
      <c r="BE1132" s="1">
        <v>4.0599999999999996</v>
      </c>
      <c r="BF1132" s="1">
        <v>44620</v>
      </c>
      <c r="BG1132" s="1">
        <v>4.8</v>
      </c>
      <c r="BH1132" s="1">
        <v>44620</v>
      </c>
      <c r="BI1132" s="1">
        <v>5.008</v>
      </c>
      <c r="BJ1132" s="1">
        <v>44620</v>
      </c>
      <c r="BK1132" s="1">
        <v>5.0830000000000002</v>
      </c>
      <c r="BL1132" s="1">
        <v>44620</v>
      </c>
      <c r="BM1132" s="1">
        <v>5.093</v>
      </c>
      <c r="BN1132" s="1">
        <v>44617</v>
      </c>
      <c r="BO1132" s="1">
        <v>4.9800000000000004</v>
      </c>
      <c r="BP1132" s="1">
        <v>44620</v>
      </c>
      <c r="BQ1132" s="1">
        <v>4.6079999999999997</v>
      </c>
      <c r="BR1132" s="1">
        <v>44620</v>
      </c>
      <c r="BS1132" s="1">
        <v>4.2030000000000003</v>
      </c>
      <c r="BT1132" s="1">
        <v>44620</v>
      </c>
      <c r="BU1132" s="1">
        <v>3.9079999999999999</v>
      </c>
      <c r="BV1132" s="1">
        <v>44620</v>
      </c>
      <c r="BW1132" s="1">
        <v>3.6379999999999999</v>
      </c>
      <c r="BY1132" s="1">
        <v>44538</v>
      </c>
      <c r="BZ1132" s="1">
        <v>2.1</v>
      </c>
      <c r="CA1132" s="1">
        <v>44550</v>
      </c>
      <c r="CB1132" s="1">
        <v>3.94</v>
      </c>
      <c r="CC1132" s="1">
        <v>44620</v>
      </c>
      <c r="CD1132" s="1">
        <v>5.43</v>
      </c>
      <c r="CE1132" s="1">
        <v>44620</v>
      </c>
      <c r="CF1132" s="1">
        <v>5.89</v>
      </c>
      <c r="CG1132" s="1">
        <v>44620</v>
      </c>
      <c r="CH1132" s="1">
        <v>6.18</v>
      </c>
      <c r="CI1132" s="1">
        <v>44620</v>
      </c>
      <c r="CJ1132" s="1">
        <v>6.34</v>
      </c>
      <c r="CK1132" s="1">
        <v>44620</v>
      </c>
      <c r="CL1132" s="1">
        <v>6.2050000000000001</v>
      </c>
      <c r="CM1132" s="1">
        <v>44616</v>
      </c>
      <c r="CN1132" s="1">
        <v>5.93</v>
      </c>
      <c r="CO1132" s="1">
        <v>44608</v>
      </c>
      <c r="CP1132" s="1">
        <v>5.53</v>
      </c>
      <c r="CQ1132" s="1">
        <v>44608</v>
      </c>
      <c r="CR1132" s="1">
        <v>5.31</v>
      </c>
      <c r="CS1132" s="1">
        <v>44608</v>
      </c>
      <c r="CT1132" s="1">
        <v>5.0599999999999996</v>
      </c>
    </row>
    <row r="1133" spans="31:98" x14ac:dyDescent="0.2">
      <c r="AE1133" s="1">
        <v>44609</v>
      </c>
      <c r="AF1133" s="1">
        <v>2.75</v>
      </c>
      <c r="AG1133" s="1">
        <v>44558</v>
      </c>
      <c r="AH1133" s="1">
        <v>2.5099999999999998</v>
      </c>
      <c r="AI1133" s="1">
        <v>44617</v>
      </c>
      <c r="AJ1133" s="1">
        <v>4.2641</v>
      </c>
      <c r="AK1133" s="1">
        <v>44617</v>
      </c>
      <c r="AL1133" s="1">
        <v>4.6550000000000002</v>
      </c>
      <c r="AM1133" s="1">
        <v>44617</v>
      </c>
      <c r="AN1133" s="1">
        <v>4.9000000000000004</v>
      </c>
      <c r="AO1133" s="1">
        <v>44617</v>
      </c>
      <c r="AP1133" s="1">
        <v>4.93</v>
      </c>
      <c r="AQ1133" s="1">
        <v>44617</v>
      </c>
      <c r="AR1133" s="1">
        <v>4.8943000000000003</v>
      </c>
      <c r="AS1133" s="1">
        <v>44617</v>
      </c>
      <c r="AT1133" s="1">
        <v>4.7</v>
      </c>
      <c r="AU1133" s="1">
        <v>44617</v>
      </c>
      <c r="AV1133" s="1">
        <v>4.5199999999999996</v>
      </c>
      <c r="AW1133" s="1">
        <v>44617</v>
      </c>
      <c r="AX1133" s="1">
        <v>4.32</v>
      </c>
      <c r="AY1133" s="1">
        <v>44617</v>
      </c>
      <c r="AZ1133" s="1">
        <v>4.125</v>
      </c>
      <c r="BB1133" s="1">
        <v>44536</v>
      </c>
      <c r="BC1133" s="1">
        <v>2.75</v>
      </c>
      <c r="BD1133" s="1">
        <v>44558</v>
      </c>
      <c r="BE1133" s="1">
        <v>4.0599999999999996</v>
      </c>
      <c r="BF1133" s="1">
        <v>44617</v>
      </c>
      <c r="BG1133" s="1">
        <v>4.8049999999999997</v>
      </c>
      <c r="BH1133" s="1">
        <v>44617</v>
      </c>
      <c r="BI1133" s="1">
        <v>4.9950000000000001</v>
      </c>
      <c r="BJ1133" s="1">
        <v>44617</v>
      </c>
      <c r="BK1133" s="1">
        <v>5.085</v>
      </c>
      <c r="BL1133" s="1">
        <v>44617</v>
      </c>
      <c r="BM1133" s="1">
        <v>5.0999999999999996</v>
      </c>
      <c r="BN1133" s="1">
        <v>44616</v>
      </c>
      <c r="BO1133" s="1">
        <v>5.04</v>
      </c>
      <c r="BP1133" s="1">
        <v>44617</v>
      </c>
      <c r="BQ1133" s="1">
        <v>4.6280000000000001</v>
      </c>
      <c r="BR1133" s="1">
        <v>44617</v>
      </c>
      <c r="BS1133" s="1">
        <v>4.2380000000000004</v>
      </c>
      <c r="BT1133" s="1">
        <v>44617</v>
      </c>
      <c r="BU1133" s="1">
        <v>3.9430000000000001</v>
      </c>
      <c r="BV1133" s="1">
        <v>44617</v>
      </c>
      <c r="BW1133" s="1">
        <v>3.6629999999999998</v>
      </c>
      <c r="BY1133" s="1">
        <v>44537</v>
      </c>
      <c r="BZ1133" s="1">
        <v>2.1</v>
      </c>
      <c r="CA1133" s="1">
        <v>44547</v>
      </c>
      <c r="CB1133" s="1">
        <v>3.93</v>
      </c>
      <c r="CC1133" s="1">
        <v>44617</v>
      </c>
      <c r="CD1133" s="1">
        <v>5.35</v>
      </c>
      <c r="CE1133" s="1">
        <v>44617</v>
      </c>
      <c r="CF1133" s="1">
        <v>5.74</v>
      </c>
      <c r="CG1133" s="1">
        <v>44617</v>
      </c>
      <c r="CH1133" s="1">
        <v>6.03</v>
      </c>
      <c r="CI1133" s="1">
        <v>44617</v>
      </c>
      <c r="CJ1133" s="1">
        <v>6.2</v>
      </c>
      <c r="CK1133" s="1">
        <v>44617</v>
      </c>
      <c r="CL1133" s="1">
        <v>6.05</v>
      </c>
      <c r="CM1133" s="1">
        <v>44615</v>
      </c>
      <c r="CN1133" s="1">
        <v>5.62</v>
      </c>
      <c r="CO1133" s="1">
        <v>44607</v>
      </c>
      <c r="CP1133" s="1">
        <v>5.56</v>
      </c>
      <c r="CQ1133" s="1">
        <v>44607</v>
      </c>
      <c r="CR1133" s="1">
        <v>5.35</v>
      </c>
      <c r="CS1133" s="1">
        <v>44607</v>
      </c>
      <c r="CT1133" s="1">
        <v>5.0999999999999996</v>
      </c>
    </row>
    <row r="1134" spans="31:98" x14ac:dyDescent="0.2">
      <c r="AE1134" s="1">
        <v>44608</v>
      </c>
      <c r="AF1134" s="1">
        <v>2.75</v>
      </c>
      <c r="AG1134" s="1">
        <v>44557</v>
      </c>
      <c r="AH1134" s="1">
        <v>2.48</v>
      </c>
      <c r="AI1134" s="1">
        <v>44616</v>
      </c>
      <c r="AJ1134" s="1">
        <v>4.2625000000000002</v>
      </c>
      <c r="AK1134" s="1">
        <v>44616</v>
      </c>
      <c r="AL1134" s="1">
        <v>4.7</v>
      </c>
      <c r="AM1134" s="1">
        <v>44616</v>
      </c>
      <c r="AN1134" s="1">
        <v>4.9675000000000002</v>
      </c>
      <c r="AO1134" s="1">
        <v>44616</v>
      </c>
      <c r="AP1134" s="1">
        <v>4.9974999999999996</v>
      </c>
      <c r="AQ1134" s="1">
        <v>44616</v>
      </c>
      <c r="AR1134" s="1">
        <v>4.9424999999999999</v>
      </c>
      <c r="AS1134" s="1">
        <v>44616</v>
      </c>
      <c r="AT1134" s="1">
        <v>4.7324999999999999</v>
      </c>
      <c r="AU1134" s="1">
        <v>44616</v>
      </c>
      <c r="AV1134" s="1">
        <v>4.5575000000000001</v>
      </c>
      <c r="AW1134" s="1">
        <v>44616</v>
      </c>
      <c r="AX1134" s="1">
        <v>4.3574999999999999</v>
      </c>
      <c r="AY1134" s="1">
        <v>44616</v>
      </c>
      <c r="AZ1134" s="1">
        <v>4.1624999999999996</v>
      </c>
      <c r="BB1134" s="1">
        <v>44533</v>
      </c>
      <c r="BC1134" s="1">
        <v>2.75</v>
      </c>
      <c r="BD1134" s="1">
        <v>44557</v>
      </c>
      <c r="BE1134" s="1">
        <v>4.05</v>
      </c>
      <c r="BF1134" s="1">
        <v>44616</v>
      </c>
      <c r="BG1134" s="1">
        <v>4.7699999999999996</v>
      </c>
      <c r="BH1134" s="1">
        <v>44616</v>
      </c>
      <c r="BI1134" s="1">
        <v>4.9850000000000003</v>
      </c>
      <c r="BJ1134" s="1">
        <v>44616</v>
      </c>
      <c r="BK1134" s="1">
        <v>5.15</v>
      </c>
      <c r="BL1134" s="1">
        <v>44616</v>
      </c>
      <c r="BM1134" s="1">
        <v>5.165</v>
      </c>
      <c r="BN1134" s="1">
        <v>44615</v>
      </c>
      <c r="BO1134" s="1">
        <v>4.915</v>
      </c>
      <c r="BP1134" s="1">
        <v>44616</v>
      </c>
      <c r="BQ1134" s="1">
        <v>4.66</v>
      </c>
      <c r="BR1134" s="1">
        <v>44616</v>
      </c>
      <c r="BS1134" s="1">
        <v>4.2649999999999997</v>
      </c>
      <c r="BT1134" s="1">
        <v>44616</v>
      </c>
      <c r="BU1134" s="1">
        <v>3.968</v>
      </c>
      <c r="BV1134" s="1">
        <v>44616</v>
      </c>
      <c r="BW1134" s="1">
        <v>3.6880000000000002</v>
      </c>
      <c r="BY1134" s="1">
        <v>44536</v>
      </c>
      <c r="BZ1134" s="1">
        <v>2.1</v>
      </c>
      <c r="CA1134" s="1">
        <v>44546</v>
      </c>
      <c r="CB1134" s="1">
        <v>3.92</v>
      </c>
      <c r="CC1134" s="1">
        <v>44616</v>
      </c>
      <c r="CD1134" s="1">
        <v>5.26</v>
      </c>
      <c r="CE1134" s="1">
        <v>44616</v>
      </c>
      <c r="CF1134" s="1">
        <v>5.8</v>
      </c>
      <c r="CG1134" s="1">
        <v>44616</v>
      </c>
      <c r="CH1134" s="1">
        <v>6.09</v>
      </c>
      <c r="CI1134" s="1">
        <v>44616</v>
      </c>
      <c r="CJ1134" s="1">
        <v>6.26</v>
      </c>
      <c r="CK1134" s="1">
        <v>44616</v>
      </c>
      <c r="CL1134" s="1">
        <v>6.15</v>
      </c>
      <c r="CM1134" s="1">
        <v>44614</v>
      </c>
      <c r="CN1134" s="1">
        <v>5.67</v>
      </c>
      <c r="CO1134" s="1">
        <v>44606</v>
      </c>
      <c r="CP1134" s="1">
        <v>5.47</v>
      </c>
      <c r="CQ1134" s="1">
        <v>44606</v>
      </c>
      <c r="CR1134" s="1">
        <v>5.22</v>
      </c>
      <c r="CS1134" s="1">
        <v>44606</v>
      </c>
      <c r="CT1134" s="1">
        <v>4.96</v>
      </c>
    </row>
    <row r="1135" spans="31:98" x14ac:dyDescent="0.2">
      <c r="AE1135" s="1">
        <v>44607</v>
      </c>
      <c r="AF1135" s="1">
        <v>2.75</v>
      </c>
      <c r="AG1135" s="1">
        <v>44554</v>
      </c>
      <c r="AH1135" s="1">
        <v>2.4500000000000002</v>
      </c>
      <c r="AI1135" s="1">
        <v>44615</v>
      </c>
      <c r="AJ1135" s="1">
        <v>4.0629999999999997</v>
      </c>
      <c r="AK1135" s="1">
        <v>44615</v>
      </c>
      <c r="AL1135" s="1">
        <v>4.4974999999999996</v>
      </c>
      <c r="AM1135" s="1">
        <v>44615</v>
      </c>
      <c r="AN1135" s="1">
        <v>4.7549999999999999</v>
      </c>
      <c r="AO1135" s="1">
        <v>44615</v>
      </c>
      <c r="AP1135" s="1">
        <v>4.8250000000000002</v>
      </c>
      <c r="AQ1135" s="1">
        <v>44615</v>
      </c>
      <c r="AR1135" s="1">
        <v>4.82</v>
      </c>
      <c r="AS1135" s="1">
        <v>44615</v>
      </c>
      <c r="AT1135" s="1">
        <v>4.5925000000000002</v>
      </c>
      <c r="AU1135" s="1">
        <v>44615</v>
      </c>
      <c r="AV1135" s="1">
        <v>4.4249999999999998</v>
      </c>
      <c r="AW1135" s="1">
        <v>44615</v>
      </c>
      <c r="AX1135" s="1">
        <v>4.2149999999999999</v>
      </c>
      <c r="AY1135" s="1">
        <v>44615</v>
      </c>
      <c r="AZ1135" s="1">
        <v>4.0199999999999996</v>
      </c>
      <c r="BB1135" s="1">
        <v>44532</v>
      </c>
      <c r="BC1135" s="1">
        <v>2.75</v>
      </c>
      <c r="BD1135" s="1">
        <v>44553</v>
      </c>
      <c r="BE1135" s="1">
        <v>4.05</v>
      </c>
      <c r="BF1135" s="1">
        <v>44615</v>
      </c>
      <c r="BG1135" s="1">
        <v>4.8150000000000004</v>
      </c>
      <c r="BH1135" s="1">
        <v>44615</v>
      </c>
      <c r="BI1135" s="1">
        <v>5.0250000000000004</v>
      </c>
      <c r="BJ1135" s="1">
        <v>44615</v>
      </c>
      <c r="BK1135" s="1">
        <v>5.0780000000000003</v>
      </c>
      <c r="BL1135" s="1">
        <v>44615</v>
      </c>
      <c r="BM1135" s="1">
        <v>5.0880000000000001</v>
      </c>
      <c r="BN1135" s="1">
        <v>44614</v>
      </c>
      <c r="BO1135" s="1">
        <v>4.7629999999999999</v>
      </c>
      <c r="BP1135" s="1">
        <v>44615</v>
      </c>
      <c r="BQ1135" s="1">
        <v>4.51</v>
      </c>
      <c r="BR1135" s="1">
        <v>44615</v>
      </c>
      <c r="BS1135" s="1">
        <v>4.1829999999999998</v>
      </c>
      <c r="BT1135" s="1">
        <v>44615</v>
      </c>
      <c r="BU1135" s="1">
        <v>3.903</v>
      </c>
      <c r="BV1135" s="1">
        <v>44615</v>
      </c>
      <c r="BW1135" s="1">
        <v>3.665</v>
      </c>
      <c r="BY1135" s="1">
        <v>44533</v>
      </c>
      <c r="BZ1135" s="1">
        <v>2.1</v>
      </c>
      <c r="CA1135" s="1">
        <v>44545</v>
      </c>
      <c r="CB1135" s="1">
        <v>3.82</v>
      </c>
      <c r="CC1135" s="1">
        <v>44615</v>
      </c>
      <c r="CD1135" s="1">
        <v>5.0359999999999996</v>
      </c>
      <c r="CE1135" s="1">
        <v>44615</v>
      </c>
      <c r="CF1135" s="1">
        <v>5.39</v>
      </c>
      <c r="CG1135" s="1">
        <v>44615</v>
      </c>
      <c r="CH1135" s="1">
        <v>5.68</v>
      </c>
      <c r="CI1135" s="1">
        <v>44615</v>
      </c>
      <c r="CJ1135" s="1">
        <v>5.94</v>
      </c>
      <c r="CK1135" s="1">
        <v>44615</v>
      </c>
      <c r="CL1135" s="1">
        <v>5.81</v>
      </c>
      <c r="CM1135" s="1">
        <v>44613</v>
      </c>
      <c r="CN1135" s="1">
        <v>5.58</v>
      </c>
      <c r="CO1135" s="1">
        <v>44603</v>
      </c>
      <c r="CP1135" s="1">
        <v>5.31</v>
      </c>
      <c r="CQ1135" s="1">
        <v>44603</v>
      </c>
      <c r="CR1135" s="1">
        <v>5.05</v>
      </c>
      <c r="CS1135" s="1">
        <v>44603</v>
      </c>
      <c r="CT1135" s="1">
        <v>4.78</v>
      </c>
    </row>
    <row r="1136" spans="31:98" x14ac:dyDescent="0.2">
      <c r="AE1136" s="1">
        <v>44606</v>
      </c>
      <c r="AF1136" s="1">
        <v>2.75</v>
      </c>
      <c r="AG1136" s="1">
        <v>44553</v>
      </c>
      <c r="AH1136" s="1">
        <v>2.41</v>
      </c>
      <c r="AI1136" s="1">
        <v>44614</v>
      </c>
      <c r="AJ1136" s="1">
        <v>3.9725000000000001</v>
      </c>
      <c r="AK1136" s="1">
        <v>44614</v>
      </c>
      <c r="AL1136" s="1">
        <v>4.4400000000000004</v>
      </c>
      <c r="AM1136" s="1">
        <v>44614</v>
      </c>
      <c r="AN1136" s="1">
        <v>4.7050000000000001</v>
      </c>
      <c r="AO1136" s="1">
        <v>44614</v>
      </c>
      <c r="AP1136" s="1">
        <v>4.7549999999999999</v>
      </c>
      <c r="AQ1136" s="1">
        <v>44614</v>
      </c>
      <c r="AR1136" s="1">
        <v>4.74</v>
      </c>
      <c r="AS1136" s="1">
        <v>44614</v>
      </c>
      <c r="AT1136" s="1">
        <v>4.53</v>
      </c>
      <c r="AU1136" s="1">
        <v>44614</v>
      </c>
      <c r="AV1136" s="1">
        <v>4.3650000000000002</v>
      </c>
      <c r="AW1136" s="1">
        <v>44614</v>
      </c>
      <c r="AX1136" s="1">
        <v>4.16</v>
      </c>
      <c r="AY1136" s="1">
        <v>44614</v>
      </c>
      <c r="AZ1136" s="1">
        <v>3.9649999999999999</v>
      </c>
      <c r="BB1136" s="1">
        <v>44531</v>
      </c>
      <c r="BC1136" s="1">
        <v>2.75</v>
      </c>
      <c r="BD1136" s="1">
        <v>44552</v>
      </c>
      <c r="BE1136" s="1">
        <v>3.49</v>
      </c>
      <c r="BF1136" s="1">
        <v>44614</v>
      </c>
      <c r="BG1136" s="1">
        <v>4.7549999999999999</v>
      </c>
      <c r="BH1136" s="1">
        <v>44614</v>
      </c>
      <c r="BI1136" s="1">
        <v>4.95</v>
      </c>
      <c r="BJ1136" s="1">
        <v>44614</v>
      </c>
      <c r="BK1136" s="1">
        <v>5.0149999999999997</v>
      </c>
      <c r="BL1136" s="1">
        <v>44614</v>
      </c>
      <c r="BM1136" s="1">
        <v>5.008</v>
      </c>
      <c r="BN1136" s="1">
        <v>44613</v>
      </c>
      <c r="BO1136" s="1">
        <v>4.7830000000000004</v>
      </c>
      <c r="BP1136" s="1">
        <v>44614</v>
      </c>
      <c r="BQ1136" s="1">
        <v>4.3499999999999996</v>
      </c>
      <c r="BR1136" s="1">
        <v>44614</v>
      </c>
      <c r="BS1136" s="1">
        <v>4.0199999999999996</v>
      </c>
      <c r="BT1136" s="1">
        <v>44614</v>
      </c>
      <c r="BU1136" s="1">
        <v>3.7850000000000001</v>
      </c>
      <c r="BV1136" s="1">
        <v>44614</v>
      </c>
      <c r="BW1136" s="1">
        <v>3.5830000000000002</v>
      </c>
      <c r="BY1136" s="1">
        <v>44532</v>
      </c>
      <c r="BZ1136" s="1">
        <v>2.1</v>
      </c>
      <c r="CA1136" s="1">
        <v>44544</v>
      </c>
      <c r="CB1136" s="1">
        <v>3.69</v>
      </c>
      <c r="CC1136" s="1">
        <v>44614</v>
      </c>
      <c r="CD1136" s="1">
        <v>4.9829999999999997</v>
      </c>
      <c r="CE1136" s="1">
        <v>44614</v>
      </c>
      <c r="CF1136" s="1">
        <v>5.4260000000000002</v>
      </c>
      <c r="CG1136" s="1">
        <v>44614</v>
      </c>
      <c r="CH1136" s="1">
        <v>5.7</v>
      </c>
      <c r="CI1136" s="1">
        <v>44614</v>
      </c>
      <c r="CJ1136" s="1">
        <v>5.96</v>
      </c>
      <c r="CK1136" s="1">
        <v>44614</v>
      </c>
      <c r="CL1136" s="1">
        <v>5.83</v>
      </c>
      <c r="CM1136" s="1">
        <v>44610</v>
      </c>
      <c r="CN1136" s="1">
        <v>5.6</v>
      </c>
      <c r="CO1136" s="1">
        <v>44602</v>
      </c>
      <c r="CP1136" s="1">
        <v>4.9249999999999998</v>
      </c>
      <c r="CQ1136" s="1">
        <v>44602</v>
      </c>
      <c r="CR1136" s="1">
        <v>4.6749999999999998</v>
      </c>
      <c r="CS1136" s="1">
        <v>44602</v>
      </c>
      <c r="CT1136" s="1">
        <v>4.4050000000000002</v>
      </c>
    </row>
    <row r="1137" spans="31:98" x14ac:dyDescent="0.2">
      <c r="AE1137" s="1">
        <v>44603</v>
      </c>
      <c r="AF1137" s="1">
        <v>2.75</v>
      </c>
      <c r="AG1137" s="1">
        <v>44552</v>
      </c>
      <c r="AH1137" s="1">
        <v>2.4</v>
      </c>
      <c r="AI1137" s="1">
        <v>44613</v>
      </c>
      <c r="AJ1137" s="1">
        <v>3.9409999999999998</v>
      </c>
      <c r="AK1137" s="1">
        <v>44613</v>
      </c>
      <c r="AL1137" s="1">
        <v>4.4349999999999996</v>
      </c>
      <c r="AM1137" s="1">
        <v>44613</v>
      </c>
      <c r="AN1137" s="1">
        <v>4.6449999999999996</v>
      </c>
      <c r="AO1137" s="1">
        <v>44613</v>
      </c>
      <c r="AP1137" s="1">
        <v>4.6950000000000003</v>
      </c>
      <c r="AQ1137" s="1">
        <v>44613</v>
      </c>
      <c r="AR1137" s="1">
        <v>4.66</v>
      </c>
      <c r="AS1137" s="1">
        <v>44613</v>
      </c>
      <c r="AT1137" s="1">
        <v>4.4749999999999996</v>
      </c>
      <c r="AU1137" s="1">
        <v>44613</v>
      </c>
      <c r="AV1137" s="1">
        <v>4.3150000000000004</v>
      </c>
      <c r="AW1137" s="1">
        <v>44613</v>
      </c>
      <c r="AX1137" s="1">
        <v>4.1150000000000002</v>
      </c>
      <c r="AY1137" s="1">
        <v>44613</v>
      </c>
      <c r="AZ1137" s="1">
        <v>3.9249999999999998</v>
      </c>
      <c r="BB1137" s="1">
        <v>44530</v>
      </c>
      <c r="BC1137" s="1">
        <v>2.75</v>
      </c>
      <c r="BD1137" s="1">
        <v>44551</v>
      </c>
      <c r="BE1137" s="1">
        <v>3.46</v>
      </c>
      <c r="BF1137" s="1">
        <v>44613</v>
      </c>
      <c r="BG1137" s="1">
        <v>4.8099999999999996</v>
      </c>
      <c r="BH1137" s="1">
        <v>44613</v>
      </c>
      <c r="BI1137" s="1">
        <v>4.97</v>
      </c>
      <c r="BJ1137" s="1">
        <v>44613</v>
      </c>
      <c r="BK1137" s="1">
        <v>5.05</v>
      </c>
      <c r="BL1137" s="1">
        <v>44613</v>
      </c>
      <c r="BM1137" s="1">
        <v>5.0380000000000003</v>
      </c>
      <c r="BN1137" s="1">
        <v>44610</v>
      </c>
      <c r="BO1137" s="1">
        <v>4.79</v>
      </c>
      <c r="BP1137" s="1">
        <v>44613</v>
      </c>
      <c r="BQ1137" s="1">
        <v>4.3780000000000001</v>
      </c>
      <c r="BR1137" s="1">
        <v>44613</v>
      </c>
      <c r="BS1137" s="1">
        <v>4.0330000000000004</v>
      </c>
      <c r="BT1137" s="1">
        <v>44613</v>
      </c>
      <c r="BU1137" s="1">
        <v>3.823</v>
      </c>
      <c r="BV1137" s="1">
        <v>44613</v>
      </c>
      <c r="BW1137" s="1">
        <v>3.6280000000000001</v>
      </c>
      <c r="BY1137" s="1">
        <v>44531</v>
      </c>
      <c r="BZ1137" s="1">
        <v>2.1</v>
      </c>
      <c r="CA1137" s="1">
        <v>44543</v>
      </c>
      <c r="CB1137" s="1">
        <v>3.68</v>
      </c>
      <c r="CC1137" s="1">
        <v>44613</v>
      </c>
      <c r="CD1137" s="1">
        <v>5.0650000000000004</v>
      </c>
      <c r="CE1137" s="1">
        <v>44613</v>
      </c>
      <c r="CF1137" s="1">
        <v>5.55</v>
      </c>
      <c r="CG1137" s="1">
        <v>44613</v>
      </c>
      <c r="CH1137" s="1">
        <v>5.78</v>
      </c>
      <c r="CI1137" s="1">
        <v>44613</v>
      </c>
      <c r="CJ1137" s="1">
        <v>5.92</v>
      </c>
      <c r="CK1137" s="1">
        <v>44613</v>
      </c>
      <c r="CL1137" s="1">
        <v>5.8</v>
      </c>
      <c r="CM1137" s="1">
        <v>44609</v>
      </c>
      <c r="CN1137" s="1">
        <v>5.66</v>
      </c>
      <c r="CO1137" s="1">
        <v>44601</v>
      </c>
      <c r="CP1137" s="1">
        <v>4.7300000000000004</v>
      </c>
      <c r="CQ1137" s="1">
        <v>44601</v>
      </c>
      <c r="CR1137" s="1">
        <v>4.46</v>
      </c>
      <c r="CS1137" s="1">
        <v>44601</v>
      </c>
      <c r="CT1137" s="1">
        <v>4.17</v>
      </c>
    </row>
    <row r="1138" spans="31:98" x14ac:dyDescent="0.2">
      <c r="AE1138" s="1">
        <v>44602</v>
      </c>
      <c r="AF1138" s="1">
        <v>2.75</v>
      </c>
      <c r="AG1138" s="1">
        <v>44551</v>
      </c>
      <c r="AH1138" s="1">
        <v>2.4</v>
      </c>
      <c r="AI1138" s="1">
        <v>44610</v>
      </c>
      <c r="AJ1138" s="1">
        <v>3.9510000000000001</v>
      </c>
      <c r="AK1138" s="1">
        <v>44610</v>
      </c>
      <c r="AL1138" s="1">
        <v>4.3899999999999997</v>
      </c>
      <c r="AM1138" s="1">
        <v>44610</v>
      </c>
      <c r="AN1138" s="1">
        <v>4.62</v>
      </c>
      <c r="AO1138" s="1">
        <v>44610</v>
      </c>
      <c r="AP1138" s="1">
        <v>4.6849999999999996</v>
      </c>
      <c r="AQ1138" s="1">
        <v>44610</v>
      </c>
      <c r="AR1138" s="1">
        <v>4.6749999999999998</v>
      </c>
      <c r="AS1138" s="1">
        <v>44610</v>
      </c>
      <c r="AT1138" s="1">
        <v>4.5350000000000001</v>
      </c>
      <c r="AU1138" s="1">
        <v>44610</v>
      </c>
      <c r="AV1138" s="1">
        <v>4.4000000000000004</v>
      </c>
      <c r="AW1138" s="1">
        <v>44610</v>
      </c>
      <c r="AX1138" s="1">
        <v>4.22</v>
      </c>
      <c r="AY1138" s="1">
        <v>44610</v>
      </c>
      <c r="AZ1138" s="1">
        <v>4.04</v>
      </c>
      <c r="BB1138" s="1">
        <v>44529</v>
      </c>
      <c r="BC1138" s="1">
        <v>2.75</v>
      </c>
      <c r="BD1138" s="1">
        <v>44550</v>
      </c>
      <c r="BE1138" s="1">
        <v>3.4</v>
      </c>
      <c r="BF1138" s="1">
        <v>44610</v>
      </c>
      <c r="BG1138" s="1">
        <v>4.8150000000000004</v>
      </c>
      <c r="BH1138" s="1">
        <v>44610</v>
      </c>
      <c r="BI1138" s="1">
        <v>4.99</v>
      </c>
      <c r="BJ1138" s="1">
        <v>44610</v>
      </c>
      <c r="BK1138" s="1">
        <v>5.07</v>
      </c>
      <c r="BL1138" s="1">
        <v>44610</v>
      </c>
      <c r="BM1138" s="1">
        <v>5.0650000000000004</v>
      </c>
      <c r="BN1138" s="1">
        <v>44609</v>
      </c>
      <c r="BO1138" s="1">
        <v>4.7880000000000003</v>
      </c>
      <c r="BP1138" s="1">
        <v>44610</v>
      </c>
      <c r="BQ1138" s="1">
        <v>4.4050000000000002</v>
      </c>
      <c r="BR1138" s="1">
        <v>44610</v>
      </c>
      <c r="BS1138" s="1">
        <v>4.0650000000000004</v>
      </c>
      <c r="BT1138" s="1">
        <v>44610</v>
      </c>
      <c r="BU1138" s="1">
        <v>3.8679999999999999</v>
      </c>
      <c r="BV1138" s="1">
        <v>44610</v>
      </c>
      <c r="BW1138" s="1">
        <v>3.6680000000000001</v>
      </c>
      <c r="BY1138" s="1">
        <v>44530</v>
      </c>
      <c r="BZ1138" s="1">
        <v>2.1</v>
      </c>
      <c r="CA1138" s="1">
        <v>44540</v>
      </c>
      <c r="CB1138" s="1">
        <v>3.66</v>
      </c>
      <c r="CC1138" s="1">
        <v>44610</v>
      </c>
      <c r="CD1138" s="1">
        <v>5</v>
      </c>
      <c r="CE1138" s="1">
        <v>44610</v>
      </c>
      <c r="CF1138" s="1">
        <v>5.55</v>
      </c>
      <c r="CG1138" s="1">
        <v>44610</v>
      </c>
      <c r="CH1138" s="1">
        <v>5.78</v>
      </c>
      <c r="CI1138" s="1">
        <v>44610</v>
      </c>
      <c r="CJ1138" s="1">
        <v>5.92</v>
      </c>
      <c r="CK1138" s="1">
        <v>44610</v>
      </c>
      <c r="CL1138" s="1">
        <v>5.8</v>
      </c>
      <c r="CM1138" s="1">
        <v>44608</v>
      </c>
      <c r="CN1138" s="1">
        <v>5.72</v>
      </c>
      <c r="CO1138" s="1">
        <v>44600</v>
      </c>
      <c r="CP1138" s="1">
        <v>4.8099999999999996</v>
      </c>
      <c r="CQ1138" s="1">
        <v>44600</v>
      </c>
      <c r="CR1138" s="1">
        <v>4.5599999999999996</v>
      </c>
      <c r="CS1138" s="1">
        <v>44600</v>
      </c>
      <c r="CT1138" s="1">
        <v>4.2699999999999996</v>
      </c>
    </row>
    <row r="1139" spans="31:98" x14ac:dyDescent="0.2">
      <c r="AE1139" s="1">
        <v>44601</v>
      </c>
      <c r="AF1139" s="1">
        <v>2.75</v>
      </c>
      <c r="AG1139" s="1">
        <v>44550</v>
      </c>
      <c r="AH1139" s="1">
        <v>2.37</v>
      </c>
      <c r="AI1139" s="1">
        <v>44609</v>
      </c>
      <c r="AJ1139" s="1">
        <v>3.9590000000000001</v>
      </c>
      <c r="AK1139" s="1">
        <v>44609</v>
      </c>
      <c r="AL1139" s="1">
        <v>4.42</v>
      </c>
      <c r="AM1139" s="1">
        <v>44609</v>
      </c>
      <c r="AN1139" s="1">
        <v>4.66</v>
      </c>
      <c r="AO1139" s="1">
        <v>44609</v>
      </c>
      <c r="AP1139" s="1">
        <v>4.7300000000000004</v>
      </c>
      <c r="AQ1139" s="1">
        <v>44609</v>
      </c>
      <c r="AR1139" s="1">
        <v>4.72</v>
      </c>
      <c r="AS1139" s="1">
        <v>44609</v>
      </c>
      <c r="AT1139" s="1">
        <v>4.59</v>
      </c>
      <c r="AU1139" s="1">
        <v>44609</v>
      </c>
      <c r="AV1139" s="1">
        <v>4.4550000000000001</v>
      </c>
      <c r="AW1139" s="1">
        <v>44609</v>
      </c>
      <c r="AX1139" s="1">
        <v>4.2750000000000004</v>
      </c>
      <c r="AY1139" s="1">
        <v>44609</v>
      </c>
      <c r="AZ1139" s="1">
        <v>4.0949999999999998</v>
      </c>
      <c r="BB1139" s="1">
        <v>44526</v>
      </c>
      <c r="BC1139" s="1">
        <v>2.75</v>
      </c>
      <c r="BD1139" s="1">
        <v>44547</v>
      </c>
      <c r="BE1139" s="1">
        <v>3.37</v>
      </c>
      <c r="BF1139" s="1">
        <v>44609</v>
      </c>
      <c r="BG1139" s="1">
        <v>4.8150000000000004</v>
      </c>
      <c r="BH1139" s="1">
        <v>44609</v>
      </c>
      <c r="BI1139" s="1">
        <v>4.9930000000000003</v>
      </c>
      <c r="BJ1139" s="1">
        <v>44609</v>
      </c>
      <c r="BK1139" s="1">
        <v>5.0750000000000002</v>
      </c>
      <c r="BL1139" s="1">
        <v>44609</v>
      </c>
      <c r="BM1139" s="1">
        <v>5.0679999999999996</v>
      </c>
      <c r="BN1139" s="1">
        <v>44608</v>
      </c>
      <c r="BO1139" s="1">
        <v>4.8</v>
      </c>
      <c r="BP1139" s="1">
        <v>44609</v>
      </c>
      <c r="BQ1139" s="1">
        <v>4.4000000000000004</v>
      </c>
      <c r="BR1139" s="1">
        <v>44609</v>
      </c>
      <c r="BS1139" s="1">
        <v>4.0599999999999996</v>
      </c>
      <c r="BT1139" s="1">
        <v>44609</v>
      </c>
      <c r="BU1139" s="1">
        <v>3.863</v>
      </c>
      <c r="BV1139" s="1">
        <v>44609</v>
      </c>
      <c r="BW1139" s="1">
        <v>3.6629999999999998</v>
      </c>
      <c r="BY1139" s="1">
        <v>44529</v>
      </c>
      <c r="BZ1139" s="1">
        <v>2.1</v>
      </c>
      <c r="CA1139" s="1">
        <v>44539</v>
      </c>
      <c r="CB1139" s="1">
        <v>3.65</v>
      </c>
      <c r="CC1139" s="1">
        <v>44609</v>
      </c>
      <c r="CD1139" s="1">
        <v>5.0095000000000001</v>
      </c>
      <c r="CE1139" s="1">
        <v>44609</v>
      </c>
      <c r="CF1139" s="1">
        <v>5.6</v>
      </c>
      <c r="CG1139" s="1">
        <v>44609</v>
      </c>
      <c r="CH1139" s="1">
        <v>5.83</v>
      </c>
      <c r="CI1139" s="1">
        <v>44609</v>
      </c>
      <c r="CJ1139" s="1">
        <v>5.97</v>
      </c>
      <c r="CK1139" s="1">
        <v>44609</v>
      </c>
      <c r="CL1139" s="1">
        <v>5.7850000000000001</v>
      </c>
      <c r="CM1139" s="1">
        <v>44607</v>
      </c>
      <c r="CN1139" s="1">
        <v>5.74</v>
      </c>
      <c r="CO1139" s="1">
        <v>44599</v>
      </c>
      <c r="CP1139" s="1">
        <v>4.92</v>
      </c>
      <c r="CQ1139" s="1">
        <v>44599</v>
      </c>
      <c r="CR1139" s="1">
        <v>4.6900000000000004</v>
      </c>
      <c r="CS1139" s="1">
        <v>44599</v>
      </c>
      <c r="CT1139" s="1">
        <v>4.4400000000000004</v>
      </c>
    </row>
    <row r="1140" spans="31:98" x14ac:dyDescent="0.2">
      <c r="AE1140" s="1">
        <v>44600</v>
      </c>
      <c r="AF1140" s="1">
        <v>2.75</v>
      </c>
      <c r="AG1140" s="1">
        <v>44547</v>
      </c>
      <c r="AH1140" s="1">
        <v>2.35</v>
      </c>
      <c r="AI1140" s="1">
        <v>44608</v>
      </c>
      <c r="AJ1140" s="1">
        <v>3.9129999999999998</v>
      </c>
      <c r="AK1140" s="1">
        <v>44608</v>
      </c>
      <c r="AL1140" s="1">
        <v>4.41</v>
      </c>
      <c r="AM1140" s="1">
        <v>44608</v>
      </c>
      <c r="AN1140" s="1">
        <v>4.62</v>
      </c>
      <c r="AO1140" s="1">
        <v>44608</v>
      </c>
      <c r="AP1140" s="1">
        <v>4.7050000000000001</v>
      </c>
      <c r="AQ1140" s="1">
        <v>44608</v>
      </c>
      <c r="AR1140" s="1">
        <v>4.7050000000000001</v>
      </c>
      <c r="AS1140" s="1">
        <v>44608</v>
      </c>
      <c r="AT1140" s="1">
        <v>4.6050000000000004</v>
      </c>
      <c r="AU1140" s="1">
        <v>44608</v>
      </c>
      <c r="AV1140" s="1">
        <v>4.47</v>
      </c>
      <c r="AW1140" s="1">
        <v>44608</v>
      </c>
      <c r="AX1140" s="1">
        <v>4.3099999999999996</v>
      </c>
      <c r="AY1140" s="1">
        <v>44608</v>
      </c>
      <c r="AZ1140" s="1">
        <v>4.1550000000000002</v>
      </c>
      <c r="BB1140" s="1">
        <v>44525</v>
      </c>
      <c r="BC1140" s="1">
        <v>2.75</v>
      </c>
      <c r="BD1140" s="1">
        <v>44546</v>
      </c>
      <c r="BE1140" s="1">
        <v>3.35</v>
      </c>
      <c r="BF1140" s="1">
        <v>44608</v>
      </c>
      <c r="BG1140" s="1">
        <v>4.82</v>
      </c>
      <c r="BH1140" s="1">
        <v>44608</v>
      </c>
      <c r="BI1140" s="1">
        <v>5.0149999999999997</v>
      </c>
      <c r="BJ1140" s="1">
        <v>44608</v>
      </c>
      <c r="BK1140" s="1">
        <v>5.0949999999999998</v>
      </c>
      <c r="BL1140" s="1">
        <v>44608</v>
      </c>
      <c r="BM1140" s="1">
        <v>5.093</v>
      </c>
      <c r="BN1140" s="1">
        <v>44607</v>
      </c>
      <c r="BO1140" s="1">
        <v>4.82</v>
      </c>
      <c r="BP1140" s="1">
        <v>44608</v>
      </c>
      <c r="BQ1140" s="1">
        <v>4.43</v>
      </c>
      <c r="BR1140" s="1">
        <v>44608</v>
      </c>
      <c r="BS1140" s="1">
        <v>4.1029999999999998</v>
      </c>
      <c r="BT1140" s="1">
        <v>44608</v>
      </c>
      <c r="BU1140" s="1">
        <v>3.92</v>
      </c>
      <c r="BV1140" s="1">
        <v>44608</v>
      </c>
      <c r="BW1140" s="1">
        <v>3.738</v>
      </c>
      <c r="BY1140" s="1">
        <v>44526</v>
      </c>
      <c r="BZ1140" s="1">
        <v>2.1</v>
      </c>
      <c r="CA1140" s="1">
        <v>44538</v>
      </c>
      <c r="CB1140" s="1">
        <v>3.52</v>
      </c>
      <c r="CC1140" s="1">
        <v>44608</v>
      </c>
      <c r="CD1140" s="1">
        <v>5.01</v>
      </c>
      <c r="CE1140" s="1">
        <v>44608</v>
      </c>
      <c r="CF1140" s="1">
        <v>5.54</v>
      </c>
      <c r="CG1140" s="1">
        <v>44608</v>
      </c>
      <c r="CH1140" s="1">
        <v>5.88</v>
      </c>
      <c r="CI1140" s="1">
        <v>44608</v>
      </c>
      <c r="CJ1140" s="1">
        <v>6.02</v>
      </c>
      <c r="CK1140" s="1">
        <v>44608</v>
      </c>
      <c r="CL1140" s="1">
        <v>5.93</v>
      </c>
      <c r="CM1140" s="1">
        <v>44606</v>
      </c>
      <c r="CN1140" s="1">
        <v>5.68</v>
      </c>
      <c r="CO1140" s="1">
        <v>44596</v>
      </c>
      <c r="CP1140" s="1">
        <v>5.0199999999999996</v>
      </c>
      <c r="CQ1140" s="1">
        <v>44596</v>
      </c>
      <c r="CR1140" s="1">
        <v>4.78</v>
      </c>
      <c r="CS1140" s="1">
        <v>44596</v>
      </c>
      <c r="CT1140" s="1">
        <v>4.53</v>
      </c>
    </row>
    <row r="1141" spans="31:98" x14ac:dyDescent="0.2">
      <c r="AE1141" s="1">
        <v>44599</v>
      </c>
      <c r="AF1141" s="1">
        <v>2.25</v>
      </c>
      <c r="AG1141" s="1">
        <v>44546</v>
      </c>
      <c r="AH1141" s="1">
        <v>2.35</v>
      </c>
      <c r="AI1141" s="1">
        <v>44607</v>
      </c>
      <c r="AJ1141" s="1">
        <v>3.9014000000000002</v>
      </c>
      <c r="AK1141" s="1">
        <v>44607</v>
      </c>
      <c r="AL1141" s="1">
        <v>4.3849999999999998</v>
      </c>
      <c r="AM1141" s="1">
        <v>44607</v>
      </c>
      <c r="AN1141" s="1">
        <v>4.6150000000000002</v>
      </c>
      <c r="AO1141" s="1">
        <v>44607</v>
      </c>
      <c r="AP1141" s="1">
        <v>4.665</v>
      </c>
      <c r="AQ1141" s="1">
        <v>44607</v>
      </c>
      <c r="AR1141" s="1">
        <v>4.7</v>
      </c>
      <c r="AS1141" s="1">
        <v>44607</v>
      </c>
      <c r="AT1141" s="1">
        <v>4.5999999999999996</v>
      </c>
      <c r="AU1141" s="1">
        <v>44607</v>
      </c>
      <c r="AV1141" s="1">
        <v>4.4550000000000001</v>
      </c>
      <c r="AW1141" s="1">
        <v>44607</v>
      </c>
      <c r="AX1141" s="1">
        <v>4.3099999999999996</v>
      </c>
      <c r="AY1141" s="1">
        <v>44607</v>
      </c>
      <c r="AZ1141" s="1">
        <v>4.16</v>
      </c>
      <c r="BB1141" s="1">
        <v>44524</v>
      </c>
      <c r="BC1141" s="1">
        <v>2.75</v>
      </c>
      <c r="BD1141" s="1">
        <v>44545</v>
      </c>
      <c r="BE1141" s="1">
        <v>3.33</v>
      </c>
      <c r="BF1141" s="1">
        <v>44607</v>
      </c>
      <c r="BG1141" s="1">
        <v>4.83</v>
      </c>
      <c r="BH1141" s="1">
        <v>44607</v>
      </c>
      <c r="BI1141" s="1">
        <v>5.0250000000000004</v>
      </c>
      <c r="BJ1141" s="1">
        <v>44607</v>
      </c>
      <c r="BK1141" s="1">
        <v>5.07</v>
      </c>
      <c r="BL1141" s="1">
        <v>44607</v>
      </c>
      <c r="BM1141" s="1">
        <v>5.0730000000000004</v>
      </c>
      <c r="BN1141" s="1">
        <v>44606</v>
      </c>
      <c r="BO1141" s="1">
        <v>4.8849999999999998</v>
      </c>
      <c r="BP1141" s="1">
        <v>44607</v>
      </c>
      <c r="BQ1141" s="1">
        <v>4.4800000000000004</v>
      </c>
      <c r="BR1141" s="1">
        <v>44607</v>
      </c>
      <c r="BS1141" s="1">
        <v>4.16</v>
      </c>
      <c r="BT1141" s="1">
        <v>44607</v>
      </c>
      <c r="BU1141" s="1">
        <v>3.9929999999999999</v>
      </c>
      <c r="BV1141" s="1">
        <v>44607</v>
      </c>
      <c r="BW1141" s="1">
        <v>3.8250000000000002</v>
      </c>
      <c r="BY1141" s="1">
        <v>44525</v>
      </c>
      <c r="BZ1141" s="1">
        <v>2.1</v>
      </c>
      <c r="CA1141" s="1">
        <v>44537</v>
      </c>
      <c r="CB1141" s="1">
        <v>3.5</v>
      </c>
      <c r="CC1141" s="1">
        <v>44607</v>
      </c>
      <c r="CD1141" s="1">
        <v>4.99</v>
      </c>
      <c r="CE1141" s="1">
        <v>44607</v>
      </c>
      <c r="CF1141" s="1">
        <v>5.5175000000000001</v>
      </c>
      <c r="CG1141" s="1">
        <v>44607</v>
      </c>
      <c r="CH1141" s="1">
        <v>5.86</v>
      </c>
      <c r="CI1141" s="1">
        <v>44607</v>
      </c>
      <c r="CJ1141" s="1">
        <v>5.95</v>
      </c>
      <c r="CK1141" s="1">
        <v>44607</v>
      </c>
      <c r="CL1141" s="1">
        <v>5.91</v>
      </c>
      <c r="CM1141" s="1">
        <v>44603</v>
      </c>
      <c r="CN1141" s="1">
        <v>5.53</v>
      </c>
      <c r="CO1141" s="1">
        <v>44595</v>
      </c>
      <c r="CP1141" s="1">
        <v>5.4</v>
      </c>
      <c r="CQ1141" s="1">
        <v>44595</v>
      </c>
      <c r="CR1141" s="1">
        <v>5.24</v>
      </c>
      <c r="CS1141" s="1">
        <v>44595</v>
      </c>
      <c r="CT1141" s="1">
        <v>5.0599999999999996</v>
      </c>
    </row>
    <row r="1142" spans="31:98" x14ac:dyDescent="0.2">
      <c r="AE1142" s="1">
        <v>44596</v>
      </c>
      <c r="AF1142" s="1">
        <v>2.25</v>
      </c>
      <c r="AG1142" s="1">
        <v>44545</v>
      </c>
      <c r="AH1142" s="1">
        <v>2.33</v>
      </c>
      <c r="AI1142" s="1">
        <v>44606</v>
      </c>
      <c r="AJ1142" s="1">
        <v>3.9079999999999999</v>
      </c>
      <c r="AK1142" s="1">
        <v>44606</v>
      </c>
      <c r="AL1142" s="1">
        <v>4.4249999999999998</v>
      </c>
      <c r="AM1142" s="1">
        <v>44606</v>
      </c>
      <c r="AN1142" s="1">
        <v>4.6749999999999998</v>
      </c>
      <c r="AO1142" s="1">
        <v>44606</v>
      </c>
      <c r="AP1142" s="1">
        <v>4.83</v>
      </c>
      <c r="AQ1142" s="1">
        <v>44606</v>
      </c>
      <c r="AR1142" s="1">
        <v>4.8449999999999998</v>
      </c>
      <c r="AS1142" s="1">
        <v>44606</v>
      </c>
      <c r="AT1142" s="1">
        <v>4.6825000000000001</v>
      </c>
      <c r="AU1142" s="1">
        <v>44606</v>
      </c>
      <c r="AV1142" s="1">
        <v>4.5475000000000003</v>
      </c>
      <c r="AW1142" s="1">
        <v>44606</v>
      </c>
      <c r="AX1142" s="1">
        <v>4.4024999999999999</v>
      </c>
      <c r="AY1142" s="1">
        <v>44606</v>
      </c>
      <c r="AZ1142" s="1">
        <v>4.2525000000000004</v>
      </c>
      <c r="BB1142" s="1">
        <v>44523</v>
      </c>
      <c r="BC1142" s="1">
        <v>2.75</v>
      </c>
      <c r="BD1142" s="1">
        <v>44544</v>
      </c>
      <c r="BE1142" s="1">
        <v>3.29</v>
      </c>
      <c r="BF1142" s="1">
        <v>44606</v>
      </c>
      <c r="BG1142" s="1">
        <v>4.83</v>
      </c>
      <c r="BH1142" s="1">
        <v>44606</v>
      </c>
      <c r="BI1142" s="1">
        <v>5.0129999999999999</v>
      </c>
      <c r="BJ1142" s="1">
        <v>44606</v>
      </c>
      <c r="BK1142" s="1">
        <v>5.07</v>
      </c>
      <c r="BL1142" s="1">
        <v>44606</v>
      </c>
      <c r="BM1142" s="1">
        <v>5.0750000000000002</v>
      </c>
      <c r="BN1142" s="1">
        <v>44603</v>
      </c>
      <c r="BO1142" s="1">
        <v>4.835</v>
      </c>
      <c r="BP1142" s="1">
        <v>44606</v>
      </c>
      <c r="BQ1142" s="1">
        <v>4.59</v>
      </c>
      <c r="BR1142" s="1">
        <v>44606</v>
      </c>
      <c r="BS1142" s="1">
        <v>4.3029999999999999</v>
      </c>
      <c r="BT1142" s="1">
        <v>44606</v>
      </c>
      <c r="BU1142" s="1">
        <v>4.0830000000000002</v>
      </c>
      <c r="BV1142" s="1">
        <v>44606</v>
      </c>
      <c r="BW1142" s="1">
        <v>3.923</v>
      </c>
      <c r="BY1142" s="1">
        <v>44524</v>
      </c>
      <c r="BZ1142" s="1">
        <v>2.1</v>
      </c>
      <c r="CA1142" s="1">
        <v>44536</v>
      </c>
      <c r="CB1142" s="1">
        <v>3.49</v>
      </c>
      <c r="CC1142" s="1">
        <v>44606</v>
      </c>
      <c r="CD1142" s="1">
        <v>5.03</v>
      </c>
      <c r="CE1142" s="1">
        <v>44606</v>
      </c>
      <c r="CF1142" s="1">
        <v>5.65</v>
      </c>
      <c r="CG1142" s="1">
        <v>44606</v>
      </c>
      <c r="CH1142" s="1">
        <v>5.89</v>
      </c>
      <c r="CI1142" s="1">
        <v>44606</v>
      </c>
      <c r="CJ1142" s="1">
        <v>6.01</v>
      </c>
      <c r="CK1142" s="1">
        <v>44606</v>
      </c>
      <c r="CL1142" s="1">
        <v>5.8</v>
      </c>
      <c r="CM1142" s="1">
        <v>44602</v>
      </c>
      <c r="CN1142" s="1">
        <v>5.1349999999999998</v>
      </c>
      <c r="CO1142" s="1">
        <v>44594</v>
      </c>
      <c r="CP1142" s="1">
        <v>5.35</v>
      </c>
      <c r="CQ1142" s="1">
        <v>44594</v>
      </c>
      <c r="CR1142" s="1">
        <v>5.19</v>
      </c>
      <c r="CS1142" s="1">
        <v>44594</v>
      </c>
      <c r="CT1142" s="1">
        <v>5.0199999999999996</v>
      </c>
    </row>
    <row r="1143" spans="31:98" x14ac:dyDescent="0.2">
      <c r="AE1143" s="1">
        <v>44595</v>
      </c>
      <c r="AF1143" s="1">
        <v>2.25</v>
      </c>
      <c r="AG1143" s="1">
        <v>44544</v>
      </c>
      <c r="AH1143" s="1">
        <v>2.3199999999999998</v>
      </c>
      <c r="AI1143" s="1">
        <v>44603</v>
      </c>
      <c r="AJ1143" s="1">
        <v>3.79</v>
      </c>
      <c r="AK1143" s="1">
        <v>44603</v>
      </c>
      <c r="AL1143" s="1">
        <v>4.2699999999999996</v>
      </c>
      <c r="AM1143" s="1">
        <v>44603</v>
      </c>
      <c r="AN1143" s="1">
        <v>4.5250000000000004</v>
      </c>
      <c r="AO1143" s="1">
        <v>44603</v>
      </c>
      <c r="AP1143" s="1">
        <v>4.6449999999999996</v>
      </c>
      <c r="AQ1143" s="1">
        <v>44603</v>
      </c>
      <c r="AR1143" s="1">
        <v>4.665</v>
      </c>
      <c r="AS1143" s="1">
        <v>44603</v>
      </c>
      <c r="AT1143" s="1">
        <v>4.585</v>
      </c>
      <c r="AU1143" s="1">
        <v>44603</v>
      </c>
      <c r="AV1143" s="1">
        <v>4.45</v>
      </c>
      <c r="AW1143" s="1">
        <v>44603</v>
      </c>
      <c r="AX1143" s="1">
        <v>4.3099999999999996</v>
      </c>
      <c r="AY1143" s="1">
        <v>44603</v>
      </c>
      <c r="AZ1143" s="1">
        <v>4.16</v>
      </c>
      <c r="BB1143" s="1">
        <v>44522</v>
      </c>
      <c r="BC1143" s="1">
        <v>2.75</v>
      </c>
      <c r="BD1143" s="1">
        <v>44543</v>
      </c>
      <c r="BE1143" s="1">
        <v>3.28</v>
      </c>
      <c r="BF1143" s="1">
        <v>44603</v>
      </c>
      <c r="BG1143" s="1">
        <v>4.8150000000000004</v>
      </c>
      <c r="BH1143" s="1">
        <v>44603</v>
      </c>
      <c r="BI1143" s="1">
        <v>4.95</v>
      </c>
      <c r="BJ1143" s="1">
        <v>44603</v>
      </c>
      <c r="BK1143" s="1">
        <v>4.9950000000000001</v>
      </c>
      <c r="BL1143" s="1">
        <v>44603</v>
      </c>
      <c r="BM1143" s="1">
        <v>5.0149999999999997</v>
      </c>
      <c r="BN1143" s="1">
        <v>44602</v>
      </c>
      <c r="BO1143" s="1">
        <v>4.74</v>
      </c>
      <c r="BP1143" s="1">
        <v>44603</v>
      </c>
      <c r="BQ1143" s="1">
        <v>4.5330000000000004</v>
      </c>
      <c r="BR1143" s="1">
        <v>44603</v>
      </c>
      <c r="BS1143" s="1">
        <v>4.2549999999999999</v>
      </c>
      <c r="BT1143" s="1">
        <v>44603</v>
      </c>
      <c r="BU1143" s="1">
        <v>4.048</v>
      </c>
      <c r="BV1143" s="1">
        <v>44603</v>
      </c>
      <c r="BW1143" s="1">
        <v>3.875</v>
      </c>
      <c r="BY1143" s="1">
        <v>44523</v>
      </c>
      <c r="BZ1143" s="1">
        <v>2.1</v>
      </c>
      <c r="CA1143" s="1">
        <v>44533</v>
      </c>
      <c r="CB1143" s="1">
        <v>3.47</v>
      </c>
      <c r="CC1143" s="1">
        <v>44603</v>
      </c>
      <c r="CD1143" s="1">
        <v>5.04</v>
      </c>
      <c r="CE1143" s="1">
        <v>44603</v>
      </c>
      <c r="CF1143" s="1">
        <v>5.52</v>
      </c>
      <c r="CG1143" s="1">
        <v>44603</v>
      </c>
      <c r="CH1143" s="1">
        <v>5.76</v>
      </c>
      <c r="CI1143" s="1">
        <v>44603</v>
      </c>
      <c r="CJ1143" s="1">
        <v>5.88</v>
      </c>
      <c r="CK1143" s="1">
        <v>44603</v>
      </c>
      <c r="CL1143" s="1">
        <v>5.75</v>
      </c>
      <c r="CM1143" s="1">
        <v>44601</v>
      </c>
      <c r="CN1143" s="1">
        <v>4.96</v>
      </c>
      <c r="CO1143" s="1">
        <v>44593</v>
      </c>
      <c r="CP1143" s="1">
        <v>5.32</v>
      </c>
      <c r="CQ1143" s="1">
        <v>44593</v>
      </c>
      <c r="CR1143" s="1">
        <v>5.17</v>
      </c>
      <c r="CS1143" s="1">
        <v>44593</v>
      </c>
      <c r="CT1143" s="1">
        <v>5</v>
      </c>
    </row>
    <row r="1144" spans="31:98" x14ac:dyDescent="0.2">
      <c r="AE1144" s="1">
        <v>44594</v>
      </c>
      <c r="AF1144" s="1">
        <v>2.25</v>
      </c>
      <c r="AG1144" s="1">
        <v>44543</v>
      </c>
      <c r="AH1144" s="1">
        <v>2.31</v>
      </c>
      <c r="AI1144" s="1">
        <v>44602</v>
      </c>
      <c r="AJ1144" s="1">
        <v>3.7397</v>
      </c>
      <c r="AK1144" s="1">
        <v>44602</v>
      </c>
      <c r="AL1144" s="1">
        <v>4.26</v>
      </c>
      <c r="AM1144" s="1">
        <v>44602</v>
      </c>
      <c r="AN1144" s="1">
        <v>4.45</v>
      </c>
      <c r="AO1144" s="1">
        <v>44602</v>
      </c>
      <c r="AP1144" s="1">
        <v>4.5949999999999998</v>
      </c>
      <c r="AQ1144" s="1">
        <v>44602</v>
      </c>
      <c r="AR1144" s="1">
        <v>4.5949999999999998</v>
      </c>
      <c r="AS1144" s="1">
        <v>44602</v>
      </c>
      <c r="AT1144" s="1">
        <v>4.5250000000000004</v>
      </c>
      <c r="AU1144" s="1">
        <v>44602</v>
      </c>
      <c r="AV1144" s="1">
        <v>4.3849999999999998</v>
      </c>
      <c r="AW1144" s="1">
        <v>44602</v>
      </c>
      <c r="AX1144" s="1">
        <v>4.24</v>
      </c>
      <c r="AY1144" s="1">
        <v>44602</v>
      </c>
      <c r="AZ1144" s="1">
        <v>4.085</v>
      </c>
      <c r="BB1144" s="1">
        <v>44519</v>
      </c>
      <c r="BC1144" s="1">
        <v>2.75</v>
      </c>
      <c r="BD1144" s="1">
        <v>44540</v>
      </c>
      <c r="BE1144" s="1">
        <v>3.25</v>
      </c>
      <c r="BF1144" s="1">
        <v>44602</v>
      </c>
      <c r="BG1144" s="1">
        <v>4.78</v>
      </c>
      <c r="BH1144" s="1">
        <v>44602</v>
      </c>
      <c r="BI1144" s="1">
        <v>4.9349999999999996</v>
      </c>
      <c r="BJ1144" s="1">
        <v>44602</v>
      </c>
      <c r="BK1144" s="1">
        <v>4.9749999999999996</v>
      </c>
      <c r="BL1144" s="1">
        <v>44602</v>
      </c>
      <c r="BM1144" s="1">
        <v>4.9800000000000004</v>
      </c>
      <c r="BN1144" s="1">
        <v>44601</v>
      </c>
      <c r="BO1144" s="1">
        <v>4.6900000000000004</v>
      </c>
      <c r="BP1144" s="1">
        <v>44602</v>
      </c>
      <c r="BQ1144" s="1">
        <v>4.4279999999999999</v>
      </c>
      <c r="BR1144" s="1">
        <v>44602</v>
      </c>
      <c r="BS1144" s="1">
        <v>4.1029999999999998</v>
      </c>
      <c r="BT1144" s="1">
        <v>44602</v>
      </c>
      <c r="BU1144" s="1">
        <v>3.9</v>
      </c>
      <c r="BV1144" s="1">
        <v>44602</v>
      </c>
      <c r="BW1144" s="1">
        <v>3.7330000000000001</v>
      </c>
      <c r="BY1144" s="1">
        <v>44522</v>
      </c>
      <c r="BZ1144" s="1">
        <v>2.1</v>
      </c>
      <c r="CA1144" s="1">
        <v>44532</v>
      </c>
      <c r="CB1144" s="1">
        <v>3.45</v>
      </c>
      <c r="CC1144" s="1">
        <v>44602</v>
      </c>
      <c r="CD1144" s="1">
        <v>4.83</v>
      </c>
      <c r="CE1144" s="1">
        <v>44602</v>
      </c>
      <c r="CF1144" s="1">
        <v>5.13</v>
      </c>
      <c r="CG1144" s="1">
        <v>44602</v>
      </c>
      <c r="CH1144" s="1">
        <v>5.28</v>
      </c>
      <c r="CI1144" s="1">
        <v>44602</v>
      </c>
      <c r="CJ1144" s="1">
        <v>5.43</v>
      </c>
      <c r="CK1144" s="1">
        <v>44602</v>
      </c>
      <c r="CL1144" s="1">
        <v>5.3449999999999998</v>
      </c>
      <c r="CM1144" s="1">
        <v>44600</v>
      </c>
      <c r="CN1144" s="1">
        <v>5.05</v>
      </c>
      <c r="CO1144" s="1">
        <v>44592</v>
      </c>
      <c r="CP1144" s="1">
        <v>5.36</v>
      </c>
      <c r="CQ1144" s="1">
        <v>44592</v>
      </c>
      <c r="CR1144" s="1">
        <v>5.23</v>
      </c>
      <c r="CS1144" s="1">
        <v>44592</v>
      </c>
      <c r="CT1144" s="1">
        <v>5.07</v>
      </c>
    </row>
    <row r="1145" spans="31:98" x14ac:dyDescent="0.2">
      <c r="AE1145" s="1">
        <v>44593</v>
      </c>
      <c r="AF1145" s="1">
        <v>2.25</v>
      </c>
      <c r="AG1145" s="1">
        <v>44540</v>
      </c>
      <c r="AH1145" s="1">
        <v>2.2999999999999998</v>
      </c>
      <c r="AI1145" s="1">
        <v>44601</v>
      </c>
      <c r="AJ1145" s="1">
        <v>3.6905000000000001</v>
      </c>
      <c r="AK1145" s="1">
        <v>44601</v>
      </c>
      <c r="AL1145" s="1">
        <v>4.2149999999999999</v>
      </c>
      <c r="AM1145" s="1">
        <v>44601</v>
      </c>
      <c r="AN1145" s="1">
        <v>4.3899999999999997</v>
      </c>
      <c r="AO1145" s="1">
        <v>44601</v>
      </c>
      <c r="AP1145" s="1">
        <v>4.5650000000000004</v>
      </c>
      <c r="AQ1145" s="1">
        <v>44601</v>
      </c>
      <c r="AR1145" s="1">
        <v>4.5750000000000002</v>
      </c>
      <c r="AS1145" s="1">
        <v>44601</v>
      </c>
      <c r="AT1145" s="1">
        <v>4.46</v>
      </c>
      <c r="AU1145" s="1">
        <v>44601</v>
      </c>
      <c r="AV1145" s="1">
        <v>4.3049999999999997</v>
      </c>
      <c r="AW1145" s="1">
        <v>44601</v>
      </c>
      <c r="AX1145" s="1">
        <v>4.16</v>
      </c>
      <c r="AY1145" s="1">
        <v>44601</v>
      </c>
      <c r="AZ1145" s="1">
        <v>4.01</v>
      </c>
      <c r="BB1145" s="1">
        <v>44518</v>
      </c>
      <c r="BC1145" s="1">
        <v>2.75</v>
      </c>
      <c r="BD1145" s="1">
        <v>44539</v>
      </c>
      <c r="BE1145" s="1">
        <v>3.24</v>
      </c>
      <c r="BF1145" s="1">
        <v>44601</v>
      </c>
      <c r="BG1145" s="1">
        <v>4.79</v>
      </c>
      <c r="BH1145" s="1">
        <v>44601</v>
      </c>
      <c r="BI1145" s="1">
        <v>4.915</v>
      </c>
      <c r="BJ1145" s="1">
        <v>44601</v>
      </c>
      <c r="BK1145" s="1">
        <v>4.9349999999999996</v>
      </c>
      <c r="BL1145" s="1">
        <v>44601</v>
      </c>
      <c r="BM1145" s="1">
        <v>4.9400000000000004</v>
      </c>
      <c r="BN1145" s="1">
        <v>44600</v>
      </c>
      <c r="BO1145" s="1">
        <v>4.6399999999999997</v>
      </c>
      <c r="BP1145" s="1">
        <v>44601</v>
      </c>
      <c r="BQ1145" s="1">
        <v>4.33</v>
      </c>
      <c r="BR1145" s="1">
        <v>44601</v>
      </c>
      <c r="BS1145" s="1">
        <v>3.94</v>
      </c>
      <c r="BT1145" s="1">
        <v>44601</v>
      </c>
      <c r="BU1145" s="1">
        <v>3.7450000000000001</v>
      </c>
      <c r="BV1145" s="1">
        <v>44601</v>
      </c>
      <c r="BW1145" s="1">
        <v>3.6</v>
      </c>
      <c r="BY1145" s="1">
        <v>44519</v>
      </c>
      <c r="BZ1145" s="1">
        <v>2.1</v>
      </c>
      <c r="CA1145" s="1">
        <v>44531</v>
      </c>
      <c r="CB1145" s="1">
        <v>3.36</v>
      </c>
      <c r="CC1145" s="1">
        <v>44601</v>
      </c>
      <c r="CD1145" s="1">
        <v>4.78</v>
      </c>
      <c r="CE1145" s="1">
        <v>44601</v>
      </c>
      <c r="CF1145" s="1">
        <v>5.0095000000000001</v>
      </c>
      <c r="CG1145" s="1">
        <v>44601</v>
      </c>
      <c r="CH1145" s="1">
        <v>5.18</v>
      </c>
      <c r="CI1145" s="1">
        <v>44601</v>
      </c>
      <c r="CJ1145" s="1">
        <v>5.29</v>
      </c>
      <c r="CK1145" s="1">
        <v>44601</v>
      </c>
      <c r="CL1145" s="1">
        <v>5.2149999999999999</v>
      </c>
      <c r="CM1145" s="1">
        <v>44599</v>
      </c>
      <c r="CN1145" s="1">
        <v>5.14</v>
      </c>
      <c r="CO1145" s="1">
        <v>44589</v>
      </c>
      <c r="CP1145" s="1">
        <v>5.26</v>
      </c>
      <c r="CQ1145" s="1">
        <v>44589</v>
      </c>
      <c r="CR1145" s="1">
        <v>5.13</v>
      </c>
      <c r="CS1145" s="1">
        <v>44589</v>
      </c>
      <c r="CT1145" s="1">
        <v>4.97</v>
      </c>
    </row>
    <row r="1146" spans="31:98" x14ac:dyDescent="0.2">
      <c r="AE1146" s="1">
        <v>44592</v>
      </c>
      <c r="AF1146" s="1">
        <v>2.25</v>
      </c>
      <c r="AG1146" s="1">
        <v>44539</v>
      </c>
      <c r="AH1146" s="1">
        <v>2.27</v>
      </c>
      <c r="AI1146" s="1">
        <v>44600</v>
      </c>
      <c r="AJ1146" s="1">
        <v>3.621</v>
      </c>
      <c r="AK1146" s="1">
        <v>44600</v>
      </c>
      <c r="AL1146" s="1">
        <v>4.1100000000000003</v>
      </c>
      <c r="AM1146" s="1">
        <v>44600</v>
      </c>
      <c r="AN1146" s="1">
        <v>4.3650000000000002</v>
      </c>
      <c r="AO1146" s="1">
        <v>44600</v>
      </c>
      <c r="AP1146" s="1">
        <v>4.49</v>
      </c>
      <c r="AQ1146" s="1">
        <v>44600</v>
      </c>
      <c r="AR1146" s="1">
        <v>4.4649999999999999</v>
      </c>
      <c r="AS1146" s="1">
        <v>44600</v>
      </c>
      <c r="AT1146" s="1">
        <v>4.375</v>
      </c>
      <c r="AU1146" s="1">
        <v>44600</v>
      </c>
      <c r="AV1146" s="1">
        <v>4.2</v>
      </c>
      <c r="AW1146" s="1">
        <v>44600</v>
      </c>
      <c r="AX1146" s="1">
        <v>4.05</v>
      </c>
      <c r="AY1146" s="1">
        <v>44600</v>
      </c>
      <c r="AZ1146" s="1">
        <v>3.9</v>
      </c>
      <c r="BB1146" s="1">
        <v>44516</v>
      </c>
      <c r="BC1146" s="1">
        <v>2.75</v>
      </c>
      <c r="BD1146" s="1">
        <v>44538</v>
      </c>
      <c r="BE1146" s="1">
        <v>3.22</v>
      </c>
      <c r="BF1146" s="1">
        <v>44600</v>
      </c>
      <c r="BG1146" s="1">
        <v>4.79</v>
      </c>
      <c r="BH1146" s="1">
        <v>44600</v>
      </c>
      <c r="BI1146" s="1">
        <v>4.8979999999999997</v>
      </c>
      <c r="BJ1146" s="1">
        <v>44600</v>
      </c>
      <c r="BK1146" s="1">
        <v>4.92</v>
      </c>
      <c r="BL1146" s="1">
        <v>44600</v>
      </c>
      <c r="BM1146" s="1">
        <v>4.93</v>
      </c>
      <c r="BN1146" s="1">
        <v>44599</v>
      </c>
      <c r="BO1146" s="1">
        <v>4.54</v>
      </c>
      <c r="BP1146" s="1">
        <v>44600</v>
      </c>
      <c r="BQ1146" s="1">
        <v>4.2329999999999997</v>
      </c>
      <c r="BR1146" s="1">
        <v>44600</v>
      </c>
      <c r="BS1146" s="1">
        <v>3.82</v>
      </c>
      <c r="BT1146" s="1">
        <v>44600</v>
      </c>
      <c r="BU1146" s="1">
        <v>3.605</v>
      </c>
      <c r="BV1146" s="1">
        <v>44600</v>
      </c>
      <c r="BW1146" s="1">
        <v>3.4929999999999999</v>
      </c>
      <c r="BY1146" s="1">
        <v>44518</v>
      </c>
      <c r="BZ1146" s="1">
        <v>2.1</v>
      </c>
      <c r="CA1146" s="1">
        <v>44530</v>
      </c>
      <c r="CB1146" s="1">
        <v>3.33</v>
      </c>
      <c r="CC1146" s="1">
        <v>44600</v>
      </c>
      <c r="CD1146" s="1">
        <v>4.75</v>
      </c>
      <c r="CE1146" s="1">
        <v>44600</v>
      </c>
      <c r="CF1146" s="1">
        <v>4.95</v>
      </c>
      <c r="CG1146" s="1">
        <v>44600</v>
      </c>
      <c r="CH1146" s="1">
        <v>5.13</v>
      </c>
      <c r="CI1146" s="1">
        <v>44600</v>
      </c>
      <c r="CJ1146" s="1">
        <v>5.4</v>
      </c>
      <c r="CK1146" s="1">
        <v>44600</v>
      </c>
      <c r="CL1146" s="1">
        <v>5.34</v>
      </c>
      <c r="CM1146" s="1">
        <v>44596</v>
      </c>
      <c r="CN1146" s="1">
        <v>5.24</v>
      </c>
      <c r="CO1146" s="1">
        <v>44588</v>
      </c>
      <c r="CP1146" s="1">
        <v>5.15</v>
      </c>
      <c r="CQ1146" s="1">
        <v>44588</v>
      </c>
      <c r="CR1146" s="1">
        <v>4.96</v>
      </c>
      <c r="CS1146" s="1">
        <v>44588</v>
      </c>
      <c r="CT1146" s="1">
        <v>4.75</v>
      </c>
    </row>
    <row r="1147" spans="31:98" x14ac:dyDescent="0.2">
      <c r="AE1147" s="1">
        <v>44589</v>
      </c>
      <c r="AF1147" s="1">
        <v>2.25</v>
      </c>
      <c r="AG1147" s="1">
        <v>44538</v>
      </c>
      <c r="AH1147" s="1">
        <v>2.27</v>
      </c>
      <c r="AI1147" s="1">
        <v>44599</v>
      </c>
      <c r="AJ1147" s="1">
        <v>3.5825999999999998</v>
      </c>
      <c r="AK1147" s="1">
        <v>44599</v>
      </c>
      <c r="AL1147" s="1">
        <v>4.1093999999999999</v>
      </c>
      <c r="AM1147" s="1">
        <v>44599</v>
      </c>
      <c r="AN1147" s="1">
        <v>4.3968999999999996</v>
      </c>
      <c r="AO1147" s="1">
        <v>44599</v>
      </c>
      <c r="AP1147" s="1">
        <v>4.6238999999999999</v>
      </c>
      <c r="AQ1147" s="1">
        <v>44599</v>
      </c>
      <c r="AR1147" s="1">
        <v>4.6346999999999996</v>
      </c>
      <c r="AS1147" s="1">
        <v>44599</v>
      </c>
      <c r="AT1147" s="1">
        <v>4.5350000000000001</v>
      </c>
      <c r="AU1147" s="1">
        <v>44599</v>
      </c>
      <c r="AV1147" s="1">
        <v>4.3499999999999996</v>
      </c>
      <c r="AW1147" s="1">
        <v>44599</v>
      </c>
      <c r="AX1147" s="1">
        <v>4.2</v>
      </c>
      <c r="AY1147" s="1">
        <v>44599</v>
      </c>
      <c r="AZ1147" s="1">
        <v>4.0549999999999997</v>
      </c>
      <c r="BB1147" s="1">
        <v>44515</v>
      </c>
      <c r="BC1147" s="1">
        <v>2.75</v>
      </c>
      <c r="BD1147" s="1">
        <v>44537</v>
      </c>
      <c r="BE1147" s="1">
        <v>3.22</v>
      </c>
      <c r="BF1147" s="1">
        <v>44599</v>
      </c>
      <c r="BG1147" s="1">
        <v>4.82</v>
      </c>
      <c r="BH1147" s="1">
        <v>44599</v>
      </c>
      <c r="BI1147" s="1">
        <v>4.8899999999999997</v>
      </c>
      <c r="BJ1147" s="1">
        <v>44599</v>
      </c>
      <c r="BK1147" s="1">
        <v>4.8929999999999998</v>
      </c>
      <c r="BL1147" s="1">
        <v>44599</v>
      </c>
      <c r="BM1147" s="1">
        <v>4.88</v>
      </c>
      <c r="BN1147" s="1">
        <v>44596</v>
      </c>
      <c r="BO1147" s="1">
        <v>4.4800000000000004</v>
      </c>
      <c r="BP1147" s="1">
        <v>44599</v>
      </c>
      <c r="BQ1147" s="1">
        <v>4.1449999999999996</v>
      </c>
      <c r="BR1147" s="1">
        <v>44599</v>
      </c>
      <c r="BS1147" s="1">
        <v>3.6880000000000002</v>
      </c>
      <c r="BT1147" s="1">
        <v>44599</v>
      </c>
      <c r="BU1147" s="1">
        <v>3.4630000000000001</v>
      </c>
      <c r="BV1147" s="1">
        <v>44599</v>
      </c>
      <c r="BW1147" s="1">
        <v>3.343</v>
      </c>
      <c r="BY1147" s="1">
        <v>44517</v>
      </c>
      <c r="BZ1147" s="1">
        <v>2.1</v>
      </c>
      <c r="CA1147" s="1">
        <v>44529</v>
      </c>
      <c r="CB1147" s="1">
        <v>3.34</v>
      </c>
      <c r="CC1147" s="1">
        <v>44599</v>
      </c>
      <c r="CD1147" s="1">
        <v>4.76</v>
      </c>
      <c r="CE1147" s="1">
        <v>44599</v>
      </c>
      <c r="CF1147" s="1">
        <v>5.03</v>
      </c>
      <c r="CG1147" s="1">
        <v>44599</v>
      </c>
      <c r="CH1147" s="1">
        <v>5.16</v>
      </c>
      <c r="CI1147" s="1">
        <v>44599</v>
      </c>
      <c r="CJ1147" s="1">
        <v>5.43</v>
      </c>
      <c r="CK1147" s="1">
        <v>44599</v>
      </c>
      <c r="CL1147" s="1">
        <v>5.3650000000000002</v>
      </c>
      <c r="CM1147" s="1">
        <v>44595</v>
      </c>
      <c r="CN1147" s="1">
        <v>5.54</v>
      </c>
      <c r="CO1147" s="1">
        <v>44587</v>
      </c>
      <c r="CP1147" s="1">
        <v>5.03</v>
      </c>
      <c r="CQ1147" s="1">
        <v>44587</v>
      </c>
      <c r="CR1147" s="1">
        <v>4.84</v>
      </c>
      <c r="CS1147" s="1">
        <v>44587</v>
      </c>
      <c r="CT1147" s="1">
        <v>4.63</v>
      </c>
    </row>
    <row r="1148" spans="31:98" x14ac:dyDescent="0.2">
      <c r="AE1148" s="1">
        <v>44588</v>
      </c>
      <c r="AF1148" s="1">
        <v>2.25</v>
      </c>
      <c r="AG1148" s="1">
        <v>44537</v>
      </c>
      <c r="AH1148" s="1">
        <v>2.2599999999999998</v>
      </c>
      <c r="AI1148" s="1">
        <v>44596</v>
      </c>
      <c r="AJ1148" s="1">
        <v>3.58</v>
      </c>
      <c r="AK1148" s="1">
        <v>44596</v>
      </c>
      <c r="AL1148" s="1">
        <v>4.05</v>
      </c>
      <c r="AM1148" s="1">
        <v>44596</v>
      </c>
      <c r="AN1148" s="1">
        <v>4.4000000000000004</v>
      </c>
      <c r="AO1148" s="1">
        <v>44596</v>
      </c>
      <c r="AP1148" s="1">
        <v>4.66</v>
      </c>
      <c r="AQ1148" s="1">
        <v>44596</v>
      </c>
      <c r="AR1148" s="1">
        <v>4.6950000000000003</v>
      </c>
      <c r="AS1148" s="1">
        <v>44596</v>
      </c>
      <c r="AT1148" s="1">
        <v>4.6150000000000002</v>
      </c>
      <c r="AU1148" s="1">
        <v>44596</v>
      </c>
      <c r="AV1148" s="1">
        <v>4.4450000000000003</v>
      </c>
      <c r="AW1148" s="1">
        <v>44596</v>
      </c>
      <c r="AX1148" s="1">
        <v>4.3</v>
      </c>
      <c r="AY1148" s="1">
        <v>44596</v>
      </c>
      <c r="AZ1148" s="1">
        <v>4.16</v>
      </c>
      <c r="BB1148" s="1">
        <v>44512</v>
      </c>
      <c r="BC1148" s="1">
        <v>2.75</v>
      </c>
      <c r="BD1148" s="1">
        <v>44536</v>
      </c>
      <c r="BE1148" s="1">
        <v>3.21</v>
      </c>
      <c r="BF1148" s="1">
        <v>44596</v>
      </c>
      <c r="BG1148" s="1">
        <v>4.84</v>
      </c>
      <c r="BH1148" s="1">
        <v>44596</v>
      </c>
      <c r="BI1148" s="1">
        <v>4.9050000000000002</v>
      </c>
      <c r="BJ1148" s="1">
        <v>44596</v>
      </c>
      <c r="BK1148" s="1">
        <v>4.875</v>
      </c>
      <c r="BL1148" s="1">
        <v>44596</v>
      </c>
      <c r="BM1148" s="1">
        <v>4.8899999999999997</v>
      </c>
      <c r="BN1148" s="1">
        <v>44595</v>
      </c>
      <c r="BO1148" s="1">
        <v>4.7050000000000001</v>
      </c>
      <c r="BP1148" s="1">
        <v>44596</v>
      </c>
      <c r="BQ1148" s="1">
        <v>4.165</v>
      </c>
      <c r="BR1148" s="1">
        <v>44596</v>
      </c>
      <c r="BS1148" s="1">
        <v>3.74</v>
      </c>
      <c r="BT1148" s="1">
        <v>44596</v>
      </c>
      <c r="BU1148" s="1">
        <v>3.4849999999999999</v>
      </c>
      <c r="BV1148" s="1">
        <v>44596</v>
      </c>
      <c r="BW1148" s="1">
        <v>3.38</v>
      </c>
      <c r="BY1148" s="1">
        <v>44516</v>
      </c>
      <c r="BZ1148" s="1">
        <v>1.8</v>
      </c>
      <c r="CA1148" s="1">
        <v>44526</v>
      </c>
      <c r="CB1148" s="1">
        <v>3.32</v>
      </c>
      <c r="CC1148" s="1">
        <v>44596</v>
      </c>
      <c r="CD1148" s="1">
        <v>4.84</v>
      </c>
      <c r="CE1148" s="1">
        <v>44596</v>
      </c>
      <c r="CF1148" s="1">
        <v>5.0599999999999996</v>
      </c>
      <c r="CG1148" s="1">
        <v>44596</v>
      </c>
      <c r="CH1148" s="1">
        <v>5.25</v>
      </c>
      <c r="CI1148" s="1">
        <v>44596</v>
      </c>
      <c r="CJ1148" s="1">
        <v>5.52</v>
      </c>
      <c r="CK1148" s="1">
        <v>44596</v>
      </c>
      <c r="CL1148" s="1">
        <v>5.44</v>
      </c>
      <c r="CM1148" s="1">
        <v>44594</v>
      </c>
      <c r="CN1148" s="1">
        <v>5.49</v>
      </c>
      <c r="CO1148" s="1">
        <v>44586</v>
      </c>
      <c r="CP1148" s="1">
        <v>5.03</v>
      </c>
      <c r="CQ1148" s="1">
        <v>44586</v>
      </c>
      <c r="CR1148" s="1">
        <v>4.8499999999999996</v>
      </c>
      <c r="CS1148" s="1">
        <v>44586</v>
      </c>
      <c r="CT1148" s="1">
        <v>4.6500000000000004</v>
      </c>
    </row>
    <row r="1149" spans="31:98" x14ac:dyDescent="0.2">
      <c r="AE1149" s="1">
        <v>44587</v>
      </c>
      <c r="AF1149" s="1">
        <v>2.25</v>
      </c>
      <c r="AG1149" s="1">
        <v>44536</v>
      </c>
      <c r="AH1149" s="1">
        <v>2.2400000000000002</v>
      </c>
      <c r="AI1149" s="1">
        <v>44595</v>
      </c>
      <c r="AJ1149" s="1">
        <v>3.5790000000000002</v>
      </c>
      <c r="AK1149" s="1">
        <v>44595</v>
      </c>
      <c r="AL1149" s="1">
        <v>4.0599999999999996</v>
      </c>
      <c r="AM1149" s="1">
        <v>44595</v>
      </c>
      <c r="AN1149" s="1">
        <v>4.4550000000000001</v>
      </c>
      <c r="AO1149" s="1">
        <v>44595</v>
      </c>
      <c r="AP1149" s="1">
        <v>4.7050000000000001</v>
      </c>
      <c r="AQ1149" s="1">
        <v>44595</v>
      </c>
      <c r="AR1149" s="1">
        <v>4.7300000000000004</v>
      </c>
      <c r="AS1149" s="1">
        <v>44595</v>
      </c>
      <c r="AT1149" s="1">
        <v>4.68</v>
      </c>
      <c r="AU1149" s="1">
        <v>44595</v>
      </c>
      <c r="AV1149" s="1">
        <v>4.5250000000000004</v>
      </c>
      <c r="AW1149" s="1">
        <v>44595</v>
      </c>
      <c r="AX1149" s="1">
        <v>4.3849999999999998</v>
      </c>
      <c r="AY1149" s="1">
        <v>44595</v>
      </c>
      <c r="AZ1149" s="1">
        <v>4.2450000000000001</v>
      </c>
      <c r="BB1149" s="1">
        <v>44511</v>
      </c>
      <c r="BC1149" s="1">
        <v>2.75</v>
      </c>
      <c r="BD1149" s="1">
        <v>44533</v>
      </c>
      <c r="BE1149" s="1">
        <v>3.2</v>
      </c>
      <c r="BF1149" s="1">
        <v>44595</v>
      </c>
      <c r="BG1149" s="1">
        <v>4.835</v>
      </c>
      <c r="BH1149" s="1">
        <v>44595</v>
      </c>
      <c r="BI1149" s="1">
        <v>4.93</v>
      </c>
      <c r="BJ1149" s="1">
        <v>44595</v>
      </c>
      <c r="BK1149" s="1">
        <v>4.9080000000000004</v>
      </c>
      <c r="BL1149" s="1">
        <v>44595</v>
      </c>
      <c r="BM1149" s="1">
        <v>4.8979999999999997</v>
      </c>
      <c r="BN1149" s="1">
        <v>44594</v>
      </c>
      <c r="BO1149" s="1">
        <v>4.9880000000000004</v>
      </c>
      <c r="BP1149" s="1">
        <v>44595</v>
      </c>
      <c r="BQ1149" s="1">
        <v>4.38</v>
      </c>
      <c r="BR1149" s="1">
        <v>44595</v>
      </c>
      <c r="BS1149" s="1">
        <v>4.04</v>
      </c>
      <c r="BT1149" s="1">
        <v>44595</v>
      </c>
      <c r="BU1149" s="1">
        <v>3.8330000000000002</v>
      </c>
      <c r="BV1149" s="1">
        <v>44595</v>
      </c>
      <c r="BW1149" s="1">
        <v>3.698</v>
      </c>
      <c r="BY1149" s="1">
        <v>44515</v>
      </c>
      <c r="BZ1149" s="1">
        <v>1.8</v>
      </c>
      <c r="CA1149" s="1">
        <v>44525</v>
      </c>
      <c r="CB1149" s="1">
        <v>3.29</v>
      </c>
      <c r="CC1149" s="1">
        <v>44595</v>
      </c>
      <c r="CD1149" s="1">
        <v>4.8410000000000002</v>
      </c>
      <c r="CE1149" s="1">
        <v>44595</v>
      </c>
      <c r="CF1149" s="1">
        <v>5.0730000000000004</v>
      </c>
      <c r="CG1149" s="1">
        <v>44595</v>
      </c>
      <c r="CH1149" s="1">
        <v>5.28</v>
      </c>
      <c r="CI1149" s="1">
        <v>44595</v>
      </c>
      <c r="CJ1149" s="1">
        <v>5.58</v>
      </c>
      <c r="CK1149" s="1">
        <v>44595</v>
      </c>
      <c r="CL1149" s="1">
        <v>5.52</v>
      </c>
      <c r="CM1149" s="1">
        <v>44593</v>
      </c>
      <c r="CN1149" s="1">
        <v>5.45</v>
      </c>
      <c r="CO1149" s="1">
        <v>44585</v>
      </c>
      <c r="CP1149" s="1">
        <v>5</v>
      </c>
      <c r="CQ1149" s="1">
        <v>44585</v>
      </c>
      <c r="CR1149" s="1">
        <v>4.88</v>
      </c>
      <c r="CS1149" s="1">
        <v>44585</v>
      </c>
      <c r="CT1149" s="1">
        <v>4.75</v>
      </c>
    </row>
    <row r="1150" spans="31:98" x14ac:dyDescent="0.2">
      <c r="AE1150" s="1">
        <v>44586</v>
      </c>
      <c r="AF1150" s="1">
        <v>2.25</v>
      </c>
      <c r="AG1150" s="1">
        <v>44533</v>
      </c>
      <c r="AH1150" s="1">
        <v>2.21</v>
      </c>
      <c r="AI1150" s="1">
        <v>44594</v>
      </c>
      <c r="AJ1150" s="1">
        <v>3.5571000000000002</v>
      </c>
      <c r="AK1150" s="1">
        <v>44594</v>
      </c>
      <c r="AL1150" s="1">
        <v>4.04</v>
      </c>
      <c r="AM1150" s="1">
        <v>44594</v>
      </c>
      <c r="AN1150" s="1">
        <v>4.41</v>
      </c>
      <c r="AO1150" s="1">
        <v>44594</v>
      </c>
      <c r="AP1150" s="1">
        <v>4.7</v>
      </c>
      <c r="AQ1150" s="1">
        <v>44594</v>
      </c>
      <c r="AR1150" s="1">
        <v>4.7300000000000004</v>
      </c>
      <c r="AS1150" s="1">
        <v>44594</v>
      </c>
      <c r="AT1150" s="1">
        <v>4.62</v>
      </c>
      <c r="AU1150" s="1">
        <v>44594</v>
      </c>
      <c r="AV1150" s="1">
        <v>4.4800000000000004</v>
      </c>
      <c r="AW1150" s="1">
        <v>44594</v>
      </c>
      <c r="AX1150" s="1">
        <v>4.3499999999999996</v>
      </c>
      <c r="AY1150" s="1">
        <v>44594</v>
      </c>
      <c r="AZ1150" s="1">
        <v>4.22</v>
      </c>
      <c r="BB1150" s="1">
        <v>44510</v>
      </c>
      <c r="BC1150" s="1">
        <v>2.75</v>
      </c>
      <c r="BD1150" s="1">
        <v>44532</v>
      </c>
      <c r="BE1150" s="1">
        <v>3.2</v>
      </c>
      <c r="BF1150" s="1">
        <v>44594</v>
      </c>
      <c r="BG1150" s="1">
        <v>4.9400000000000004</v>
      </c>
      <c r="BH1150" s="1">
        <v>44594</v>
      </c>
      <c r="BI1150" s="1">
        <v>5.0229999999999997</v>
      </c>
      <c r="BJ1150" s="1">
        <v>44594</v>
      </c>
      <c r="BK1150" s="1">
        <v>5.1150000000000002</v>
      </c>
      <c r="BL1150" s="1">
        <v>44594</v>
      </c>
      <c r="BM1150" s="1">
        <v>5.16</v>
      </c>
      <c r="BN1150" s="1">
        <v>44593</v>
      </c>
      <c r="BO1150" s="1">
        <v>4.9800000000000004</v>
      </c>
      <c r="BP1150" s="1">
        <v>44594</v>
      </c>
      <c r="BQ1150" s="1">
        <v>4.7080000000000002</v>
      </c>
      <c r="BR1150" s="1">
        <v>44594</v>
      </c>
      <c r="BS1150" s="1">
        <v>4.4130000000000003</v>
      </c>
      <c r="BT1150" s="1">
        <v>44594</v>
      </c>
      <c r="BU1150" s="1">
        <v>4.1900000000000004</v>
      </c>
      <c r="BV1150" s="1">
        <v>44594</v>
      </c>
      <c r="BW1150" s="1">
        <v>4.0199999999999996</v>
      </c>
      <c r="BY1150" s="1">
        <v>44512</v>
      </c>
      <c r="BZ1150" s="1">
        <v>1.8</v>
      </c>
      <c r="CA1150" s="1">
        <v>44524</v>
      </c>
      <c r="CB1150" s="1">
        <v>2.97</v>
      </c>
      <c r="CC1150" s="1">
        <v>44594</v>
      </c>
      <c r="CD1150" s="1">
        <v>4.8499999999999996</v>
      </c>
      <c r="CE1150" s="1">
        <v>44594</v>
      </c>
      <c r="CF1150" s="1">
        <v>5.1100000000000003</v>
      </c>
      <c r="CG1150" s="1">
        <v>44594</v>
      </c>
      <c r="CH1150" s="1">
        <v>5.29</v>
      </c>
      <c r="CI1150" s="1">
        <v>44594</v>
      </c>
      <c r="CJ1150" s="1">
        <v>5.6</v>
      </c>
      <c r="CK1150" s="1">
        <v>44594</v>
      </c>
      <c r="CL1150" s="1">
        <v>5.6150000000000002</v>
      </c>
      <c r="CM1150" s="1">
        <v>44592</v>
      </c>
      <c r="CN1150" s="1">
        <v>5.47</v>
      </c>
      <c r="CO1150" s="1">
        <v>44582</v>
      </c>
      <c r="CP1150" s="1">
        <v>4.9400000000000004</v>
      </c>
      <c r="CQ1150" s="1">
        <v>44582</v>
      </c>
      <c r="CR1150" s="1">
        <v>4.82</v>
      </c>
      <c r="CS1150" s="1">
        <v>44582</v>
      </c>
      <c r="CT1150" s="1">
        <v>4.6900000000000004</v>
      </c>
    </row>
    <row r="1151" spans="31:98" x14ac:dyDescent="0.2">
      <c r="AE1151" s="1">
        <v>44585</v>
      </c>
      <c r="AF1151" s="1">
        <v>2.25</v>
      </c>
      <c r="AG1151" s="1">
        <v>44532</v>
      </c>
      <c r="AH1151" s="1">
        <v>2.1800000000000002</v>
      </c>
      <c r="AI1151" s="1">
        <v>44593</v>
      </c>
      <c r="AJ1151" s="1">
        <v>3.5975000000000001</v>
      </c>
      <c r="AK1151" s="1">
        <v>44593</v>
      </c>
      <c r="AL1151" s="1">
        <v>4.0999999999999996</v>
      </c>
      <c r="AM1151" s="1">
        <v>44593</v>
      </c>
      <c r="AN1151" s="1">
        <v>4.4400000000000004</v>
      </c>
      <c r="AO1151" s="1">
        <v>44593</v>
      </c>
      <c r="AP1151" s="1">
        <v>4.76</v>
      </c>
      <c r="AQ1151" s="1">
        <v>44593</v>
      </c>
      <c r="AR1151" s="1">
        <v>4.76</v>
      </c>
      <c r="AS1151" s="1">
        <v>44593</v>
      </c>
      <c r="AT1151" s="1">
        <v>4.6399999999999997</v>
      </c>
      <c r="AU1151" s="1">
        <v>44593</v>
      </c>
      <c r="AV1151" s="1">
        <v>4.5049999999999999</v>
      </c>
      <c r="AW1151" s="1">
        <v>44593</v>
      </c>
      <c r="AX1151" s="1">
        <v>4.3550000000000004</v>
      </c>
      <c r="AY1151" s="1">
        <v>44593</v>
      </c>
      <c r="AZ1151" s="1">
        <v>4.2850000000000001</v>
      </c>
      <c r="BB1151" s="1">
        <v>44509</v>
      </c>
      <c r="BC1151" s="1">
        <v>2.75</v>
      </c>
      <c r="BD1151" s="1">
        <v>44531</v>
      </c>
      <c r="BE1151" s="1">
        <v>3.19</v>
      </c>
      <c r="BF1151" s="1">
        <v>44593</v>
      </c>
      <c r="BG1151" s="1">
        <v>4.93</v>
      </c>
      <c r="BH1151" s="1">
        <v>44593</v>
      </c>
      <c r="BI1151" s="1">
        <v>5.0229999999999997</v>
      </c>
      <c r="BJ1151" s="1">
        <v>44593</v>
      </c>
      <c r="BK1151" s="1">
        <v>5.133</v>
      </c>
      <c r="BL1151" s="1">
        <v>44593</v>
      </c>
      <c r="BM1151" s="1">
        <v>5.18</v>
      </c>
      <c r="BN1151" s="1">
        <v>44592</v>
      </c>
      <c r="BO1151" s="1">
        <v>4.9279999999999999</v>
      </c>
      <c r="BP1151" s="1">
        <v>44593</v>
      </c>
      <c r="BQ1151" s="1">
        <v>4.7480000000000002</v>
      </c>
      <c r="BR1151" s="1">
        <v>44593</v>
      </c>
      <c r="BS1151" s="1">
        <v>4.4480000000000004</v>
      </c>
      <c r="BT1151" s="1">
        <v>44593</v>
      </c>
      <c r="BU1151" s="1">
        <v>4.2149999999999999</v>
      </c>
      <c r="BV1151" s="1">
        <v>44593</v>
      </c>
      <c r="BW1151" s="1">
        <v>4.0279999999999996</v>
      </c>
      <c r="BY1151" s="1">
        <v>44511</v>
      </c>
      <c r="BZ1151" s="1">
        <v>1.8</v>
      </c>
      <c r="CA1151" s="1">
        <v>44523</v>
      </c>
      <c r="CB1151" s="1">
        <v>2.89</v>
      </c>
      <c r="CC1151" s="1">
        <v>44593</v>
      </c>
      <c r="CD1151" s="1">
        <v>4.83</v>
      </c>
      <c r="CE1151" s="1">
        <v>44593</v>
      </c>
      <c r="CF1151" s="1">
        <v>5.1124999999999998</v>
      </c>
      <c r="CG1151" s="1">
        <v>44593</v>
      </c>
      <c r="CH1151" s="1">
        <v>5.31</v>
      </c>
      <c r="CI1151" s="1">
        <v>44593</v>
      </c>
      <c r="CJ1151" s="1">
        <v>5.58</v>
      </c>
      <c r="CK1151" s="1">
        <v>44593</v>
      </c>
      <c r="CL1151" s="1">
        <v>5.55</v>
      </c>
      <c r="CM1151" s="1">
        <v>44589</v>
      </c>
      <c r="CN1151" s="1">
        <v>5.37</v>
      </c>
      <c r="CO1151" s="1">
        <v>44581</v>
      </c>
      <c r="CP1151" s="1">
        <v>4.8899999999999997</v>
      </c>
      <c r="CQ1151" s="1">
        <v>44581</v>
      </c>
      <c r="CR1151" s="1">
        <v>4.8</v>
      </c>
      <c r="CS1151" s="1">
        <v>44581</v>
      </c>
      <c r="CT1151" s="1">
        <v>4.7</v>
      </c>
    </row>
    <row r="1152" spans="31:98" x14ac:dyDescent="0.2">
      <c r="AE1152" s="1">
        <v>44582</v>
      </c>
      <c r="AF1152" s="1">
        <v>2.25</v>
      </c>
      <c r="AG1152" s="1">
        <v>44531</v>
      </c>
      <c r="AH1152" s="1">
        <v>2.11</v>
      </c>
      <c r="AI1152" s="1">
        <v>44592</v>
      </c>
      <c r="AJ1152" s="1">
        <v>3.6295000000000002</v>
      </c>
      <c r="AK1152" s="1">
        <v>44592</v>
      </c>
      <c r="AL1152" s="1">
        <v>4.09</v>
      </c>
      <c r="AM1152" s="1">
        <v>44592</v>
      </c>
      <c r="AN1152" s="1">
        <v>4.415</v>
      </c>
      <c r="AO1152" s="1">
        <v>44592</v>
      </c>
      <c r="AP1152" s="1">
        <v>4.6849999999999996</v>
      </c>
      <c r="AQ1152" s="1">
        <v>44592</v>
      </c>
      <c r="AR1152" s="1">
        <v>4.6924999999999999</v>
      </c>
      <c r="AS1152" s="1">
        <v>44592</v>
      </c>
      <c r="AT1152" s="1">
        <v>4.6100000000000003</v>
      </c>
      <c r="AU1152" s="1">
        <v>44592</v>
      </c>
      <c r="AV1152" s="1">
        <v>4.4824999999999999</v>
      </c>
      <c r="AW1152" s="1">
        <v>44592</v>
      </c>
      <c r="AX1152" s="1">
        <v>4.3449999999999998</v>
      </c>
      <c r="AY1152" s="1">
        <v>44592</v>
      </c>
      <c r="AZ1152" s="1">
        <v>4.26</v>
      </c>
      <c r="BB1152" s="1">
        <v>44508</v>
      </c>
      <c r="BC1152" s="1">
        <v>2.75</v>
      </c>
      <c r="BD1152" s="1">
        <v>44530</v>
      </c>
      <c r="BE1152" s="1">
        <v>3.19</v>
      </c>
      <c r="BF1152" s="1">
        <v>44592</v>
      </c>
      <c r="BG1152" s="1">
        <v>4.9000000000000004</v>
      </c>
      <c r="BH1152" s="1">
        <v>44592</v>
      </c>
      <c r="BI1152" s="1">
        <v>4.97</v>
      </c>
      <c r="BJ1152" s="1">
        <v>44592</v>
      </c>
      <c r="BK1152" s="1">
        <v>5.0830000000000002</v>
      </c>
      <c r="BL1152" s="1">
        <v>44592</v>
      </c>
      <c r="BM1152" s="1">
        <v>5.1130000000000004</v>
      </c>
      <c r="BN1152" s="1">
        <v>44589</v>
      </c>
      <c r="BO1152" s="1">
        <v>4.8579999999999997</v>
      </c>
      <c r="BP1152" s="1">
        <v>44592</v>
      </c>
      <c r="BQ1152" s="1">
        <v>4.7229999999999999</v>
      </c>
      <c r="BR1152" s="1">
        <v>44592</v>
      </c>
      <c r="BS1152" s="1">
        <v>4.4279999999999999</v>
      </c>
      <c r="BT1152" s="1">
        <v>44592</v>
      </c>
      <c r="BU1152" s="1">
        <v>4.1849999999999996</v>
      </c>
      <c r="BV1152" s="1">
        <v>44592</v>
      </c>
      <c r="BW1152" s="1">
        <v>3.9980000000000002</v>
      </c>
      <c r="BY1152" s="1">
        <v>44510</v>
      </c>
      <c r="BZ1152" s="1">
        <v>1.8</v>
      </c>
      <c r="CA1152" s="1">
        <v>44522</v>
      </c>
      <c r="CB1152" s="1">
        <v>2.78</v>
      </c>
      <c r="CC1152" s="1">
        <v>44592</v>
      </c>
      <c r="CD1152" s="1">
        <v>4.835</v>
      </c>
      <c r="CE1152" s="1">
        <v>44592</v>
      </c>
      <c r="CF1152" s="1">
        <v>5.08</v>
      </c>
      <c r="CG1152" s="1">
        <v>44592</v>
      </c>
      <c r="CH1152" s="1">
        <v>5.28</v>
      </c>
      <c r="CI1152" s="1">
        <v>44592</v>
      </c>
      <c r="CJ1152" s="1">
        <v>5.58</v>
      </c>
      <c r="CK1152" s="1">
        <v>44592</v>
      </c>
      <c r="CL1152" s="1">
        <v>5.5750000000000002</v>
      </c>
      <c r="CM1152" s="1">
        <v>44588</v>
      </c>
      <c r="CN1152" s="1">
        <v>5.29</v>
      </c>
      <c r="CO1152" s="1">
        <v>44580</v>
      </c>
      <c r="CP1152" s="1">
        <v>4.99</v>
      </c>
      <c r="CQ1152" s="1">
        <v>44580</v>
      </c>
      <c r="CR1152" s="1">
        <v>4.9000000000000004</v>
      </c>
      <c r="CS1152" s="1">
        <v>44580</v>
      </c>
      <c r="CT1152" s="1">
        <v>4.8</v>
      </c>
    </row>
    <row r="1153" spans="31:98" x14ac:dyDescent="0.2">
      <c r="AE1153" s="1">
        <v>44581</v>
      </c>
      <c r="AF1153" s="1">
        <v>2.25</v>
      </c>
      <c r="AG1153" s="1">
        <v>44530</v>
      </c>
      <c r="AH1153" s="1">
        <v>2.06</v>
      </c>
      <c r="AI1153" s="1">
        <v>44589</v>
      </c>
      <c r="AJ1153" s="1">
        <v>3.5790000000000002</v>
      </c>
      <c r="AK1153" s="1">
        <v>44589</v>
      </c>
      <c r="AL1153" s="1">
        <v>4.0750000000000002</v>
      </c>
      <c r="AM1153" s="1">
        <v>44589</v>
      </c>
      <c r="AN1153" s="1">
        <v>4.3499999999999996</v>
      </c>
      <c r="AO1153" s="1">
        <v>44589</v>
      </c>
      <c r="AP1153" s="1">
        <v>4.5999999999999996</v>
      </c>
      <c r="AQ1153" s="1">
        <v>44589</v>
      </c>
      <c r="AR1153" s="1">
        <v>4.6050000000000004</v>
      </c>
      <c r="AS1153" s="1">
        <v>44589</v>
      </c>
      <c r="AT1153" s="1">
        <v>4.5</v>
      </c>
      <c r="AU1153" s="1">
        <v>44589</v>
      </c>
      <c r="AV1153" s="1">
        <v>4.38</v>
      </c>
      <c r="AW1153" s="1">
        <v>44589</v>
      </c>
      <c r="AX1153" s="1">
        <v>4.2850000000000001</v>
      </c>
      <c r="AY1153" s="1">
        <v>44589</v>
      </c>
      <c r="AZ1153" s="1">
        <v>4.22</v>
      </c>
      <c r="BB1153" s="1">
        <v>44505</v>
      </c>
      <c r="BC1153" s="1">
        <v>2.75</v>
      </c>
      <c r="BD1153" s="1">
        <v>44529</v>
      </c>
      <c r="BE1153" s="1">
        <v>3.19</v>
      </c>
      <c r="BF1153" s="1">
        <v>44589</v>
      </c>
      <c r="BG1153" s="1">
        <v>4.8650000000000002</v>
      </c>
      <c r="BH1153" s="1">
        <v>44589</v>
      </c>
      <c r="BI1153" s="1">
        <v>4.9249999999999998</v>
      </c>
      <c r="BJ1153" s="1">
        <v>44589</v>
      </c>
      <c r="BK1153" s="1">
        <v>5.0149999999999997</v>
      </c>
      <c r="BL1153" s="1">
        <v>44589</v>
      </c>
      <c r="BM1153" s="1">
        <v>5.0279999999999996</v>
      </c>
      <c r="BN1153" s="1">
        <v>44588</v>
      </c>
      <c r="BO1153" s="1">
        <v>4.835</v>
      </c>
      <c r="BP1153" s="1">
        <v>44589</v>
      </c>
      <c r="BQ1153" s="1">
        <v>4.6399999999999997</v>
      </c>
      <c r="BR1153" s="1">
        <v>44589</v>
      </c>
      <c r="BS1153" s="1">
        <v>4.3479999999999999</v>
      </c>
      <c r="BT1153" s="1">
        <v>44589</v>
      </c>
      <c r="BU1153" s="1">
        <v>4.0999999999999996</v>
      </c>
      <c r="BV1153" s="1">
        <v>44589</v>
      </c>
      <c r="BW1153" s="1">
        <v>3.915</v>
      </c>
      <c r="BY1153" s="1">
        <v>44509</v>
      </c>
      <c r="BZ1153" s="1">
        <v>1.8</v>
      </c>
      <c r="CA1153" s="1">
        <v>44519</v>
      </c>
      <c r="CB1153" s="1">
        <v>2.72</v>
      </c>
      <c r="CC1153" s="1">
        <v>44589</v>
      </c>
      <c r="CD1153" s="1">
        <v>4.82</v>
      </c>
      <c r="CE1153" s="1">
        <v>44589</v>
      </c>
      <c r="CF1153" s="1">
        <v>5.08</v>
      </c>
      <c r="CG1153" s="1">
        <v>44589</v>
      </c>
      <c r="CH1153" s="1">
        <v>5.25</v>
      </c>
      <c r="CI1153" s="1">
        <v>44589</v>
      </c>
      <c r="CJ1153" s="1">
        <v>5.46</v>
      </c>
      <c r="CK1153" s="1">
        <v>44589</v>
      </c>
      <c r="CL1153" s="1">
        <v>5.4749999999999996</v>
      </c>
      <c r="CM1153" s="1">
        <v>44587</v>
      </c>
      <c r="CN1153" s="1">
        <v>5.21</v>
      </c>
      <c r="CO1153" s="1">
        <v>44579</v>
      </c>
      <c r="CP1153" s="1">
        <v>5.05</v>
      </c>
      <c r="CQ1153" s="1">
        <v>44579</v>
      </c>
      <c r="CR1153" s="1">
        <v>4.96</v>
      </c>
      <c r="CS1153" s="1">
        <v>44579</v>
      </c>
      <c r="CT1153" s="1">
        <v>4.8499999999999996</v>
      </c>
    </row>
    <row r="1154" spans="31:98" x14ac:dyDescent="0.2">
      <c r="AE1154" s="1">
        <v>44580</v>
      </c>
      <c r="AF1154" s="1">
        <v>2.25</v>
      </c>
      <c r="AG1154" s="1">
        <v>44529</v>
      </c>
      <c r="AH1154" s="1">
        <v>1.99</v>
      </c>
      <c r="AI1154" s="1">
        <v>44588</v>
      </c>
      <c r="AJ1154" s="1">
        <v>3.5886999999999998</v>
      </c>
      <c r="AK1154" s="1">
        <v>44588</v>
      </c>
      <c r="AL1154" s="1">
        <v>4.03</v>
      </c>
      <c r="AM1154" s="1">
        <v>44588</v>
      </c>
      <c r="AN1154" s="1">
        <v>4.2850000000000001</v>
      </c>
      <c r="AO1154" s="1">
        <v>44588</v>
      </c>
      <c r="AP1154" s="1">
        <v>4.5949999999999998</v>
      </c>
      <c r="AQ1154" s="1">
        <v>44588</v>
      </c>
      <c r="AR1154" s="1">
        <v>4.6150000000000002</v>
      </c>
      <c r="AS1154" s="1">
        <v>44588</v>
      </c>
      <c r="AT1154" s="1">
        <v>4.4550000000000001</v>
      </c>
      <c r="AU1154" s="1">
        <v>44588</v>
      </c>
      <c r="AV1154" s="1">
        <v>4.3550000000000004</v>
      </c>
      <c r="AW1154" s="1">
        <v>44588</v>
      </c>
      <c r="AX1154" s="1">
        <v>4.26</v>
      </c>
      <c r="AY1154" s="1">
        <v>44588</v>
      </c>
      <c r="AZ1154" s="1">
        <v>4.1900000000000004</v>
      </c>
      <c r="BB1154" s="1">
        <v>44504</v>
      </c>
      <c r="BC1154" s="1">
        <v>1.5</v>
      </c>
      <c r="BD1154" s="1">
        <v>44526</v>
      </c>
      <c r="BE1154" s="1">
        <v>3.2</v>
      </c>
      <c r="BF1154" s="1">
        <v>44588</v>
      </c>
      <c r="BG1154" s="1">
        <v>4.87</v>
      </c>
      <c r="BH1154" s="1">
        <v>44588</v>
      </c>
      <c r="BI1154" s="1">
        <v>4.93</v>
      </c>
      <c r="BJ1154" s="1">
        <v>44588</v>
      </c>
      <c r="BK1154" s="1">
        <v>5.0229999999999997</v>
      </c>
      <c r="BL1154" s="1">
        <v>44588</v>
      </c>
      <c r="BM1154" s="1">
        <v>5.04</v>
      </c>
      <c r="BN1154" s="1">
        <v>44587</v>
      </c>
      <c r="BO1154" s="1">
        <v>4.7750000000000004</v>
      </c>
      <c r="BP1154" s="1">
        <v>44588</v>
      </c>
      <c r="BQ1154" s="1">
        <v>4.6230000000000002</v>
      </c>
      <c r="BR1154" s="1">
        <v>44588</v>
      </c>
      <c r="BS1154" s="1">
        <v>4.3250000000000002</v>
      </c>
      <c r="BT1154" s="1">
        <v>44588</v>
      </c>
      <c r="BU1154" s="1">
        <v>4.0780000000000003</v>
      </c>
      <c r="BV1154" s="1">
        <v>44588</v>
      </c>
      <c r="BW1154" s="1">
        <v>3.895</v>
      </c>
      <c r="BY1154" s="1">
        <v>44508</v>
      </c>
      <c r="BZ1154" s="1">
        <v>1.8</v>
      </c>
      <c r="CA1154" s="1">
        <v>44518</v>
      </c>
      <c r="CB1154" s="1">
        <v>2.5099999999999998</v>
      </c>
      <c r="CC1154" s="1">
        <v>44588</v>
      </c>
      <c r="CD1154" s="1">
        <v>4.82</v>
      </c>
      <c r="CE1154" s="1">
        <v>44588</v>
      </c>
      <c r="CF1154" s="1">
        <v>5.05</v>
      </c>
      <c r="CG1154" s="1">
        <v>44588</v>
      </c>
      <c r="CH1154" s="1">
        <v>5.22</v>
      </c>
      <c r="CI1154" s="1">
        <v>44588</v>
      </c>
      <c r="CJ1154" s="1">
        <v>5.44</v>
      </c>
      <c r="CK1154" s="1">
        <v>44588</v>
      </c>
      <c r="CL1154" s="1">
        <v>5.415</v>
      </c>
      <c r="CM1154" s="1">
        <v>44586</v>
      </c>
      <c r="CN1154" s="1">
        <v>5.2</v>
      </c>
      <c r="CO1154" s="1">
        <v>44578</v>
      </c>
      <c r="CP1154" s="1">
        <v>4.7699999999999996</v>
      </c>
      <c r="CQ1154" s="1">
        <v>44578</v>
      </c>
      <c r="CR1154" s="1">
        <v>4.6900000000000004</v>
      </c>
      <c r="CS1154" s="1">
        <v>44578</v>
      </c>
      <c r="CT1154" s="1">
        <v>4.5999999999999996</v>
      </c>
    </row>
    <row r="1155" spans="31:98" x14ac:dyDescent="0.2">
      <c r="AE1155" s="1">
        <v>44579</v>
      </c>
      <c r="AF1155" s="1">
        <v>2.25</v>
      </c>
      <c r="AG1155" s="1">
        <v>44526</v>
      </c>
      <c r="AH1155" s="1">
        <v>1.91</v>
      </c>
      <c r="AI1155" s="1">
        <v>44587</v>
      </c>
      <c r="AJ1155" s="1">
        <v>3.4274</v>
      </c>
      <c r="AK1155" s="1">
        <v>44587</v>
      </c>
      <c r="AL1155" s="1">
        <v>3.8866000000000001</v>
      </c>
      <c r="AM1155" s="1">
        <v>44587</v>
      </c>
      <c r="AN1155" s="1">
        <v>4.1928000000000001</v>
      </c>
      <c r="AO1155" s="1">
        <v>44587</v>
      </c>
      <c r="AP1155" s="1">
        <v>4.4203999999999999</v>
      </c>
      <c r="AQ1155" s="1">
        <v>44587</v>
      </c>
      <c r="AR1155" s="1">
        <v>4.3985000000000003</v>
      </c>
      <c r="AS1155" s="1">
        <v>44587</v>
      </c>
      <c r="AT1155" s="1">
        <v>4.29</v>
      </c>
      <c r="AU1155" s="1">
        <v>44587</v>
      </c>
      <c r="AV1155" s="1">
        <v>4.17</v>
      </c>
      <c r="AW1155" s="1">
        <v>44587</v>
      </c>
      <c r="AX1155" s="1">
        <v>4.08</v>
      </c>
      <c r="AY1155" s="1">
        <v>44587</v>
      </c>
      <c r="AZ1155" s="1">
        <v>3.895</v>
      </c>
      <c r="BB1155" s="1">
        <v>44503</v>
      </c>
      <c r="BC1155" s="1">
        <v>1.5</v>
      </c>
      <c r="BD1155" s="1">
        <v>44525</v>
      </c>
      <c r="BE1155" s="1">
        <v>3.2</v>
      </c>
      <c r="BF1155" s="1">
        <v>44587</v>
      </c>
      <c r="BG1155" s="1">
        <v>4.8099999999999996</v>
      </c>
      <c r="BH1155" s="1">
        <v>44587</v>
      </c>
      <c r="BI1155" s="1">
        <v>4.88</v>
      </c>
      <c r="BJ1155" s="1">
        <v>44587</v>
      </c>
      <c r="BK1155" s="1">
        <v>4.968</v>
      </c>
      <c r="BL1155" s="1">
        <v>44587</v>
      </c>
      <c r="BM1155" s="1">
        <v>4.99</v>
      </c>
      <c r="BN1155" s="1">
        <v>44586</v>
      </c>
      <c r="BO1155" s="1">
        <v>4.76</v>
      </c>
      <c r="BP1155" s="1">
        <v>44587</v>
      </c>
      <c r="BQ1155" s="1">
        <v>4.51</v>
      </c>
      <c r="BR1155" s="1">
        <v>44587</v>
      </c>
      <c r="BS1155" s="1">
        <v>4.12</v>
      </c>
      <c r="BT1155" s="1">
        <v>44587</v>
      </c>
      <c r="BU1155" s="1">
        <v>3.875</v>
      </c>
      <c r="BV1155" s="1">
        <v>44587</v>
      </c>
      <c r="BW1155" s="1">
        <v>3.7229999999999999</v>
      </c>
      <c r="BY1155" s="1">
        <v>44505</v>
      </c>
      <c r="BZ1155" s="1">
        <v>1.8</v>
      </c>
      <c r="CA1155" s="1">
        <v>44517</v>
      </c>
      <c r="CB1155" s="1">
        <v>2.4500000000000002</v>
      </c>
      <c r="CC1155" s="1">
        <v>44587</v>
      </c>
      <c r="CD1155" s="1">
        <v>4.76</v>
      </c>
      <c r="CE1155" s="1">
        <v>44587</v>
      </c>
      <c r="CF1155" s="1">
        <v>4.99</v>
      </c>
      <c r="CG1155" s="1">
        <v>44587</v>
      </c>
      <c r="CH1155" s="1">
        <v>5.16</v>
      </c>
      <c r="CI1155" s="1">
        <v>44587</v>
      </c>
      <c r="CJ1155" s="1">
        <v>5.41</v>
      </c>
      <c r="CK1155" s="1">
        <v>44587</v>
      </c>
      <c r="CL1155" s="1">
        <v>5.31</v>
      </c>
      <c r="CM1155" s="1">
        <v>44585</v>
      </c>
      <c r="CN1155" s="1">
        <v>5.0999999999999996</v>
      </c>
      <c r="CO1155" s="1">
        <v>44575</v>
      </c>
      <c r="CP1155" s="1">
        <v>4.7699999999999996</v>
      </c>
      <c r="CQ1155" s="1">
        <v>44575</v>
      </c>
      <c r="CR1155" s="1">
        <v>4.6900000000000004</v>
      </c>
      <c r="CS1155" s="1">
        <v>44575</v>
      </c>
      <c r="CT1155" s="1">
        <v>4.5999999999999996</v>
      </c>
    </row>
    <row r="1156" spans="31:98" x14ac:dyDescent="0.2">
      <c r="AE1156" s="1">
        <v>44578</v>
      </c>
      <c r="AF1156" s="1">
        <v>2.25</v>
      </c>
      <c r="AG1156" s="1">
        <v>44525</v>
      </c>
      <c r="AH1156" s="1">
        <v>1.82</v>
      </c>
      <c r="AI1156" s="1">
        <v>44586</v>
      </c>
      <c r="AJ1156" s="1">
        <v>3.3902000000000001</v>
      </c>
      <c r="AK1156" s="1">
        <v>44586</v>
      </c>
      <c r="AL1156" s="1">
        <v>3.87</v>
      </c>
      <c r="AM1156" s="1">
        <v>44586</v>
      </c>
      <c r="AN1156" s="1">
        <v>4.1399999999999997</v>
      </c>
      <c r="AO1156" s="1">
        <v>44586</v>
      </c>
      <c r="AP1156" s="1">
        <v>4.37</v>
      </c>
      <c r="AQ1156" s="1">
        <v>44586</v>
      </c>
      <c r="AR1156" s="1">
        <v>4.3600000000000003</v>
      </c>
      <c r="AS1156" s="1">
        <v>44586</v>
      </c>
      <c r="AT1156" s="1">
        <v>4.2549999999999999</v>
      </c>
      <c r="AU1156" s="1">
        <v>44586</v>
      </c>
      <c r="AV1156" s="1">
        <v>4.1349999999999998</v>
      </c>
      <c r="AW1156" s="1">
        <v>44586</v>
      </c>
      <c r="AX1156" s="1">
        <v>4.04</v>
      </c>
      <c r="AY1156" s="1">
        <v>44586</v>
      </c>
      <c r="AZ1156" s="1">
        <v>3.9249999999999998</v>
      </c>
      <c r="BB1156" s="1">
        <v>44502</v>
      </c>
      <c r="BC1156" s="1">
        <v>1.5</v>
      </c>
      <c r="BD1156" s="1">
        <v>44524</v>
      </c>
      <c r="BE1156" s="1">
        <v>3.18</v>
      </c>
      <c r="BF1156" s="1">
        <v>44586</v>
      </c>
      <c r="BG1156" s="1">
        <v>4.76</v>
      </c>
      <c r="BH1156" s="1">
        <v>44586</v>
      </c>
      <c r="BI1156" s="1">
        <v>4.843</v>
      </c>
      <c r="BJ1156" s="1">
        <v>44586</v>
      </c>
      <c r="BK1156" s="1">
        <v>4.9349999999999996</v>
      </c>
      <c r="BL1156" s="1">
        <v>44586</v>
      </c>
      <c r="BM1156" s="1">
        <v>4.9450000000000003</v>
      </c>
      <c r="BN1156" s="1">
        <v>44585</v>
      </c>
      <c r="BO1156" s="1">
        <v>4.68</v>
      </c>
      <c r="BP1156" s="1">
        <v>44586</v>
      </c>
      <c r="BQ1156" s="1">
        <v>4.47</v>
      </c>
      <c r="BR1156" s="1">
        <v>44586</v>
      </c>
      <c r="BS1156" s="1">
        <v>4.0979999999999999</v>
      </c>
      <c r="BT1156" s="1">
        <v>44586</v>
      </c>
      <c r="BU1156" s="1">
        <v>3.85</v>
      </c>
      <c r="BV1156" s="1">
        <v>44586</v>
      </c>
      <c r="BW1156" s="1">
        <v>3.7050000000000001</v>
      </c>
      <c r="BY1156" s="1">
        <v>44504</v>
      </c>
      <c r="BZ1156" s="1">
        <v>1.8</v>
      </c>
      <c r="CA1156" s="1">
        <v>44516</v>
      </c>
      <c r="CB1156" s="1">
        <v>2.2599999999999998</v>
      </c>
      <c r="CC1156" s="1">
        <v>44586</v>
      </c>
      <c r="CD1156" s="1">
        <v>4.67</v>
      </c>
      <c r="CE1156" s="1">
        <v>44586</v>
      </c>
      <c r="CF1156" s="1">
        <v>4.8899999999999997</v>
      </c>
      <c r="CG1156" s="1">
        <v>44586</v>
      </c>
      <c r="CH1156" s="1">
        <v>5.09</v>
      </c>
      <c r="CI1156" s="1">
        <v>44586</v>
      </c>
      <c r="CJ1156" s="1">
        <v>5.37</v>
      </c>
      <c r="CK1156" s="1">
        <v>44586</v>
      </c>
      <c r="CL1156" s="1">
        <v>5.36</v>
      </c>
      <c r="CM1156" s="1">
        <v>44582</v>
      </c>
      <c r="CN1156" s="1">
        <v>5.04</v>
      </c>
      <c r="CO1156" s="1">
        <v>44574</v>
      </c>
      <c r="CP1156" s="1">
        <v>4.68</v>
      </c>
      <c r="CQ1156" s="1">
        <v>44574</v>
      </c>
      <c r="CR1156" s="1">
        <v>4.5999999999999996</v>
      </c>
      <c r="CS1156" s="1">
        <v>44574</v>
      </c>
      <c r="CT1156" s="1">
        <v>4.5199999999999996</v>
      </c>
    </row>
    <row r="1157" spans="31:98" x14ac:dyDescent="0.2">
      <c r="AE1157" s="1">
        <v>44575</v>
      </c>
      <c r="AF1157" s="1">
        <v>2.25</v>
      </c>
      <c r="AG1157" s="1">
        <v>44524</v>
      </c>
      <c r="AH1157" s="1">
        <v>1.72</v>
      </c>
      <c r="AI1157" s="1">
        <v>44585</v>
      </c>
      <c r="AJ1157" s="1">
        <v>3.42</v>
      </c>
      <c r="AK1157" s="1">
        <v>44585</v>
      </c>
      <c r="AL1157" s="1">
        <v>3.8525</v>
      </c>
      <c r="AM1157" s="1">
        <v>44585</v>
      </c>
      <c r="AN1157" s="1">
        <v>4.1399999999999997</v>
      </c>
      <c r="AO1157" s="1">
        <v>44585</v>
      </c>
      <c r="AP1157" s="1">
        <v>4.37</v>
      </c>
      <c r="AQ1157" s="1">
        <v>44585</v>
      </c>
      <c r="AR1157" s="1">
        <v>4.3324999999999996</v>
      </c>
      <c r="AS1157" s="1">
        <v>44585</v>
      </c>
      <c r="AT1157" s="1">
        <v>4.2249999999999996</v>
      </c>
      <c r="AU1157" s="1">
        <v>44585</v>
      </c>
      <c r="AV1157" s="1">
        <v>4.0949999999999998</v>
      </c>
      <c r="AW1157" s="1">
        <v>44585</v>
      </c>
      <c r="AX1157" s="1">
        <v>3.9849999999999999</v>
      </c>
      <c r="AY1157" s="1">
        <v>44585</v>
      </c>
      <c r="AZ1157" s="1">
        <v>3.9325000000000001</v>
      </c>
      <c r="BB1157" s="1">
        <v>44501</v>
      </c>
      <c r="BC1157" s="1">
        <v>1.5</v>
      </c>
      <c r="BD1157" s="1">
        <v>44523</v>
      </c>
      <c r="BE1157" s="1">
        <v>3.18</v>
      </c>
      <c r="BF1157" s="1">
        <v>44585</v>
      </c>
      <c r="BG1157" s="1">
        <v>4.6950000000000003</v>
      </c>
      <c r="BH1157" s="1">
        <v>44585</v>
      </c>
      <c r="BI1157" s="1">
        <v>4.76</v>
      </c>
      <c r="BJ1157" s="1">
        <v>44585</v>
      </c>
      <c r="BK1157" s="1">
        <v>4.8449999999999998</v>
      </c>
      <c r="BL1157" s="1">
        <v>44585</v>
      </c>
      <c r="BM1157" s="1">
        <v>4.84</v>
      </c>
      <c r="BN1157" s="1">
        <v>44582</v>
      </c>
      <c r="BO1157" s="1">
        <v>4.6749999999999998</v>
      </c>
      <c r="BP1157" s="1">
        <v>44585</v>
      </c>
      <c r="BQ1157" s="1">
        <v>4.3780000000000001</v>
      </c>
      <c r="BR1157" s="1">
        <v>44585</v>
      </c>
      <c r="BS1157" s="1">
        <v>4.0549999999999997</v>
      </c>
      <c r="BT1157" s="1">
        <v>44585</v>
      </c>
      <c r="BU1157" s="1">
        <v>3.8580000000000001</v>
      </c>
      <c r="BV1157" s="1">
        <v>44585</v>
      </c>
      <c r="BW1157" s="1">
        <v>3.7</v>
      </c>
      <c r="BY1157" s="1">
        <v>44503</v>
      </c>
      <c r="BZ1157" s="1">
        <v>1.8</v>
      </c>
      <c r="CA1157" s="1">
        <v>44515</v>
      </c>
      <c r="CB1157" s="1">
        <v>2.2200000000000002</v>
      </c>
      <c r="CC1157" s="1">
        <v>44585</v>
      </c>
      <c r="CD1157" s="1">
        <v>4.4850000000000003</v>
      </c>
      <c r="CE1157" s="1">
        <v>44585</v>
      </c>
      <c r="CF1157" s="1">
        <v>4.7300000000000004</v>
      </c>
      <c r="CG1157" s="1">
        <v>44585</v>
      </c>
      <c r="CH1157" s="1">
        <v>4.9000000000000004</v>
      </c>
      <c r="CI1157" s="1">
        <v>44585</v>
      </c>
      <c r="CJ1157" s="1">
        <v>5.19</v>
      </c>
      <c r="CK1157" s="1">
        <v>44585</v>
      </c>
      <c r="CL1157" s="1">
        <v>5.1849999999999996</v>
      </c>
      <c r="CM1157" s="1">
        <v>44581</v>
      </c>
      <c r="CN1157" s="1">
        <v>4.9800000000000004</v>
      </c>
      <c r="CO1157" s="1">
        <v>44573</v>
      </c>
      <c r="CP1157" s="1">
        <v>4.76</v>
      </c>
      <c r="CQ1157" s="1">
        <v>44573</v>
      </c>
      <c r="CR1157" s="1">
        <v>4.66</v>
      </c>
      <c r="CS1157" s="1">
        <v>44573</v>
      </c>
      <c r="CT1157" s="1">
        <v>4.54</v>
      </c>
    </row>
    <row r="1158" spans="31:98" x14ac:dyDescent="0.2">
      <c r="AE1158" s="1">
        <v>44574</v>
      </c>
      <c r="AF1158" s="1">
        <v>2.25</v>
      </c>
      <c r="AG1158" s="1">
        <v>44523</v>
      </c>
      <c r="AH1158" s="1">
        <v>1.7</v>
      </c>
      <c r="AI1158" s="1">
        <v>44582</v>
      </c>
      <c r="AJ1158" s="1">
        <v>3.1659999999999999</v>
      </c>
      <c r="AK1158" s="1">
        <v>44582</v>
      </c>
      <c r="AL1158" s="1">
        <v>3.4849999999999999</v>
      </c>
      <c r="AM1158" s="1">
        <v>44582</v>
      </c>
      <c r="AN1158" s="1">
        <v>3.7250000000000001</v>
      </c>
      <c r="AO1158" s="1">
        <v>44582</v>
      </c>
      <c r="AP1158" s="1">
        <v>3.9649999999999999</v>
      </c>
      <c r="AQ1158" s="1">
        <v>44582</v>
      </c>
      <c r="AR1158" s="1">
        <v>3.96</v>
      </c>
      <c r="AS1158" s="1">
        <v>44582</v>
      </c>
      <c r="AT1158" s="1">
        <v>3.9249999999999998</v>
      </c>
      <c r="AU1158" s="1">
        <v>44582</v>
      </c>
      <c r="AV1158" s="1">
        <v>3.81</v>
      </c>
      <c r="AW1158" s="1">
        <v>44582</v>
      </c>
      <c r="AX1158" s="1">
        <v>3.7050000000000001</v>
      </c>
      <c r="AY1158" s="1">
        <v>44582</v>
      </c>
      <c r="AZ1158" s="1">
        <v>3.62</v>
      </c>
      <c r="BB1158" s="1">
        <v>44498</v>
      </c>
      <c r="BC1158" s="1">
        <v>1.5</v>
      </c>
      <c r="BD1158" s="1">
        <v>44522</v>
      </c>
      <c r="BE1158" s="1">
        <v>3.17</v>
      </c>
      <c r="BF1158" s="1">
        <v>44582</v>
      </c>
      <c r="BG1158" s="1">
        <v>4.7</v>
      </c>
      <c r="BH1158" s="1">
        <v>44582</v>
      </c>
      <c r="BI1158" s="1">
        <v>4.7549999999999999</v>
      </c>
      <c r="BJ1158" s="1">
        <v>44582</v>
      </c>
      <c r="BK1158" s="1">
        <v>4.8529999999999998</v>
      </c>
      <c r="BL1158" s="1">
        <v>44582</v>
      </c>
      <c r="BM1158" s="1">
        <v>4.8499999999999996</v>
      </c>
      <c r="BN1158" s="1">
        <v>44581</v>
      </c>
      <c r="BO1158" s="1">
        <v>4.71</v>
      </c>
      <c r="BP1158" s="1">
        <v>44582</v>
      </c>
      <c r="BQ1158" s="1">
        <v>4.34</v>
      </c>
      <c r="BR1158" s="1">
        <v>44582</v>
      </c>
      <c r="BS1158" s="1">
        <v>4.0049999999999999</v>
      </c>
      <c r="BT1158" s="1">
        <v>44582</v>
      </c>
      <c r="BU1158" s="1">
        <v>3.835</v>
      </c>
      <c r="BV1158" s="1">
        <v>44582</v>
      </c>
      <c r="BW1158" s="1">
        <v>3.6749999999999998</v>
      </c>
      <c r="BY1158" s="1">
        <v>44502</v>
      </c>
      <c r="BZ1158" s="1">
        <v>1.8</v>
      </c>
      <c r="CA1158" s="1">
        <v>44512</v>
      </c>
      <c r="CB1158" s="1">
        <v>2.1800000000000002</v>
      </c>
      <c r="CC1158" s="1">
        <v>44582</v>
      </c>
      <c r="CD1158" s="1">
        <v>4.4714999999999998</v>
      </c>
      <c r="CE1158" s="1">
        <v>44582</v>
      </c>
      <c r="CF1158" s="1">
        <v>4.66</v>
      </c>
      <c r="CG1158" s="1">
        <v>44582</v>
      </c>
      <c r="CH1158" s="1">
        <v>4.8499999999999996</v>
      </c>
      <c r="CI1158" s="1">
        <v>44582</v>
      </c>
      <c r="CJ1158" s="1">
        <v>5.14</v>
      </c>
      <c r="CK1158" s="1">
        <v>44582</v>
      </c>
      <c r="CL1158" s="1">
        <v>5.1349999999999998</v>
      </c>
      <c r="CM1158" s="1">
        <v>44580</v>
      </c>
      <c r="CN1158" s="1">
        <v>5.07</v>
      </c>
      <c r="CO1158" s="1">
        <v>44572</v>
      </c>
      <c r="CP1158" s="1">
        <v>4.96</v>
      </c>
      <c r="CQ1158" s="1">
        <v>44572</v>
      </c>
      <c r="CR1158" s="1">
        <v>4.8899999999999997</v>
      </c>
      <c r="CS1158" s="1">
        <v>44572</v>
      </c>
      <c r="CT1158" s="1">
        <v>4.79</v>
      </c>
    </row>
    <row r="1159" spans="31:98" x14ac:dyDescent="0.2">
      <c r="AE1159" s="1">
        <v>44573</v>
      </c>
      <c r="AF1159" s="1">
        <v>2.25</v>
      </c>
      <c r="AG1159" s="1">
        <v>44522</v>
      </c>
      <c r="AH1159" s="1">
        <v>1.68</v>
      </c>
      <c r="AI1159" s="1">
        <v>44581</v>
      </c>
      <c r="AJ1159" s="1">
        <v>3.161</v>
      </c>
      <c r="AK1159" s="1">
        <v>44581</v>
      </c>
      <c r="AL1159" s="1">
        <v>3.4950000000000001</v>
      </c>
      <c r="AM1159" s="1">
        <v>44581</v>
      </c>
      <c r="AN1159" s="1">
        <v>3.74</v>
      </c>
      <c r="AO1159" s="1">
        <v>44581</v>
      </c>
      <c r="AP1159" s="1">
        <v>3.9750000000000001</v>
      </c>
      <c r="AQ1159" s="1">
        <v>44581</v>
      </c>
      <c r="AR1159" s="1">
        <v>3.97</v>
      </c>
      <c r="AS1159" s="1">
        <v>44581</v>
      </c>
      <c r="AT1159" s="1">
        <v>3.91</v>
      </c>
      <c r="AU1159" s="1">
        <v>44581</v>
      </c>
      <c r="AV1159" s="1">
        <v>3.82</v>
      </c>
      <c r="AW1159" s="1">
        <v>44581</v>
      </c>
      <c r="AX1159" s="1">
        <v>3.7149999999999999</v>
      </c>
      <c r="AY1159" s="1">
        <v>44581</v>
      </c>
      <c r="AZ1159" s="1">
        <v>3.63</v>
      </c>
      <c r="BB1159" s="1">
        <v>44496</v>
      </c>
      <c r="BC1159" s="1">
        <v>1.5</v>
      </c>
      <c r="BD1159" s="1">
        <v>44519</v>
      </c>
      <c r="BE1159" s="1">
        <v>3.17</v>
      </c>
      <c r="BF1159" s="1">
        <v>44581</v>
      </c>
      <c r="BG1159" s="1">
        <v>4.6950000000000003</v>
      </c>
      <c r="BH1159" s="1">
        <v>44581</v>
      </c>
      <c r="BI1159" s="1">
        <v>4.7699999999999996</v>
      </c>
      <c r="BJ1159" s="1">
        <v>44581</v>
      </c>
      <c r="BK1159" s="1">
        <v>4.88</v>
      </c>
      <c r="BL1159" s="1">
        <v>44581</v>
      </c>
      <c r="BM1159" s="1">
        <v>4.87</v>
      </c>
      <c r="BN1159" s="1">
        <v>44580</v>
      </c>
      <c r="BO1159" s="1">
        <v>4.7350000000000003</v>
      </c>
      <c r="BP1159" s="1">
        <v>44581</v>
      </c>
      <c r="BQ1159" s="1">
        <v>4.41</v>
      </c>
      <c r="BR1159" s="1">
        <v>44581</v>
      </c>
      <c r="BS1159" s="1">
        <v>4.0949999999999998</v>
      </c>
      <c r="BT1159" s="1">
        <v>44581</v>
      </c>
      <c r="BU1159" s="1">
        <v>3.93</v>
      </c>
      <c r="BV1159" s="1">
        <v>44581</v>
      </c>
      <c r="BW1159" s="1">
        <v>3.77</v>
      </c>
      <c r="BY1159" s="1">
        <v>44501</v>
      </c>
      <c r="BZ1159" s="1">
        <v>1.8</v>
      </c>
      <c r="CA1159" s="1">
        <v>44511</v>
      </c>
      <c r="CB1159" s="1">
        <v>2.15</v>
      </c>
      <c r="CC1159" s="1">
        <v>44581</v>
      </c>
      <c r="CD1159" s="1">
        <v>4.37</v>
      </c>
      <c r="CE1159" s="1">
        <v>44581</v>
      </c>
      <c r="CF1159" s="1">
        <v>4.5999999999999996</v>
      </c>
      <c r="CG1159" s="1">
        <v>44581</v>
      </c>
      <c r="CH1159" s="1">
        <v>4.78</v>
      </c>
      <c r="CI1159" s="1">
        <v>44581</v>
      </c>
      <c r="CJ1159" s="1">
        <v>5.07</v>
      </c>
      <c r="CK1159" s="1">
        <v>44581</v>
      </c>
      <c r="CL1159" s="1">
        <v>5.05</v>
      </c>
      <c r="CM1159" s="1">
        <v>44579</v>
      </c>
      <c r="CN1159" s="1">
        <v>5.1100000000000003</v>
      </c>
      <c r="CO1159" s="1">
        <v>44571</v>
      </c>
      <c r="CP1159" s="1">
        <v>5.03</v>
      </c>
      <c r="CQ1159" s="1">
        <v>44571</v>
      </c>
      <c r="CR1159" s="1">
        <v>4.97</v>
      </c>
      <c r="CS1159" s="1">
        <v>44571</v>
      </c>
      <c r="CT1159" s="1">
        <v>4.87</v>
      </c>
    </row>
    <row r="1160" spans="31:98" x14ac:dyDescent="0.2">
      <c r="AE1160" s="1">
        <v>44572</v>
      </c>
      <c r="AF1160" s="1">
        <v>2.25</v>
      </c>
      <c r="AG1160" s="1">
        <v>44519</v>
      </c>
      <c r="AH1160" s="1">
        <v>1.69</v>
      </c>
      <c r="AI1160" s="1">
        <v>44580</v>
      </c>
      <c r="AJ1160" s="1">
        <v>3.1602999999999999</v>
      </c>
      <c r="AK1160" s="1">
        <v>44580</v>
      </c>
      <c r="AL1160" s="1">
        <v>3.49</v>
      </c>
      <c r="AM1160" s="1">
        <v>44580</v>
      </c>
      <c r="AN1160" s="1">
        <v>3.77</v>
      </c>
      <c r="AO1160" s="1">
        <v>44580</v>
      </c>
      <c r="AP1160" s="1">
        <v>4.0350000000000001</v>
      </c>
      <c r="AQ1160" s="1">
        <v>44580</v>
      </c>
      <c r="AR1160" s="1">
        <v>4.03</v>
      </c>
      <c r="AS1160" s="1">
        <v>44580</v>
      </c>
      <c r="AT1160" s="1">
        <v>3.98</v>
      </c>
      <c r="AU1160" s="1">
        <v>44580</v>
      </c>
      <c r="AV1160" s="1">
        <v>3.91</v>
      </c>
      <c r="AW1160" s="1">
        <v>44580</v>
      </c>
      <c r="AX1160" s="1">
        <v>3.8250000000000002</v>
      </c>
      <c r="AY1160" s="1">
        <v>44580</v>
      </c>
      <c r="AZ1160" s="1">
        <v>3.75</v>
      </c>
      <c r="BB1160" s="1">
        <v>44495</v>
      </c>
      <c r="BC1160" s="1">
        <v>1.5</v>
      </c>
      <c r="BD1160" s="1">
        <v>44518</v>
      </c>
      <c r="BE1160" s="1">
        <v>3.17</v>
      </c>
      <c r="BF1160" s="1">
        <v>44580</v>
      </c>
      <c r="BG1160" s="1">
        <v>4.7</v>
      </c>
      <c r="BH1160" s="1">
        <v>44580</v>
      </c>
      <c r="BI1160" s="1">
        <v>4.76</v>
      </c>
      <c r="BJ1160" s="1">
        <v>44580</v>
      </c>
      <c r="BK1160" s="1">
        <v>4.8899999999999997</v>
      </c>
      <c r="BL1160" s="1">
        <v>44580</v>
      </c>
      <c r="BM1160" s="1">
        <v>4.9080000000000004</v>
      </c>
      <c r="BN1160" s="1">
        <v>44579</v>
      </c>
      <c r="BO1160" s="1">
        <v>4.7480000000000002</v>
      </c>
      <c r="BP1160" s="1">
        <v>44580</v>
      </c>
      <c r="BQ1160" s="1">
        <v>4.41</v>
      </c>
      <c r="BR1160" s="1">
        <v>44580</v>
      </c>
      <c r="BS1160" s="1">
        <v>4.125</v>
      </c>
      <c r="BT1160" s="1">
        <v>44580</v>
      </c>
      <c r="BU1160" s="1">
        <v>3.9550000000000001</v>
      </c>
      <c r="BV1160" s="1">
        <v>44580</v>
      </c>
      <c r="BW1160" s="1">
        <v>3.8149999999999999</v>
      </c>
      <c r="BY1160" s="1">
        <v>44498</v>
      </c>
      <c r="BZ1160" s="1">
        <v>1.8</v>
      </c>
      <c r="CA1160" s="1">
        <v>44510</v>
      </c>
      <c r="CB1160" s="1">
        <v>2.11</v>
      </c>
      <c r="CC1160" s="1">
        <v>44580</v>
      </c>
      <c r="CD1160" s="1">
        <v>4.4249999999999998</v>
      </c>
      <c r="CE1160" s="1">
        <v>44580</v>
      </c>
      <c r="CF1160" s="1">
        <v>4.66</v>
      </c>
      <c r="CG1160" s="1">
        <v>44580</v>
      </c>
      <c r="CH1160" s="1">
        <v>4.84</v>
      </c>
      <c r="CI1160" s="1">
        <v>44580</v>
      </c>
      <c r="CJ1160" s="1">
        <v>5.13</v>
      </c>
      <c r="CK1160" s="1">
        <v>44580</v>
      </c>
      <c r="CL1160" s="1">
        <v>5.12</v>
      </c>
      <c r="CM1160" s="1">
        <v>44578</v>
      </c>
      <c r="CN1160" s="1">
        <v>4.84</v>
      </c>
      <c r="CO1160" s="1">
        <v>44568</v>
      </c>
      <c r="CP1160" s="1">
        <v>5.13</v>
      </c>
      <c r="CQ1160" s="1">
        <v>44568</v>
      </c>
      <c r="CR1160" s="1">
        <v>4.99</v>
      </c>
      <c r="CS1160" s="1">
        <v>44568</v>
      </c>
      <c r="CT1160" s="1">
        <v>4.84</v>
      </c>
    </row>
    <row r="1161" spans="31:98" x14ac:dyDescent="0.2">
      <c r="AE1161" s="1">
        <v>44571</v>
      </c>
      <c r="AF1161" s="1">
        <v>2.25</v>
      </c>
      <c r="AG1161" s="1">
        <v>44518</v>
      </c>
      <c r="AH1161" s="1">
        <v>1.66</v>
      </c>
      <c r="AI1161" s="1">
        <v>44579</v>
      </c>
      <c r="AJ1161" s="1">
        <v>3.1585000000000001</v>
      </c>
      <c r="AK1161" s="1">
        <v>44579</v>
      </c>
      <c r="AL1161" s="1">
        <v>3.5350000000000001</v>
      </c>
      <c r="AM1161" s="1">
        <v>44579</v>
      </c>
      <c r="AN1161" s="1">
        <v>3.8125</v>
      </c>
      <c r="AO1161" s="1">
        <v>44579</v>
      </c>
      <c r="AP1161" s="1">
        <v>4.1025</v>
      </c>
      <c r="AQ1161" s="1">
        <v>44579</v>
      </c>
      <c r="AR1161" s="1">
        <v>4.1074999999999999</v>
      </c>
      <c r="AS1161" s="1">
        <v>44579</v>
      </c>
      <c r="AT1161" s="1">
        <v>4.0425000000000004</v>
      </c>
      <c r="AU1161" s="1">
        <v>44579</v>
      </c>
      <c r="AV1161" s="1">
        <v>3.9925000000000002</v>
      </c>
      <c r="AW1161" s="1">
        <v>44579</v>
      </c>
      <c r="AX1161" s="1">
        <v>3.9275000000000002</v>
      </c>
      <c r="AY1161" s="1">
        <v>44579</v>
      </c>
      <c r="AZ1161" s="1">
        <v>3.8624999999999998</v>
      </c>
      <c r="BB1161" s="1">
        <v>44494</v>
      </c>
      <c r="BC1161" s="1">
        <v>1.5</v>
      </c>
      <c r="BD1161" s="1">
        <v>44516</v>
      </c>
      <c r="BE1161" s="1">
        <v>3.17</v>
      </c>
      <c r="BF1161" s="1">
        <v>44579</v>
      </c>
      <c r="BG1161" s="1">
        <v>4.7350000000000003</v>
      </c>
      <c r="BH1161" s="1">
        <v>44579</v>
      </c>
      <c r="BI1161" s="1">
        <v>4.82</v>
      </c>
      <c r="BJ1161" s="1">
        <v>44579</v>
      </c>
      <c r="BK1161" s="1">
        <v>4.9400000000000004</v>
      </c>
      <c r="BL1161" s="1">
        <v>44579</v>
      </c>
      <c r="BM1161" s="1">
        <v>4.9400000000000004</v>
      </c>
      <c r="BN1161" s="1">
        <v>44578</v>
      </c>
      <c r="BO1161" s="1">
        <v>4.71</v>
      </c>
      <c r="BP1161" s="1">
        <v>44579</v>
      </c>
      <c r="BQ1161" s="1">
        <v>4.4400000000000004</v>
      </c>
      <c r="BR1161" s="1">
        <v>44579</v>
      </c>
      <c r="BS1161" s="1">
        <v>4.16</v>
      </c>
      <c r="BT1161" s="1">
        <v>44579</v>
      </c>
      <c r="BU1161" s="1">
        <v>3.98</v>
      </c>
      <c r="BV1161" s="1">
        <v>44579</v>
      </c>
      <c r="BW1161" s="1">
        <v>3.84</v>
      </c>
      <c r="BY1161" s="1">
        <v>44497</v>
      </c>
      <c r="BZ1161" s="1">
        <v>1.8</v>
      </c>
      <c r="CA1161" s="1">
        <v>44509</v>
      </c>
      <c r="CB1161" s="1">
        <v>2.09</v>
      </c>
      <c r="CC1161" s="1">
        <v>44579</v>
      </c>
      <c r="CD1161" s="1">
        <v>4.45</v>
      </c>
      <c r="CE1161" s="1">
        <v>44579</v>
      </c>
      <c r="CF1161" s="1">
        <v>4.72</v>
      </c>
      <c r="CG1161" s="1">
        <v>44579</v>
      </c>
      <c r="CH1161" s="1">
        <v>4.93</v>
      </c>
      <c r="CI1161" s="1">
        <v>44579</v>
      </c>
      <c r="CJ1161" s="1">
        <v>5.13</v>
      </c>
      <c r="CK1161" s="1">
        <v>44579</v>
      </c>
      <c r="CL1161" s="1">
        <v>5.1100000000000003</v>
      </c>
      <c r="CM1161" s="1">
        <v>44575</v>
      </c>
      <c r="CN1161" s="1">
        <v>4.84</v>
      </c>
      <c r="CO1161" s="1">
        <v>44567</v>
      </c>
      <c r="CP1161" s="1">
        <v>5.37</v>
      </c>
      <c r="CQ1161" s="1">
        <v>44567</v>
      </c>
      <c r="CR1161" s="1">
        <v>5.28</v>
      </c>
      <c r="CS1161" s="1">
        <v>44567</v>
      </c>
      <c r="CT1161" s="1">
        <v>5.18</v>
      </c>
    </row>
    <row r="1162" spans="31:98" x14ac:dyDescent="0.2">
      <c r="AE1162" s="1">
        <v>44568</v>
      </c>
      <c r="AF1162" s="1">
        <v>2.25</v>
      </c>
      <c r="AG1162" s="1">
        <v>44517</v>
      </c>
      <c r="AH1162" s="1">
        <v>1.65</v>
      </c>
      <c r="AI1162" s="1">
        <v>44578</v>
      </c>
      <c r="AJ1162" s="1">
        <v>3.1684999999999999</v>
      </c>
      <c r="AK1162" s="1">
        <v>44578</v>
      </c>
      <c r="AL1162" s="1">
        <v>3.5350000000000001</v>
      </c>
      <c r="AM1162" s="1">
        <v>44578</v>
      </c>
      <c r="AN1162" s="1">
        <v>3.8050000000000002</v>
      </c>
      <c r="AO1162" s="1">
        <v>44578</v>
      </c>
      <c r="AP1162" s="1">
        <v>4.05</v>
      </c>
      <c r="AQ1162" s="1">
        <v>44578</v>
      </c>
      <c r="AR1162" s="1">
        <v>4.0599999999999996</v>
      </c>
      <c r="AS1162" s="1">
        <v>44578</v>
      </c>
      <c r="AT1162" s="1">
        <v>4</v>
      </c>
      <c r="AU1162" s="1">
        <v>44578</v>
      </c>
      <c r="AV1162" s="1">
        <v>3.94</v>
      </c>
      <c r="AW1162" s="1">
        <v>44578</v>
      </c>
      <c r="AX1162" s="1">
        <v>3.8650000000000002</v>
      </c>
      <c r="AY1162" s="1">
        <v>44578</v>
      </c>
      <c r="AZ1162" s="1">
        <v>3.7949999999999999</v>
      </c>
      <c r="BB1162" s="1">
        <v>44491</v>
      </c>
      <c r="BC1162" s="1">
        <v>1.5</v>
      </c>
      <c r="BD1162" s="1">
        <v>44515</v>
      </c>
      <c r="BE1162" s="1">
        <v>3.14</v>
      </c>
      <c r="BF1162" s="1">
        <v>44578</v>
      </c>
      <c r="BG1162" s="1">
        <v>4.76</v>
      </c>
      <c r="BH1162" s="1">
        <v>44578</v>
      </c>
      <c r="BI1162" s="1">
        <v>4.8380000000000001</v>
      </c>
      <c r="BJ1162" s="1">
        <v>44578</v>
      </c>
      <c r="BK1162" s="1">
        <v>4.9550000000000001</v>
      </c>
      <c r="BL1162" s="1">
        <v>44578</v>
      </c>
      <c r="BM1162" s="1">
        <v>4.93</v>
      </c>
      <c r="BN1162" s="1">
        <v>44575</v>
      </c>
      <c r="BO1162" s="1">
        <v>4.71</v>
      </c>
      <c r="BP1162" s="1">
        <v>44578</v>
      </c>
      <c r="BQ1162" s="1">
        <v>4.4000000000000004</v>
      </c>
      <c r="BR1162" s="1">
        <v>44578</v>
      </c>
      <c r="BS1162" s="1">
        <v>4.125</v>
      </c>
      <c r="BT1162" s="1">
        <v>44578</v>
      </c>
      <c r="BU1162" s="1">
        <v>3.94</v>
      </c>
      <c r="BV1162" s="1">
        <v>44578</v>
      </c>
      <c r="BW1162" s="1">
        <v>3.79</v>
      </c>
      <c r="BY1162" s="1">
        <v>44496</v>
      </c>
      <c r="BZ1162" s="1">
        <v>1.8</v>
      </c>
      <c r="CA1162" s="1">
        <v>44508</v>
      </c>
      <c r="CB1162" s="1">
        <v>2.0699999999999998</v>
      </c>
      <c r="CC1162" s="1">
        <v>44578</v>
      </c>
      <c r="CD1162" s="1">
        <v>4.41</v>
      </c>
      <c r="CE1162" s="1">
        <v>44578</v>
      </c>
      <c r="CF1162" s="1">
        <v>4.6100000000000003</v>
      </c>
      <c r="CG1162" s="1">
        <v>44578</v>
      </c>
      <c r="CH1162" s="1">
        <v>4.7699999999999996</v>
      </c>
      <c r="CI1162" s="1">
        <v>44578</v>
      </c>
      <c r="CJ1162" s="1">
        <v>4.93</v>
      </c>
      <c r="CK1162" s="1">
        <v>44578</v>
      </c>
      <c r="CL1162" s="1">
        <v>4.9649999999999999</v>
      </c>
      <c r="CM1162" s="1">
        <v>44574</v>
      </c>
      <c r="CN1162" s="1">
        <v>4.76</v>
      </c>
      <c r="CO1162" s="1">
        <v>44566</v>
      </c>
      <c r="CP1162" s="1">
        <v>5.44</v>
      </c>
      <c r="CQ1162" s="1">
        <v>44566</v>
      </c>
      <c r="CR1162" s="1">
        <v>5.34</v>
      </c>
      <c r="CS1162" s="1">
        <v>44566</v>
      </c>
      <c r="CT1162" s="1">
        <v>5.23</v>
      </c>
    </row>
    <row r="1163" spans="31:98" x14ac:dyDescent="0.2">
      <c r="AE1163" s="1">
        <v>44567</v>
      </c>
      <c r="AF1163" s="1">
        <v>2.25</v>
      </c>
      <c r="AG1163" s="1">
        <v>44516</v>
      </c>
      <c r="AH1163" s="1">
        <v>1.64</v>
      </c>
      <c r="AI1163" s="1">
        <v>44575</v>
      </c>
      <c r="AJ1163" s="1">
        <v>3.1457000000000002</v>
      </c>
      <c r="AK1163" s="1">
        <v>44575</v>
      </c>
      <c r="AL1163" s="1">
        <v>3.48</v>
      </c>
      <c r="AM1163" s="1">
        <v>44575</v>
      </c>
      <c r="AN1163" s="1">
        <v>3.7749999999999999</v>
      </c>
      <c r="AO1163" s="1">
        <v>44575</v>
      </c>
      <c r="AP1163" s="1">
        <v>4.0149999999999997</v>
      </c>
      <c r="AQ1163" s="1">
        <v>44575</v>
      </c>
      <c r="AR1163" s="1">
        <v>4.0199999999999996</v>
      </c>
      <c r="AS1163" s="1">
        <v>44575</v>
      </c>
      <c r="AT1163" s="1">
        <v>3.99</v>
      </c>
      <c r="AU1163" s="1">
        <v>44575</v>
      </c>
      <c r="AV1163" s="1">
        <v>3.9449999999999998</v>
      </c>
      <c r="AW1163" s="1">
        <v>44575</v>
      </c>
      <c r="AX1163" s="1">
        <v>3.88</v>
      </c>
      <c r="AY1163" s="1">
        <v>44575</v>
      </c>
      <c r="AZ1163" s="1">
        <v>3.81</v>
      </c>
      <c r="BB1163" s="1">
        <v>44490</v>
      </c>
      <c r="BC1163" s="1">
        <v>1.5</v>
      </c>
      <c r="BD1163" s="1">
        <v>44512</v>
      </c>
      <c r="BE1163" s="1">
        <v>3.12</v>
      </c>
      <c r="BF1163" s="1">
        <v>44575</v>
      </c>
      <c r="BG1163" s="1">
        <v>4.76</v>
      </c>
      <c r="BH1163" s="1">
        <v>44575</v>
      </c>
      <c r="BI1163" s="1">
        <v>4.8499999999999996</v>
      </c>
      <c r="BJ1163" s="1">
        <v>44575</v>
      </c>
      <c r="BK1163" s="1">
        <v>4.97</v>
      </c>
      <c r="BL1163" s="1">
        <v>44575</v>
      </c>
      <c r="BM1163" s="1">
        <v>4.95</v>
      </c>
      <c r="BN1163" s="1">
        <v>44574</v>
      </c>
      <c r="BO1163" s="1">
        <v>4.665</v>
      </c>
      <c r="BP1163" s="1">
        <v>44575</v>
      </c>
      <c r="BQ1163" s="1">
        <v>4.4329999999999998</v>
      </c>
      <c r="BR1163" s="1">
        <v>44575</v>
      </c>
      <c r="BS1163" s="1">
        <v>4.1479999999999997</v>
      </c>
      <c r="BT1163" s="1">
        <v>44575</v>
      </c>
      <c r="BU1163" s="1">
        <v>3.9449999999999998</v>
      </c>
      <c r="BV1163" s="1">
        <v>44575</v>
      </c>
      <c r="BW1163" s="1">
        <v>3.7749999999999999</v>
      </c>
      <c r="BY1163" s="1">
        <v>44495</v>
      </c>
      <c r="BZ1163" s="1">
        <v>1.8</v>
      </c>
      <c r="CA1163" s="1">
        <v>44505</v>
      </c>
      <c r="CB1163" s="1">
        <v>2.06</v>
      </c>
      <c r="CC1163" s="1">
        <v>44575</v>
      </c>
      <c r="CD1163" s="1">
        <v>4.41</v>
      </c>
      <c r="CE1163" s="1">
        <v>44575</v>
      </c>
      <c r="CF1163" s="1">
        <v>4.6100000000000003</v>
      </c>
      <c r="CG1163" s="1">
        <v>44575</v>
      </c>
      <c r="CH1163" s="1">
        <v>4.7699999999999996</v>
      </c>
      <c r="CI1163" s="1">
        <v>44575</v>
      </c>
      <c r="CJ1163" s="1">
        <v>4.93</v>
      </c>
      <c r="CK1163" s="1">
        <v>44575</v>
      </c>
      <c r="CL1163" s="1">
        <v>4.9249999999999998</v>
      </c>
      <c r="CM1163" s="1">
        <v>44573</v>
      </c>
      <c r="CN1163" s="1">
        <v>4.8499999999999996</v>
      </c>
      <c r="CO1163" s="1">
        <v>44565</v>
      </c>
      <c r="CP1163" s="1">
        <v>5.33</v>
      </c>
      <c r="CQ1163" s="1">
        <v>44565</v>
      </c>
      <c r="CR1163" s="1">
        <v>5.21</v>
      </c>
      <c r="CS1163" s="1">
        <v>44565</v>
      </c>
      <c r="CT1163" s="1">
        <v>5.08</v>
      </c>
    </row>
    <row r="1164" spans="31:98" x14ac:dyDescent="0.2">
      <c r="AE1164" s="1">
        <v>44566</v>
      </c>
      <c r="AF1164" s="1">
        <v>2.25</v>
      </c>
      <c r="AG1164" s="1">
        <v>44515</v>
      </c>
      <c r="AH1164" s="1">
        <v>1.62</v>
      </c>
      <c r="AI1164" s="1">
        <v>44574</v>
      </c>
      <c r="AJ1164" s="1">
        <v>3.1320000000000001</v>
      </c>
      <c r="AK1164" s="1">
        <v>44574</v>
      </c>
      <c r="AL1164" s="1">
        <v>3.4950000000000001</v>
      </c>
      <c r="AM1164" s="1">
        <v>44574</v>
      </c>
      <c r="AN1164" s="1">
        <v>3.8</v>
      </c>
      <c r="AO1164" s="1">
        <v>44574</v>
      </c>
      <c r="AP1164" s="1">
        <v>4.01</v>
      </c>
      <c r="AQ1164" s="1">
        <v>44574</v>
      </c>
      <c r="AR1164" s="1">
        <v>4.0199999999999996</v>
      </c>
      <c r="AS1164" s="1">
        <v>44574</v>
      </c>
      <c r="AT1164" s="1">
        <v>3.9750000000000001</v>
      </c>
      <c r="AU1164" s="1">
        <v>44574</v>
      </c>
      <c r="AV1164" s="1">
        <v>3.93</v>
      </c>
      <c r="AW1164" s="1">
        <v>44574</v>
      </c>
      <c r="AX1164" s="1">
        <v>3.8650000000000002</v>
      </c>
      <c r="AY1164" s="1">
        <v>44574</v>
      </c>
      <c r="AZ1164" s="1">
        <v>3.7949999999999999</v>
      </c>
      <c r="BB1164" s="1">
        <v>44489</v>
      </c>
      <c r="BC1164" s="1">
        <v>1.5</v>
      </c>
      <c r="BD1164" s="1">
        <v>44511</v>
      </c>
      <c r="BE1164" s="1">
        <v>3.11</v>
      </c>
      <c r="BF1164" s="1">
        <v>44574</v>
      </c>
      <c r="BG1164" s="1">
        <v>4.76</v>
      </c>
      <c r="BH1164" s="1">
        <v>44574</v>
      </c>
      <c r="BI1164" s="1">
        <v>4.8449999999999998</v>
      </c>
      <c r="BJ1164" s="1">
        <v>44574</v>
      </c>
      <c r="BK1164" s="1">
        <v>4.9550000000000001</v>
      </c>
      <c r="BL1164" s="1">
        <v>44574</v>
      </c>
      <c r="BM1164" s="1">
        <v>4.9400000000000004</v>
      </c>
      <c r="BN1164" s="1">
        <v>44573</v>
      </c>
      <c r="BO1164" s="1">
        <v>4.76</v>
      </c>
      <c r="BP1164" s="1">
        <v>44574</v>
      </c>
      <c r="BQ1164" s="1">
        <v>4.375</v>
      </c>
      <c r="BR1164" s="1">
        <v>44574</v>
      </c>
      <c r="BS1164" s="1">
        <v>4.1379999999999999</v>
      </c>
      <c r="BT1164" s="1">
        <v>44574</v>
      </c>
      <c r="BU1164" s="1">
        <v>3.9329999999999998</v>
      </c>
      <c r="BV1164" s="1">
        <v>44574</v>
      </c>
      <c r="BW1164" s="1">
        <v>3.74</v>
      </c>
      <c r="BY1164" s="1">
        <v>44494</v>
      </c>
      <c r="BZ1164" s="1">
        <v>1.8</v>
      </c>
      <c r="CA1164" s="1">
        <v>44504</v>
      </c>
      <c r="CB1164" s="1">
        <v>2.06</v>
      </c>
      <c r="CC1164" s="1">
        <v>44574</v>
      </c>
      <c r="CD1164" s="1">
        <v>4.38</v>
      </c>
      <c r="CE1164" s="1">
        <v>44574</v>
      </c>
      <c r="CF1164" s="1">
        <v>4.57</v>
      </c>
      <c r="CG1164" s="1">
        <v>44574</v>
      </c>
      <c r="CH1164" s="1">
        <v>4.72</v>
      </c>
      <c r="CI1164" s="1">
        <v>44574</v>
      </c>
      <c r="CJ1164" s="1">
        <v>4.88</v>
      </c>
      <c r="CK1164" s="1">
        <v>44574</v>
      </c>
      <c r="CL1164" s="1">
        <v>4.8650000000000002</v>
      </c>
      <c r="CM1164" s="1">
        <v>44572</v>
      </c>
      <c r="CN1164" s="1">
        <v>5.0199999999999996</v>
      </c>
      <c r="CO1164" s="1">
        <v>44561</v>
      </c>
      <c r="CP1164" s="1">
        <v>5.1100000000000003</v>
      </c>
      <c r="CQ1164" s="1">
        <v>44561</v>
      </c>
      <c r="CR1164" s="1">
        <v>4.99</v>
      </c>
      <c r="CS1164" s="1">
        <v>44561</v>
      </c>
      <c r="CT1164" s="1">
        <v>4.8600000000000003</v>
      </c>
    </row>
    <row r="1165" spans="31:98" x14ac:dyDescent="0.2">
      <c r="AE1165" s="1">
        <v>44565</v>
      </c>
      <c r="AF1165" s="1">
        <v>2.25</v>
      </c>
      <c r="AG1165" s="1">
        <v>44512</v>
      </c>
      <c r="AH1165" s="1">
        <v>1.61</v>
      </c>
      <c r="AI1165" s="1">
        <v>44573</v>
      </c>
      <c r="AJ1165" s="1">
        <v>3.173</v>
      </c>
      <c r="AK1165" s="1">
        <v>44573</v>
      </c>
      <c r="AL1165" s="1">
        <v>3.5750000000000002</v>
      </c>
      <c r="AM1165" s="1">
        <v>44573</v>
      </c>
      <c r="AN1165" s="1">
        <v>3.915</v>
      </c>
      <c r="AO1165" s="1">
        <v>44573</v>
      </c>
      <c r="AP1165" s="1">
        <v>4.17</v>
      </c>
      <c r="AQ1165" s="1">
        <v>44573</v>
      </c>
      <c r="AR1165" s="1">
        <v>4.1349999999999998</v>
      </c>
      <c r="AS1165" s="1">
        <v>44573</v>
      </c>
      <c r="AT1165" s="1">
        <v>4.0650000000000004</v>
      </c>
      <c r="AU1165" s="1">
        <v>44573</v>
      </c>
      <c r="AV1165" s="1">
        <v>3.9950000000000001</v>
      </c>
      <c r="AW1165" s="1">
        <v>44573</v>
      </c>
      <c r="AX1165" s="1">
        <v>3.92</v>
      </c>
      <c r="AY1165" s="1">
        <v>44573</v>
      </c>
      <c r="AZ1165" s="1">
        <v>3.8450000000000002</v>
      </c>
      <c r="BB1165" s="1">
        <v>44488</v>
      </c>
      <c r="BC1165" s="1">
        <v>1.5</v>
      </c>
      <c r="BD1165" s="1">
        <v>44510</v>
      </c>
      <c r="BE1165" s="1">
        <v>3.1</v>
      </c>
      <c r="BF1165" s="1">
        <v>44573</v>
      </c>
      <c r="BG1165" s="1">
        <v>4.7649999999999997</v>
      </c>
      <c r="BH1165" s="1">
        <v>44573</v>
      </c>
      <c r="BI1165" s="1">
        <v>4.84</v>
      </c>
      <c r="BJ1165" s="1">
        <v>44573</v>
      </c>
      <c r="BK1165" s="1">
        <v>4.9649999999999999</v>
      </c>
      <c r="BL1165" s="1">
        <v>44573</v>
      </c>
      <c r="BM1165" s="1">
        <v>4.97</v>
      </c>
      <c r="BN1165" s="1">
        <v>44572</v>
      </c>
      <c r="BO1165" s="1">
        <v>4.7279999999999998</v>
      </c>
      <c r="BP1165" s="1">
        <v>44573</v>
      </c>
      <c r="BQ1165" s="1">
        <v>4.5199999999999996</v>
      </c>
      <c r="BR1165" s="1">
        <v>44573</v>
      </c>
      <c r="BS1165" s="1">
        <v>4.3079999999999998</v>
      </c>
      <c r="BT1165" s="1">
        <v>44573</v>
      </c>
      <c r="BU1165" s="1">
        <v>4.125</v>
      </c>
      <c r="BV1165" s="1">
        <v>44573</v>
      </c>
      <c r="BW1165" s="1">
        <v>3.9550000000000001</v>
      </c>
      <c r="BY1165" s="1">
        <v>44491</v>
      </c>
      <c r="BZ1165" s="1">
        <v>1.8</v>
      </c>
      <c r="CA1165" s="1">
        <v>44503</v>
      </c>
      <c r="CB1165" s="1">
        <v>2.0499999999999998</v>
      </c>
      <c r="CC1165" s="1">
        <v>44573</v>
      </c>
      <c r="CD1165" s="1">
        <v>4.4400000000000004</v>
      </c>
      <c r="CE1165" s="1">
        <v>44573</v>
      </c>
      <c r="CF1165" s="1">
        <v>4.6500000000000004</v>
      </c>
      <c r="CG1165" s="1">
        <v>44573</v>
      </c>
      <c r="CH1165" s="1">
        <v>4.8</v>
      </c>
      <c r="CI1165" s="1">
        <v>44573</v>
      </c>
      <c r="CJ1165" s="1">
        <v>4.9800000000000004</v>
      </c>
      <c r="CK1165" s="1">
        <v>44573</v>
      </c>
      <c r="CL1165" s="1">
        <v>4.91</v>
      </c>
      <c r="CM1165" s="1">
        <v>44571</v>
      </c>
      <c r="CN1165" s="1">
        <v>5.07</v>
      </c>
      <c r="CO1165" s="1">
        <v>44560</v>
      </c>
      <c r="CP1165" s="1">
        <v>5.1100000000000003</v>
      </c>
      <c r="CQ1165" s="1">
        <v>44560</v>
      </c>
      <c r="CR1165" s="1">
        <v>4.99</v>
      </c>
      <c r="CS1165" s="1">
        <v>44560</v>
      </c>
      <c r="CT1165" s="1">
        <v>4.8600000000000003</v>
      </c>
    </row>
    <row r="1166" spans="31:98" x14ac:dyDescent="0.2">
      <c r="AE1166" s="1">
        <v>44564</v>
      </c>
      <c r="AF1166" s="1">
        <v>1.75</v>
      </c>
      <c r="AG1166" s="1">
        <v>44510</v>
      </c>
      <c r="AH1166" s="1">
        <v>1.58</v>
      </c>
      <c r="AI1166" s="1">
        <v>44572</v>
      </c>
      <c r="AJ1166" s="1">
        <v>3.1960000000000002</v>
      </c>
      <c r="AK1166" s="1">
        <v>44572</v>
      </c>
      <c r="AL1166" s="1">
        <v>3.61</v>
      </c>
      <c r="AM1166" s="1">
        <v>44572</v>
      </c>
      <c r="AN1166" s="1">
        <v>3.9950000000000001</v>
      </c>
      <c r="AO1166" s="1">
        <v>44572</v>
      </c>
      <c r="AP1166" s="1">
        <v>4.2699999999999996</v>
      </c>
      <c r="AQ1166" s="1">
        <v>44572</v>
      </c>
      <c r="AR1166" s="1">
        <v>4.2249999999999996</v>
      </c>
      <c r="AS1166" s="1">
        <v>44572</v>
      </c>
      <c r="AT1166" s="1">
        <v>4.1950000000000003</v>
      </c>
      <c r="AU1166" s="1">
        <v>44572</v>
      </c>
      <c r="AV1166" s="1">
        <v>4.13</v>
      </c>
      <c r="AW1166" s="1">
        <v>44572</v>
      </c>
      <c r="AX1166" s="1">
        <v>4.0449999999999999</v>
      </c>
      <c r="AY1166" s="1">
        <v>44572</v>
      </c>
      <c r="AZ1166" s="1">
        <v>3.97</v>
      </c>
      <c r="BB1166" s="1">
        <v>44487</v>
      </c>
      <c r="BC1166" s="1">
        <v>1.5</v>
      </c>
      <c r="BD1166" s="1">
        <v>44509</v>
      </c>
      <c r="BE1166" s="1">
        <v>3.09</v>
      </c>
      <c r="BF1166" s="1">
        <v>44572</v>
      </c>
      <c r="BG1166" s="1">
        <v>4.7050000000000001</v>
      </c>
      <c r="BH1166" s="1">
        <v>44572</v>
      </c>
      <c r="BI1166" s="1">
        <v>4.8</v>
      </c>
      <c r="BJ1166" s="1">
        <v>44572</v>
      </c>
      <c r="BK1166" s="1">
        <v>4.9400000000000004</v>
      </c>
      <c r="BL1166" s="1">
        <v>44572</v>
      </c>
      <c r="BM1166" s="1">
        <v>4.9450000000000003</v>
      </c>
      <c r="BN1166" s="1">
        <v>44571</v>
      </c>
      <c r="BO1166" s="1">
        <v>4.6980000000000004</v>
      </c>
      <c r="BP1166" s="1">
        <v>44572</v>
      </c>
      <c r="BQ1166" s="1">
        <v>4.5229999999999997</v>
      </c>
      <c r="BR1166" s="1">
        <v>44572</v>
      </c>
      <c r="BS1166" s="1">
        <v>4.335</v>
      </c>
      <c r="BT1166" s="1">
        <v>44572</v>
      </c>
      <c r="BU1166" s="1">
        <v>4.1829999999999998</v>
      </c>
      <c r="BV1166" s="1">
        <v>44572</v>
      </c>
      <c r="BW1166" s="1">
        <v>4.0449999999999999</v>
      </c>
      <c r="BY1166" s="1">
        <v>44490</v>
      </c>
      <c r="BZ1166" s="1">
        <v>1.8</v>
      </c>
      <c r="CA1166" s="1">
        <v>44502</v>
      </c>
      <c r="CB1166" s="1">
        <v>2.0499999999999998</v>
      </c>
      <c r="CC1166" s="1">
        <v>44572</v>
      </c>
      <c r="CD1166" s="1">
        <v>4.4850000000000003</v>
      </c>
      <c r="CE1166" s="1">
        <v>44572</v>
      </c>
      <c r="CF1166" s="1">
        <v>4.74</v>
      </c>
      <c r="CG1166" s="1">
        <v>44572</v>
      </c>
      <c r="CH1166" s="1">
        <v>4.91</v>
      </c>
      <c r="CI1166" s="1">
        <v>44572</v>
      </c>
      <c r="CJ1166" s="1">
        <v>5.1100000000000003</v>
      </c>
      <c r="CK1166" s="1">
        <v>44572</v>
      </c>
      <c r="CL1166" s="1">
        <v>5.03</v>
      </c>
      <c r="CM1166" s="1">
        <v>44568</v>
      </c>
      <c r="CN1166" s="1">
        <v>5.26</v>
      </c>
      <c r="CO1166" s="1">
        <v>44559</v>
      </c>
      <c r="CP1166" s="1">
        <v>4.97</v>
      </c>
      <c r="CQ1166" s="1">
        <v>44559</v>
      </c>
      <c r="CR1166" s="1">
        <v>4.8499999999999996</v>
      </c>
      <c r="CS1166" s="1">
        <v>44559</v>
      </c>
      <c r="CT1166" s="1">
        <v>4.72</v>
      </c>
    </row>
    <row r="1167" spans="31:98" x14ac:dyDescent="0.2">
      <c r="AE1167" s="1">
        <v>44561</v>
      </c>
      <c r="AF1167" s="1">
        <v>1.75</v>
      </c>
      <c r="AG1167" s="1">
        <v>44509</v>
      </c>
      <c r="AH1167" s="1">
        <v>1.57</v>
      </c>
      <c r="AI1167" s="1">
        <v>44571</v>
      </c>
      <c r="AJ1167" s="1">
        <v>3.1524999999999999</v>
      </c>
      <c r="AK1167" s="1">
        <v>44571</v>
      </c>
      <c r="AL1167" s="1">
        <v>3.64</v>
      </c>
      <c r="AM1167" s="1">
        <v>44571</v>
      </c>
      <c r="AN1167" s="1">
        <v>4.0250000000000004</v>
      </c>
      <c r="AO1167" s="1">
        <v>44571</v>
      </c>
      <c r="AP1167" s="1">
        <v>4.3150000000000004</v>
      </c>
      <c r="AQ1167" s="1">
        <v>44571</v>
      </c>
      <c r="AR1167" s="1">
        <v>4.3</v>
      </c>
      <c r="AS1167" s="1">
        <v>44571</v>
      </c>
      <c r="AT1167" s="1">
        <v>4.25</v>
      </c>
      <c r="AU1167" s="1">
        <v>44571</v>
      </c>
      <c r="AV1167" s="1">
        <v>4.1849999999999996</v>
      </c>
      <c r="AW1167" s="1">
        <v>44571</v>
      </c>
      <c r="AX1167" s="1">
        <v>4.1349999999999998</v>
      </c>
      <c r="AY1167" s="1">
        <v>44571</v>
      </c>
      <c r="AZ1167" s="1">
        <v>4.0650000000000004</v>
      </c>
      <c r="BB1167" s="1">
        <v>44484</v>
      </c>
      <c r="BC1167" s="1">
        <v>1.5</v>
      </c>
      <c r="BD1167" s="1">
        <v>44508</v>
      </c>
      <c r="BE1167" s="1">
        <v>3.08</v>
      </c>
      <c r="BF1167" s="1">
        <v>44571</v>
      </c>
      <c r="BG1167" s="1">
        <v>4.7149999999999999</v>
      </c>
      <c r="BH1167" s="1">
        <v>44571</v>
      </c>
      <c r="BI1167" s="1">
        <v>4.8099999999999996</v>
      </c>
      <c r="BJ1167" s="1">
        <v>44571</v>
      </c>
      <c r="BK1167" s="1">
        <v>4.9349999999999996</v>
      </c>
      <c r="BL1167" s="1">
        <v>44571</v>
      </c>
      <c r="BM1167" s="1">
        <v>4.9349999999999996</v>
      </c>
      <c r="BN1167" s="1">
        <v>44568</v>
      </c>
      <c r="BO1167" s="1">
        <v>4.7279999999999998</v>
      </c>
      <c r="BP1167" s="1">
        <v>44571</v>
      </c>
      <c r="BQ1167" s="1">
        <v>4.4829999999999997</v>
      </c>
      <c r="BR1167" s="1">
        <v>44571</v>
      </c>
      <c r="BS1167" s="1">
        <v>4.2729999999999997</v>
      </c>
      <c r="BT1167" s="1">
        <v>44571</v>
      </c>
      <c r="BU1167" s="1">
        <v>4.1100000000000003</v>
      </c>
      <c r="BV1167" s="1">
        <v>44571</v>
      </c>
      <c r="BW1167" s="1">
        <v>4.008</v>
      </c>
      <c r="BY1167" s="1">
        <v>44489</v>
      </c>
      <c r="BZ1167" s="1">
        <v>1.8</v>
      </c>
      <c r="CA1167" s="1">
        <v>44498</v>
      </c>
      <c r="CB1167" s="1">
        <v>2.04</v>
      </c>
      <c r="CC1167" s="1">
        <v>44571</v>
      </c>
      <c r="CD1167" s="1">
        <v>4.5999999999999996</v>
      </c>
      <c r="CE1167" s="1">
        <v>44571</v>
      </c>
      <c r="CF1167" s="1">
        <v>4.8609999999999998</v>
      </c>
      <c r="CG1167" s="1">
        <v>44571</v>
      </c>
      <c r="CH1167" s="1">
        <v>4.96</v>
      </c>
      <c r="CI1167" s="1">
        <v>44571</v>
      </c>
      <c r="CJ1167" s="1">
        <v>5.16</v>
      </c>
      <c r="CK1167" s="1">
        <v>44571</v>
      </c>
      <c r="CL1167" s="1">
        <v>5.12</v>
      </c>
      <c r="CM1167" s="1">
        <v>44567</v>
      </c>
      <c r="CN1167" s="1">
        <v>5.45</v>
      </c>
      <c r="CO1167" s="1">
        <v>44553</v>
      </c>
      <c r="CP1167" s="1">
        <v>4.93</v>
      </c>
      <c r="CQ1167" s="1">
        <v>44553</v>
      </c>
      <c r="CR1167" s="1">
        <v>4.8099999999999996</v>
      </c>
      <c r="CS1167" s="1">
        <v>44553</v>
      </c>
      <c r="CT1167" s="1">
        <v>4.68</v>
      </c>
    </row>
    <row r="1168" spans="31:98" x14ac:dyDescent="0.2">
      <c r="AE1168" s="1">
        <v>44560</v>
      </c>
      <c r="AF1168" s="1">
        <v>1.75</v>
      </c>
      <c r="AG1168" s="1">
        <v>44508</v>
      </c>
      <c r="AH1168" s="1">
        <v>1.55</v>
      </c>
      <c r="AI1168" s="1">
        <v>44568</v>
      </c>
      <c r="AJ1168" s="1">
        <v>3.1566999999999998</v>
      </c>
      <c r="AK1168" s="1">
        <v>44568</v>
      </c>
      <c r="AL1168" s="1">
        <v>3.645</v>
      </c>
      <c r="AM1168" s="1">
        <v>44568</v>
      </c>
      <c r="AN1168" s="1">
        <v>4.0350000000000001</v>
      </c>
      <c r="AO1168" s="1">
        <v>44568</v>
      </c>
      <c r="AP1168" s="1">
        <v>4.33</v>
      </c>
      <c r="AQ1168" s="1">
        <v>44568</v>
      </c>
      <c r="AR1168" s="1">
        <v>4.3150000000000004</v>
      </c>
      <c r="AS1168" s="1">
        <v>44568</v>
      </c>
      <c r="AT1168" s="1">
        <v>4.2750000000000004</v>
      </c>
      <c r="AU1168" s="1">
        <v>44568</v>
      </c>
      <c r="AV1168" s="1">
        <v>4.22</v>
      </c>
      <c r="AW1168" s="1">
        <v>44568</v>
      </c>
      <c r="AX1168" s="1">
        <v>4.165</v>
      </c>
      <c r="AY1168" s="1">
        <v>44568</v>
      </c>
      <c r="AZ1168" s="1">
        <v>4.0949999999999998</v>
      </c>
      <c r="BB1168" s="1">
        <v>44483</v>
      </c>
      <c r="BC1168" s="1">
        <v>1.5</v>
      </c>
      <c r="BD1168" s="1">
        <v>44505</v>
      </c>
      <c r="BE1168" s="1">
        <v>3.06</v>
      </c>
      <c r="BF1168" s="1">
        <v>44568</v>
      </c>
      <c r="BG1168" s="1">
        <v>4.7300000000000004</v>
      </c>
      <c r="BH1168" s="1">
        <v>44568</v>
      </c>
      <c r="BI1168" s="1">
        <v>4.8600000000000003</v>
      </c>
      <c r="BJ1168" s="1">
        <v>44568</v>
      </c>
      <c r="BK1168" s="1">
        <v>5</v>
      </c>
      <c r="BL1168" s="1">
        <v>44568</v>
      </c>
      <c r="BM1168" s="1">
        <v>4.9749999999999996</v>
      </c>
      <c r="BN1168" s="1">
        <v>44567</v>
      </c>
      <c r="BO1168" s="1">
        <v>4.7779999999999996</v>
      </c>
      <c r="BP1168" s="1">
        <v>44568</v>
      </c>
      <c r="BQ1168" s="1">
        <v>4.4950000000000001</v>
      </c>
      <c r="BR1168" s="1">
        <v>44568</v>
      </c>
      <c r="BS1168" s="1">
        <v>4.3250000000000002</v>
      </c>
      <c r="BT1168" s="1">
        <v>44568</v>
      </c>
      <c r="BU1168" s="1">
        <v>4.1429999999999998</v>
      </c>
      <c r="BV1168" s="1">
        <v>44568</v>
      </c>
      <c r="BW1168" s="1">
        <v>4.0179999999999998</v>
      </c>
      <c r="BY1168" s="1">
        <v>44488</v>
      </c>
      <c r="BZ1168" s="1">
        <v>1.8</v>
      </c>
      <c r="CA1168" s="1">
        <v>44497</v>
      </c>
      <c r="CB1168" s="1">
        <v>2.0299999999999998</v>
      </c>
      <c r="CC1168" s="1">
        <v>44568</v>
      </c>
      <c r="CD1168" s="1">
        <v>4.6399999999999997</v>
      </c>
      <c r="CE1168" s="1">
        <v>44568</v>
      </c>
      <c r="CF1168" s="1">
        <v>4.9379999999999997</v>
      </c>
      <c r="CG1168" s="1">
        <v>44568</v>
      </c>
      <c r="CH1168" s="1">
        <v>5.1050000000000004</v>
      </c>
      <c r="CI1168" s="1">
        <v>44568</v>
      </c>
      <c r="CJ1168" s="1">
        <v>5.28</v>
      </c>
      <c r="CK1168" s="1">
        <v>44568</v>
      </c>
      <c r="CL1168" s="1">
        <v>5.2324999999999999</v>
      </c>
      <c r="CM1168" s="1">
        <v>44566</v>
      </c>
      <c r="CN1168" s="1">
        <v>5.52</v>
      </c>
      <c r="CO1168" s="1">
        <v>44552</v>
      </c>
      <c r="CP1168" s="1">
        <v>4.8600000000000003</v>
      </c>
      <c r="CQ1168" s="1">
        <v>44552</v>
      </c>
      <c r="CR1168" s="1">
        <v>4.7300000000000004</v>
      </c>
      <c r="CS1168" s="1">
        <v>44552</v>
      </c>
      <c r="CT1168" s="1">
        <v>4.58</v>
      </c>
    </row>
    <row r="1169" spans="31:98" x14ac:dyDescent="0.2">
      <c r="AE1169" s="1">
        <v>44559</v>
      </c>
      <c r="AF1169" s="1">
        <v>1.75</v>
      </c>
      <c r="AG1169" s="1">
        <v>44505</v>
      </c>
      <c r="AH1169" s="1">
        <v>1.56</v>
      </c>
      <c r="AI1169" s="1">
        <v>44567</v>
      </c>
      <c r="AJ1169" s="1">
        <v>3.0059999999999998</v>
      </c>
      <c r="AK1169" s="1">
        <v>44567</v>
      </c>
      <c r="AL1169" s="1">
        <v>3.5</v>
      </c>
      <c r="AM1169" s="1">
        <v>44567</v>
      </c>
      <c r="AN1169" s="1">
        <v>3.9950000000000001</v>
      </c>
      <c r="AO1169" s="1">
        <v>44567</v>
      </c>
      <c r="AP1169" s="1">
        <v>4.2850000000000001</v>
      </c>
      <c r="AQ1169" s="1">
        <v>44567</v>
      </c>
      <c r="AR1169" s="1">
        <v>4.1950000000000003</v>
      </c>
      <c r="AS1169" s="1">
        <v>44567</v>
      </c>
      <c r="AT1169" s="1">
        <v>4.1550000000000002</v>
      </c>
      <c r="AU1169" s="1">
        <v>44567</v>
      </c>
      <c r="AV1169" s="1">
        <v>4.13</v>
      </c>
      <c r="AW1169" s="1">
        <v>44567</v>
      </c>
      <c r="AX1169" s="1">
        <v>4.08</v>
      </c>
      <c r="AY1169" s="1">
        <v>44567</v>
      </c>
      <c r="AZ1169" s="1">
        <v>4.0149999999999997</v>
      </c>
      <c r="BB1169" s="1">
        <v>44482</v>
      </c>
      <c r="BC1169" s="1">
        <v>1.5</v>
      </c>
      <c r="BD1169" s="1">
        <v>44504</v>
      </c>
      <c r="BE1169" s="1">
        <v>2.2799999999999998</v>
      </c>
      <c r="BF1169" s="1">
        <v>44567</v>
      </c>
      <c r="BG1169" s="1">
        <v>4.76</v>
      </c>
      <c r="BH1169" s="1">
        <v>44567</v>
      </c>
      <c r="BI1169" s="1">
        <v>4.92</v>
      </c>
      <c r="BJ1169" s="1">
        <v>44567</v>
      </c>
      <c r="BK1169" s="1">
        <v>5.0359999999999996</v>
      </c>
      <c r="BL1169" s="1">
        <v>44567</v>
      </c>
      <c r="BM1169" s="1">
        <v>5.0149999999999997</v>
      </c>
      <c r="BN1169" s="1">
        <v>44566</v>
      </c>
      <c r="BO1169" s="1">
        <v>4.7249999999999996</v>
      </c>
      <c r="BP1169" s="1">
        <v>44567</v>
      </c>
      <c r="BQ1169" s="1">
        <v>4.5679999999999996</v>
      </c>
      <c r="BR1169" s="1">
        <v>44567</v>
      </c>
      <c r="BS1169" s="1">
        <v>4.3780000000000001</v>
      </c>
      <c r="BT1169" s="1">
        <v>44567</v>
      </c>
      <c r="BU1169" s="1">
        <v>4.1680000000000001</v>
      </c>
      <c r="BV1169" s="1">
        <v>44567</v>
      </c>
      <c r="BW1169" s="1">
        <v>3.9980000000000002</v>
      </c>
      <c r="BY1169" s="1">
        <v>44487</v>
      </c>
      <c r="BZ1169" s="1">
        <v>1.65</v>
      </c>
      <c r="CA1169" s="1">
        <v>44496</v>
      </c>
      <c r="CB1169" s="1">
        <v>2.02</v>
      </c>
      <c r="CC1169" s="1">
        <v>44567</v>
      </c>
      <c r="CD1169" s="1">
        <v>4.71</v>
      </c>
      <c r="CE1169" s="1">
        <v>44567</v>
      </c>
      <c r="CF1169" s="1">
        <v>4.99</v>
      </c>
      <c r="CG1169" s="1">
        <v>44567</v>
      </c>
      <c r="CH1169" s="1">
        <v>5.22</v>
      </c>
      <c r="CI1169" s="1">
        <v>44567</v>
      </c>
      <c r="CJ1169" s="1">
        <v>5.52</v>
      </c>
      <c r="CK1169" s="1">
        <v>44567</v>
      </c>
      <c r="CL1169" s="1">
        <v>5.59</v>
      </c>
      <c r="CM1169" s="1">
        <v>44565</v>
      </c>
      <c r="CN1169" s="1">
        <v>5.44</v>
      </c>
      <c r="CO1169" s="1">
        <v>44551</v>
      </c>
      <c r="CP1169" s="1">
        <v>4.9000000000000004</v>
      </c>
      <c r="CQ1169" s="1">
        <v>44551</v>
      </c>
      <c r="CR1169" s="1">
        <v>4.79</v>
      </c>
      <c r="CS1169" s="1">
        <v>44551</v>
      </c>
      <c r="CT1169" s="1">
        <v>4.67</v>
      </c>
    </row>
    <row r="1170" spans="31:98" x14ac:dyDescent="0.2">
      <c r="AE1170" s="1">
        <v>44558</v>
      </c>
      <c r="AF1170" s="1">
        <v>1.75</v>
      </c>
      <c r="AG1170" s="1">
        <v>44504</v>
      </c>
      <c r="AH1170" s="1">
        <v>1.26</v>
      </c>
      <c r="AI1170" s="1">
        <v>44566</v>
      </c>
      <c r="AJ1170" s="1">
        <v>2.9906000000000001</v>
      </c>
      <c r="AK1170" s="1">
        <v>44566</v>
      </c>
      <c r="AL1170" s="1">
        <v>3.5</v>
      </c>
      <c r="AM1170" s="1">
        <v>44566</v>
      </c>
      <c r="AN1170" s="1">
        <v>3.9950000000000001</v>
      </c>
      <c r="AO1170" s="1">
        <v>44566</v>
      </c>
      <c r="AP1170" s="1">
        <v>4.2850000000000001</v>
      </c>
      <c r="AQ1170" s="1">
        <v>44566</v>
      </c>
      <c r="AR1170" s="1">
        <v>4.1951999999999998</v>
      </c>
      <c r="AS1170" s="1">
        <v>44566</v>
      </c>
      <c r="AT1170" s="1">
        <v>4.1550000000000002</v>
      </c>
      <c r="AU1170" s="1">
        <v>44566</v>
      </c>
      <c r="AV1170" s="1">
        <v>4.13</v>
      </c>
      <c r="AW1170" s="1">
        <v>44566</v>
      </c>
      <c r="AX1170" s="1">
        <v>4.08</v>
      </c>
      <c r="AY1170" s="1">
        <v>44566</v>
      </c>
      <c r="AZ1170" s="1">
        <v>4.0149999999999997</v>
      </c>
      <c r="BB1170" s="1">
        <v>44481</v>
      </c>
      <c r="BC1170" s="1">
        <v>1.5</v>
      </c>
      <c r="BD1170" s="1">
        <v>44503</v>
      </c>
      <c r="BE1170" s="1">
        <v>2.2200000000000002</v>
      </c>
      <c r="BF1170" s="1">
        <v>44566</v>
      </c>
      <c r="BG1170" s="1">
        <v>4.3250000000000002</v>
      </c>
      <c r="BH1170" s="1">
        <v>44566</v>
      </c>
      <c r="BI1170" s="1">
        <v>4.8979999999999997</v>
      </c>
      <c r="BJ1170" s="1">
        <v>44566</v>
      </c>
      <c r="BK1170" s="1">
        <v>5.0250000000000004</v>
      </c>
      <c r="BL1170" s="1">
        <v>44566</v>
      </c>
      <c r="BM1170" s="1">
        <v>4.968</v>
      </c>
      <c r="BN1170" s="1">
        <v>44565</v>
      </c>
      <c r="BO1170" s="1">
        <v>4.798</v>
      </c>
      <c r="BP1170" s="1">
        <v>44566</v>
      </c>
      <c r="BQ1170" s="1">
        <v>4.5179999999999998</v>
      </c>
      <c r="BR1170" s="1">
        <v>44566</v>
      </c>
      <c r="BS1170" s="1">
        <v>4.3099999999999996</v>
      </c>
      <c r="BT1170" s="1">
        <v>44566</v>
      </c>
      <c r="BU1170" s="1">
        <v>4.0979999999999999</v>
      </c>
      <c r="BV1170" s="1">
        <v>44566</v>
      </c>
      <c r="BW1170" s="1">
        <v>3.9249999999999998</v>
      </c>
      <c r="BY1170" s="1">
        <v>44484</v>
      </c>
      <c r="BZ1170" s="1">
        <v>1.65</v>
      </c>
      <c r="CA1170" s="1">
        <v>44495</v>
      </c>
      <c r="CB1170" s="1">
        <v>2.02</v>
      </c>
      <c r="CC1170" s="1">
        <v>44566</v>
      </c>
      <c r="CD1170" s="1">
        <v>4.8644999999999996</v>
      </c>
      <c r="CE1170" s="1">
        <v>44566</v>
      </c>
      <c r="CF1170" s="1">
        <v>5.18</v>
      </c>
      <c r="CG1170" s="1">
        <v>44566</v>
      </c>
      <c r="CH1170" s="1">
        <v>5.41</v>
      </c>
      <c r="CI1170" s="1">
        <v>44566</v>
      </c>
      <c r="CJ1170" s="1">
        <v>5.56</v>
      </c>
      <c r="CK1170" s="1">
        <v>44566</v>
      </c>
      <c r="CL1170" s="1">
        <v>5.65</v>
      </c>
      <c r="CM1170" s="1">
        <v>44561</v>
      </c>
      <c r="CN1170" s="1">
        <v>5.22</v>
      </c>
      <c r="CO1170" s="1">
        <v>44550</v>
      </c>
      <c r="CP1170" s="1">
        <v>4.9000000000000004</v>
      </c>
      <c r="CQ1170" s="1">
        <v>44550</v>
      </c>
      <c r="CR1170" s="1">
        <v>4.79</v>
      </c>
      <c r="CS1170" s="1">
        <v>44550</v>
      </c>
      <c r="CT1170" s="1">
        <v>4.67</v>
      </c>
    </row>
    <row r="1171" spans="31:98" x14ac:dyDescent="0.2">
      <c r="AE1171" s="1">
        <v>44557</v>
      </c>
      <c r="AF1171" s="1">
        <v>1.75</v>
      </c>
      <c r="AG1171" s="1">
        <v>44503</v>
      </c>
      <c r="AH1171" s="1">
        <v>0.84</v>
      </c>
      <c r="AI1171" s="1">
        <v>44565</v>
      </c>
      <c r="AJ1171" s="1">
        <v>3.1320000000000001</v>
      </c>
      <c r="AK1171" s="1">
        <v>44565</v>
      </c>
      <c r="AL1171" s="1">
        <v>3.5150000000000001</v>
      </c>
      <c r="AM1171" s="1">
        <v>44565</v>
      </c>
      <c r="AN1171" s="1">
        <v>3.95</v>
      </c>
      <c r="AO1171" s="1">
        <v>44565</v>
      </c>
      <c r="AP1171" s="1">
        <v>4.25</v>
      </c>
      <c r="AQ1171" s="1">
        <v>44565</v>
      </c>
      <c r="AR1171" s="1">
        <v>4.1475</v>
      </c>
      <c r="AS1171" s="1">
        <v>44565</v>
      </c>
      <c r="AT1171" s="1">
        <v>4.1150000000000002</v>
      </c>
      <c r="AU1171" s="1">
        <v>44565</v>
      </c>
      <c r="AV1171" s="1">
        <v>4.085</v>
      </c>
      <c r="AW1171" s="1">
        <v>44565</v>
      </c>
      <c r="AX1171" s="1">
        <v>4.0199999999999996</v>
      </c>
      <c r="AY1171" s="1">
        <v>44565</v>
      </c>
      <c r="AZ1171" s="1">
        <v>3.9750000000000001</v>
      </c>
      <c r="BB1171" s="1">
        <v>44480</v>
      </c>
      <c r="BC1171" s="1">
        <v>1.5</v>
      </c>
      <c r="BD1171" s="1">
        <v>44502</v>
      </c>
      <c r="BE1171" s="1">
        <v>2.21</v>
      </c>
      <c r="BF1171" s="1">
        <v>44565</v>
      </c>
      <c r="BG1171" s="1">
        <v>4.3899999999999997</v>
      </c>
      <c r="BH1171" s="1">
        <v>44565</v>
      </c>
      <c r="BI1171" s="1">
        <v>5.0149999999999997</v>
      </c>
      <c r="BJ1171" s="1">
        <v>44565</v>
      </c>
      <c r="BK1171" s="1">
        <v>5.1150000000000002</v>
      </c>
      <c r="BL1171" s="1">
        <v>44565</v>
      </c>
      <c r="BM1171" s="1">
        <v>5.03</v>
      </c>
      <c r="BN1171" s="1">
        <v>44564</v>
      </c>
      <c r="BO1171" s="1">
        <v>4.7300000000000004</v>
      </c>
      <c r="BP1171" s="1">
        <v>44565</v>
      </c>
      <c r="BQ1171" s="1">
        <v>4.5999999999999996</v>
      </c>
      <c r="BR1171" s="1">
        <v>44565</v>
      </c>
      <c r="BS1171" s="1">
        <v>4.37</v>
      </c>
      <c r="BT1171" s="1">
        <v>44565</v>
      </c>
      <c r="BU1171" s="1">
        <v>4.1580000000000004</v>
      </c>
      <c r="BV1171" s="1">
        <v>44565</v>
      </c>
      <c r="BW1171" s="1">
        <v>3.9780000000000002</v>
      </c>
      <c r="BY1171" s="1">
        <v>44483</v>
      </c>
      <c r="BZ1171" s="1">
        <v>1.65</v>
      </c>
      <c r="CA1171" s="1">
        <v>44494</v>
      </c>
      <c r="CB1171" s="1">
        <v>2</v>
      </c>
      <c r="CC1171" s="1">
        <v>44565</v>
      </c>
      <c r="CD1171" s="1">
        <v>4.8600000000000003</v>
      </c>
      <c r="CE1171" s="1">
        <v>44565</v>
      </c>
      <c r="CF1171" s="1">
        <v>5.21</v>
      </c>
      <c r="CG1171" s="1">
        <v>44565</v>
      </c>
      <c r="CH1171" s="1">
        <v>5.44</v>
      </c>
      <c r="CI1171" s="1">
        <v>44565</v>
      </c>
      <c r="CJ1171" s="1">
        <v>5.54</v>
      </c>
      <c r="CK1171" s="1">
        <v>44565</v>
      </c>
      <c r="CL1171" s="1">
        <v>5.65</v>
      </c>
      <c r="CM1171" s="1">
        <v>44560</v>
      </c>
      <c r="CN1171" s="1">
        <v>5.22</v>
      </c>
      <c r="CO1171" s="1">
        <v>44547</v>
      </c>
      <c r="CP1171" s="1">
        <v>4.9000000000000004</v>
      </c>
      <c r="CQ1171" s="1">
        <v>44547</v>
      </c>
      <c r="CR1171" s="1">
        <v>4.79</v>
      </c>
      <c r="CS1171" s="1">
        <v>44547</v>
      </c>
      <c r="CT1171" s="1">
        <v>4.67</v>
      </c>
    </row>
    <row r="1172" spans="31:98" x14ac:dyDescent="0.2">
      <c r="AE1172" s="1">
        <v>44554</v>
      </c>
      <c r="AF1172" s="1">
        <v>1.75</v>
      </c>
      <c r="AG1172" s="1">
        <v>44502</v>
      </c>
      <c r="AH1172" s="1">
        <v>0.78</v>
      </c>
      <c r="AI1172" s="1">
        <v>44564</v>
      </c>
      <c r="AJ1172" s="1">
        <v>3.2349999999999999</v>
      </c>
      <c r="AK1172" s="1">
        <v>44564</v>
      </c>
      <c r="AL1172" s="1">
        <v>3.6150000000000002</v>
      </c>
      <c r="AM1172" s="1">
        <v>44564</v>
      </c>
      <c r="AN1172" s="1">
        <v>3.9350000000000001</v>
      </c>
      <c r="AO1172" s="1">
        <v>44564</v>
      </c>
      <c r="AP1172" s="1">
        <v>4.1900000000000004</v>
      </c>
      <c r="AQ1172" s="1">
        <v>44564</v>
      </c>
      <c r="AR1172" s="1">
        <v>4.1050000000000004</v>
      </c>
      <c r="AS1172" s="1">
        <v>44564</v>
      </c>
      <c r="AT1172" s="1">
        <v>4.05</v>
      </c>
      <c r="AU1172" s="1">
        <v>44564</v>
      </c>
      <c r="AV1172" s="1">
        <v>3.99</v>
      </c>
      <c r="AW1172" s="1">
        <v>44564</v>
      </c>
      <c r="AX1172" s="1">
        <v>3.9249999999999998</v>
      </c>
      <c r="AY1172" s="1">
        <v>44564</v>
      </c>
      <c r="AZ1172" s="1">
        <v>3.875</v>
      </c>
      <c r="BB1172" s="1">
        <v>44477</v>
      </c>
      <c r="BC1172" s="1">
        <v>1.5</v>
      </c>
      <c r="BD1172" s="1">
        <v>44501</v>
      </c>
      <c r="BE1172" s="1">
        <v>2.2000000000000002</v>
      </c>
      <c r="BF1172" s="1">
        <v>44564</v>
      </c>
      <c r="BG1172" s="1">
        <v>4.34</v>
      </c>
      <c r="BH1172" s="1">
        <v>44564</v>
      </c>
      <c r="BI1172" s="1">
        <v>5.01</v>
      </c>
      <c r="BJ1172" s="1">
        <v>44564</v>
      </c>
      <c r="BK1172" s="1">
        <v>5.04</v>
      </c>
      <c r="BL1172" s="1">
        <v>44564</v>
      </c>
      <c r="BM1172" s="1">
        <v>4.9400000000000004</v>
      </c>
      <c r="BN1172" s="1">
        <v>44561</v>
      </c>
      <c r="BO1172" s="1">
        <v>4.7300000000000004</v>
      </c>
      <c r="BP1172" s="1">
        <v>44564</v>
      </c>
      <c r="BQ1172" s="1">
        <v>4.5149999999999997</v>
      </c>
      <c r="BR1172" s="1">
        <v>44564</v>
      </c>
      <c r="BS1172" s="1">
        <v>4.2830000000000004</v>
      </c>
      <c r="BT1172" s="1">
        <v>44564</v>
      </c>
      <c r="BU1172" s="1">
        <v>4.07</v>
      </c>
      <c r="BV1172" s="1">
        <v>44564</v>
      </c>
      <c r="BW1172" s="1">
        <v>3.89</v>
      </c>
      <c r="BY1172" s="1">
        <v>44482</v>
      </c>
      <c r="BZ1172" s="1">
        <v>1.65</v>
      </c>
      <c r="CA1172" s="1">
        <v>44491</v>
      </c>
      <c r="CB1172" s="1">
        <v>2</v>
      </c>
      <c r="CC1172" s="1">
        <v>44564</v>
      </c>
      <c r="CD1172" s="1">
        <v>4.7229999999999999</v>
      </c>
      <c r="CE1172" s="1">
        <v>44564</v>
      </c>
      <c r="CF1172" s="1">
        <v>5.0380000000000003</v>
      </c>
      <c r="CG1172" s="1">
        <v>44564</v>
      </c>
      <c r="CH1172" s="1">
        <v>5.22</v>
      </c>
      <c r="CI1172" s="1">
        <v>44564</v>
      </c>
      <c r="CJ1172" s="1">
        <v>5.32</v>
      </c>
      <c r="CK1172" s="1">
        <v>44564</v>
      </c>
      <c r="CL1172" s="1">
        <v>5.335</v>
      </c>
      <c r="CM1172" s="1">
        <v>44559</v>
      </c>
      <c r="CN1172" s="1">
        <v>5.08</v>
      </c>
      <c r="CO1172" s="1">
        <v>44546</v>
      </c>
      <c r="CP1172" s="1">
        <v>4.96</v>
      </c>
      <c r="CQ1172" s="1">
        <v>44546</v>
      </c>
      <c r="CR1172" s="1">
        <v>4.8499999999999996</v>
      </c>
      <c r="CS1172" s="1">
        <v>44546</v>
      </c>
      <c r="CT1172" s="1">
        <v>4.7300000000000004</v>
      </c>
    </row>
    <row r="1173" spans="31:98" x14ac:dyDescent="0.2">
      <c r="AE1173" s="1">
        <v>44553</v>
      </c>
      <c r="AF1173" s="1">
        <v>1.75</v>
      </c>
      <c r="AG1173" s="1">
        <v>44498</v>
      </c>
      <c r="AH1173" s="1">
        <v>0.74</v>
      </c>
      <c r="AI1173" s="1">
        <v>44561</v>
      </c>
      <c r="AJ1173" s="1">
        <v>3.2189999999999999</v>
      </c>
      <c r="AK1173" s="1">
        <v>44561</v>
      </c>
      <c r="AL1173" s="1">
        <v>3.6150000000000002</v>
      </c>
      <c r="AM1173" s="1">
        <v>44561</v>
      </c>
      <c r="AN1173" s="1">
        <v>3.9350000000000001</v>
      </c>
      <c r="AO1173" s="1">
        <v>44561</v>
      </c>
      <c r="AP1173" s="1">
        <v>4.1900000000000004</v>
      </c>
      <c r="AQ1173" s="1">
        <v>44561</v>
      </c>
      <c r="AR1173" s="1">
        <v>4.1050000000000004</v>
      </c>
      <c r="AS1173" s="1">
        <v>44561</v>
      </c>
      <c r="AT1173" s="1">
        <v>4.05</v>
      </c>
      <c r="AU1173" s="1">
        <v>44561</v>
      </c>
      <c r="AV1173" s="1">
        <v>3.99</v>
      </c>
      <c r="AW1173" s="1">
        <v>44561</v>
      </c>
      <c r="AX1173" s="1">
        <v>3.9249999999999998</v>
      </c>
      <c r="AY1173" s="1">
        <v>44561</v>
      </c>
      <c r="AZ1173" s="1">
        <v>3.875</v>
      </c>
      <c r="BB1173" s="1">
        <v>44476</v>
      </c>
      <c r="BC1173" s="1">
        <v>1.5</v>
      </c>
      <c r="BD1173" s="1">
        <v>44498</v>
      </c>
      <c r="BE1173" s="1">
        <v>2.1800000000000002</v>
      </c>
      <c r="BF1173" s="1">
        <v>44561</v>
      </c>
      <c r="BG1173" s="1">
        <v>4.3280000000000003</v>
      </c>
      <c r="BH1173" s="1">
        <v>44561</v>
      </c>
      <c r="BI1173" s="1">
        <v>5.01</v>
      </c>
      <c r="BJ1173" s="1">
        <v>44561</v>
      </c>
      <c r="BK1173" s="1">
        <v>5.04</v>
      </c>
      <c r="BL1173" s="1">
        <v>44561</v>
      </c>
      <c r="BM1173" s="1">
        <v>4.9400000000000004</v>
      </c>
      <c r="BN1173" s="1">
        <v>44560</v>
      </c>
      <c r="BO1173" s="1">
        <v>4.68</v>
      </c>
      <c r="BP1173" s="1">
        <v>44561</v>
      </c>
      <c r="BQ1173" s="1">
        <v>4.5149999999999997</v>
      </c>
      <c r="BR1173" s="1">
        <v>44561</v>
      </c>
      <c r="BS1173" s="1">
        <v>4.2830000000000004</v>
      </c>
      <c r="BT1173" s="1">
        <v>44561</v>
      </c>
      <c r="BU1173" s="1">
        <v>4.07</v>
      </c>
      <c r="BV1173" s="1">
        <v>44561</v>
      </c>
      <c r="BW1173" s="1">
        <v>3.89</v>
      </c>
      <c r="BY1173" s="1">
        <v>44481</v>
      </c>
      <c r="BZ1173" s="1">
        <v>1.65</v>
      </c>
      <c r="CA1173" s="1">
        <v>44490</v>
      </c>
      <c r="CB1173" s="1">
        <v>1.98</v>
      </c>
      <c r="CC1173" s="1">
        <v>44561</v>
      </c>
      <c r="CD1173" s="1">
        <v>4.7</v>
      </c>
      <c r="CE1173" s="1">
        <v>44561</v>
      </c>
      <c r="CF1173" s="1">
        <v>4.99</v>
      </c>
      <c r="CG1173" s="1">
        <v>44561</v>
      </c>
      <c r="CH1173" s="1">
        <v>5.22</v>
      </c>
      <c r="CI1173" s="1">
        <v>44561</v>
      </c>
      <c r="CJ1173" s="1">
        <v>5.32</v>
      </c>
      <c r="CK1173" s="1">
        <v>44561</v>
      </c>
      <c r="CL1173" s="1">
        <v>5.335</v>
      </c>
      <c r="CM1173" s="1">
        <v>44553</v>
      </c>
      <c r="CN1173" s="1">
        <v>5.04</v>
      </c>
      <c r="CO1173" s="1">
        <v>44545</v>
      </c>
      <c r="CP1173" s="1">
        <v>4.96</v>
      </c>
      <c r="CQ1173" s="1">
        <v>44545</v>
      </c>
      <c r="CR1173" s="1">
        <v>4.88</v>
      </c>
      <c r="CS1173" s="1">
        <v>44545</v>
      </c>
      <c r="CT1173" s="1">
        <v>4.7699999999999996</v>
      </c>
    </row>
    <row r="1174" spans="31:98" x14ac:dyDescent="0.2">
      <c r="AE1174" s="1">
        <v>44552</v>
      </c>
      <c r="AF1174" s="1">
        <v>1.75</v>
      </c>
      <c r="AG1174" s="1">
        <v>44497</v>
      </c>
      <c r="AH1174" s="1">
        <v>0.72</v>
      </c>
      <c r="AI1174" s="1">
        <v>44560</v>
      </c>
      <c r="AJ1174" s="1">
        <v>3.1999</v>
      </c>
      <c r="AK1174" s="1">
        <v>44560</v>
      </c>
      <c r="AL1174" s="1">
        <v>3.59</v>
      </c>
      <c r="AM1174" s="1">
        <v>44560</v>
      </c>
      <c r="AN1174" s="1">
        <v>3.91</v>
      </c>
      <c r="AO1174" s="1">
        <v>44560</v>
      </c>
      <c r="AP1174" s="1">
        <v>4.165</v>
      </c>
      <c r="AQ1174" s="1">
        <v>44560</v>
      </c>
      <c r="AR1174" s="1">
        <v>4.08</v>
      </c>
      <c r="AS1174" s="1">
        <v>44560</v>
      </c>
      <c r="AT1174" s="1">
        <v>4.0199999999999996</v>
      </c>
      <c r="AU1174" s="1">
        <v>44560</v>
      </c>
      <c r="AV1174" s="1">
        <v>3.96</v>
      </c>
      <c r="AW1174" s="1">
        <v>44560</v>
      </c>
      <c r="AX1174" s="1">
        <v>3.895</v>
      </c>
      <c r="AY1174" s="1">
        <v>44560</v>
      </c>
      <c r="AZ1174" s="1">
        <v>3.8450000000000002</v>
      </c>
      <c r="BB1174" s="1">
        <v>44475</v>
      </c>
      <c r="BC1174" s="1">
        <v>1.5</v>
      </c>
      <c r="BD1174" s="1">
        <v>44496</v>
      </c>
      <c r="BE1174" s="1">
        <v>2.1800000000000002</v>
      </c>
      <c r="BF1174" s="1">
        <v>44560</v>
      </c>
      <c r="BG1174" s="1">
        <v>4.28</v>
      </c>
      <c r="BH1174" s="1">
        <v>44560</v>
      </c>
      <c r="BI1174" s="1">
        <v>4.9450000000000003</v>
      </c>
      <c r="BJ1174" s="1">
        <v>44560</v>
      </c>
      <c r="BK1174" s="1">
        <v>4.9749999999999996</v>
      </c>
      <c r="BL1174" s="1">
        <v>44560</v>
      </c>
      <c r="BM1174" s="1">
        <v>4.88</v>
      </c>
      <c r="BN1174" s="1">
        <v>44559</v>
      </c>
      <c r="BO1174" s="1">
        <v>4.6500000000000004</v>
      </c>
      <c r="BP1174" s="1">
        <v>44560</v>
      </c>
      <c r="BQ1174" s="1">
        <v>4.47</v>
      </c>
      <c r="BR1174" s="1">
        <v>44560</v>
      </c>
      <c r="BS1174" s="1">
        <v>4.24</v>
      </c>
      <c r="BT1174" s="1">
        <v>44560</v>
      </c>
      <c r="BU1174" s="1">
        <v>4.03</v>
      </c>
      <c r="BV1174" s="1">
        <v>44560</v>
      </c>
      <c r="BW1174" s="1">
        <v>3.8450000000000002</v>
      </c>
      <c r="BY1174" s="1">
        <v>44480</v>
      </c>
      <c r="BZ1174" s="1">
        <v>1.65</v>
      </c>
      <c r="CA1174" s="1">
        <v>44489</v>
      </c>
      <c r="CB1174" s="1">
        <v>1.97</v>
      </c>
      <c r="CC1174" s="1">
        <v>44560</v>
      </c>
      <c r="CD1174" s="1">
        <v>4.6959999999999997</v>
      </c>
      <c r="CE1174" s="1">
        <v>44560</v>
      </c>
      <c r="CF1174" s="1">
        <v>4.9450000000000003</v>
      </c>
      <c r="CG1174" s="1">
        <v>44560</v>
      </c>
      <c r="CH1174" s="1">
        <v>5.22</v>
      </c>
      <c r="CI1174" s="1">
        <v>44560</v>
      </c>
      <c r="CJ1174" s="1">
        <v>5.32</v>
      </c>
      <c r="CK1174" s="1">
        <v>44560</v>
      </c>
      <c r="CL1174" s="1">
        <v>5.3250000000000002</v>
      </c>
      <c r="CM1174" s="1">
        <v>44552</v>
      </c>
      <c r="CN1174" s="1">
        <v>4.9800000000000004</v>
      </c>
      <c r="CO1174" s="1">
        <v>44544</v>
      </c>
      <c r="CP1174" s="1">
        <v>4.9000000000000004</v>
      </c>
      <c r="CQ1174" s="1">
        <v>44544</v>
      </c>
      <c r="CR1174" s="1">
        <v>4.83</v>
      </c>
      <c r="CS1174" s="1">
        <v>44544</v>
      </c>
      <c r="CT1174" s="1">
        <v>4.72</v>
      </c>
    </row>
    <row r="1175" spans="31:98" x14ac:dyDescent="0.2">
      <c r="AE1175" s="1">
        <v>44551</v>
      </c>
      <c r="AF1175" s="1">
        <v>1.75</v>
      </c>
      <c r="AG1175" s="1">
        <v>44496</v>
      </c>
      <c r="AH1175" s="1">
        <v>0.72</v>
      </c>
      <c r="AI1175" s="1">
        <v>44559</v>
      </c>
      <c r="AJ1175" s="1">
        <v>3.1366999999999998</v>
      </c>
      <c r="AK1175" s="1">
        <v>44559</v>
      </c>
      <c r="AL1175" s="1">
        <v>3.58</v>
      </c>
      <c r="AM1175" s="1">
        <v>44559</v>
      </c>
      <c r="AN1175" s="1">
        <v>3.8149999999999999</v>
      </c>
      <c r="AO1175" s="1">
        <v>44559</v>
      </c>
      <c r="AP1175" s="1">
        <v>4.09</v>
      </c>
      <c r="AQ1175" s="1">
        <v>44559</v>
      </c>
      <c r="AR1175" s="1">
        <v>4.0625</v>
      </c>
      <c r="AS1175" s="1">
        <v>44559</v>
      </c>
      <c r="AT1175" s="1">
        <v>3.9975000000000001</v>
      </c>
      <c r="AU1175" s="1">
        <v>44559</v>
      </c>
      <c r="AV1175" s="1">
        <v>3.9824999999999999</v>
      </c>
      <c r="AW1175" s="1">
        <v>44559</v>
      </c>
      <c r="AX1175" s="1">
        <v>3.9550000000000001</v>
      </c>
      <c r="AY1175" s="1">
        <v>44559</v>
      </c>
      <c r="AZ1175" s="1">
        <v>3.9125000000000001</v>
      </c>
      <c r="BB1175" s="1">
        <v>44474</v>
      </c>
      <c r="BC1175" s="1">
        <v>1.5</v>
      </c>
      <c r="BD1175" s="1">
        <v>44495</v>
      </c>
      <c r="BE1175" s="1">
        <v>2.15</v>
      </c>
      <c r="BF1175" s="1">
        <v>44559</v>
      </c>
      <c r="BG1175" s="1">
        <v>4.26</v>
      </c>
      <c r="BH1175" s="1">
        <v>44559</v>
      </c>
      <c r="BI1175" s="1">
        <v>4.8499999999999996</v>
      </c>
      <c r="BJ1175" s="1">
        <v>44559</v>
      </c>
      <c r="BK1175" s="1">
        <v>4.9000000000000004</v>
      </c>
      <c r="BL1175" s="1">
        <v>44559</v>
      </c>
      <c r="BM1175" s="1">
        <v>4.82</v>
      </c>
      <c r="BN1175" s="1">
        <v>44558</v>
      </c>
      <c r="BO1175" s="1">
        <v>4.5999999999999996</v>
      </c>
      <c r="BP1175" s="1">
        <v>44559</v>
      </c>
      <c r="BQ1175" s="1">
        <v>4.42</v>
      </c>
      <c r="BR1175" s="1">
        <v>44559</v>
      </c>
      <c r="BS1175" s="1">
        <v>4.2</v>
      </c>
      <c r="BT1175" s="1">
        <v>44559</v>
      </c>
      <c r="BU1175" s="1">
        <v>4.01</v>
      </c>
      <c r="BV1175" s="1">
        <v>44559</v>
      </c>
      <c r="BW1175" s="1">
        <v>3.835</v>
      </c>
      <c r="BY1175" s="1">
        <v>44477</v>
      </c>
      <c r="BZ1175" s="1">
        <v>1.65</v>
      </c>
      <c r="CA1175" s="1">
        <v>44488</v>
      </c>
      <c r="CB1175" s="1">
        <v>1.89</v>
      </c>
      <c r="CC1175" s="1">
        <v>44559</v>
      </c>
      <c r="CD1175" s="1">
        <v>4.54</v>
      </c>
      <c r="CE1175" s="1">
        <v>44559</v>
      </c>
      <c r="CF1175" s="1">
        <v>4.8499999999999996</v>
      </c>
      <c r="CG1175" s="1">
        <v>44559</v>
      </c>
      <c r="CH1175" s="1">
        <v>5.08</v>
      </c>
      <c r="CI1175" s="1">
        <v>44559</v>
      </c>
      <c r="CJ1175" s="1">
        <v>5.18</v>
      </c>
      <c r="CK1175" s="1">
        <v>44559</v>
      </c>
      <c r="CL1175" s="1">
        <v>5.14</v>
      </c>
      <c r="CM1175" s="1">
        <v>44551</v>
      </c>
      <c r="CN1175" s="1">
        <v>4.99</v>
      </c>
      <c r="CO1175" s="1">
        <v>44543</v>
      </c>
      <c r="CP1175" s="1">
        <v>4.76</v>
      </c>
      <c r="CQ1175" s="1">
        <v>44543</v>
      </c>
      <c r="CR1175" s="1">
        <v>4.6900000000000004</v>
      </c>
      <c r="CS1175" s="1">
        <v>44543</v>
      </c>
      <c r="CT1175" s="1">
        <v>4.58</v>
      </c>
    </row>
    <row r="1176" spans="31:98" x14ac:dyDescent="0.2">
      <c r="AE1176" s="1">
        <v>44550</v>
      </c>
      <c r="AF1176" s="1">
        <v>1.75</v>
      </c>
      <c r="AG1176" s="1">
        <v>44495</v>
      </c>
      <c r="AH1176" s="1">
        <v>0.71</v>
      </c>
      <c r="AI1176" s="1">
        <v>44558</v>
      </c>
      <c r="AJ1176" s="1">
        <v>3.0870000000000002</v>
      </c>
      <c r="AK1176" s="1">
        <v>44558</v>
      </c>
      <c r="AL1176" s="1">
        <v>3.4049999999999998</v>
      </c>
      <c r="AM1176" s="1">
        <v>44558</v>
      </c>
      <c r="AN1176" s="1">
        <v>3.6349999999999998</v>
      </c>
      <c r="AO1176" s="1">
        <v>44558</v>
      </c>
      <c r="AP1176" s="1">
        <v>3.88</v>
      </c>
      <c r="AQ1176" s="1">
        <v>44558</v>
      </c>
      <c r="AR1176" s="1">
        <v>3.8650000000000002</v>
      </c>
      <c r="AS1176" s="1">
        <v>44558</v>
      </c>
      <c r="AT1176" s="1">
        <v>3.855</v>
      </c>
      <c r="AU1176" s="1">
        <v>44558</v>
      </c>
      <c r="AV1176" s="1">
        <v>3.84</v>
      </c>
      <c r="AW1176" s="1">
        <v>44558</v>
      </c>
      <c r="AX1176" s="1">
        <v>3.8149999999999999</v>
      </c>
      <c r="AY1176" s="1">
        <v>44558</v>
      </c>
      <c r="AZ1176" s="1">
        <v>3.8050000000000002</v>
      </c>
      <c r="BB1176" s="1">
        <v>44473</v>
      </c>
      <c r="BC1176" s="1">
        <v>1.5</v>
      </c>
      <c r="BD1176" s="1">
        <v>44494</v>
      </c>
      <c r="BE1176" s="1">
        <v>2.13</v>
      </c>
      <c r="BF1176" s="1">
        <v>44558</v>
      </c>
      <c r="BG1176" s="1">
        <v>4.24</v>
      </c>
      <c r="BH1176" s="1">
        <v>44558</v>
      </c>
      <c r="BI1176" s="1">
        <v>4.8250000000000002</v>
      </c>
      <c r="BJ1176" s="1">
        <v>44558</v>
      </c>
      <c r="BK1176" s="1">
        <v>4.8650000000000002</v>
      </c>
      <c r="BL1176" s="1">
        <v>44558</v>
      </c>
      <c r="BM1176" s="1">
        <v>4.7699999999999996</v>
      </c>
      <c r="BN1176" s="1">
        <v>44557</v>
      </c>
      <c r="BO1176" s="1">
        <v>4.5999999999999996</v>
      </c>
      <c r="BP1176" s="1">
        <v>44558</v>
      </c>
      <c r="BQ1176" s="1">
        <v>4.3499999999999996</v>
      </c>
      <c r="BR1176" s="1">
        <v>44558</v>
      </c>
      <c r="BS1176" s="1">
        <v>4.1230000000000002</v>
      </c>
      <c r="BT1176" s="1">
        <v>44558</v>
      </c>
      <c r="BU1176" s="1">
        <v>3.9129999999999998</v>
      </c>
      <c r="BV1176" s="1">
        <v>44558</v>
      </c>
      <c r="BW1176" s="1">
        <v>3.75</v>
      </c>
      <c r="BY1176" s="1">
        <v>44476</v>
      </c>
      <c r="BZ1176" s="1">
        <v>1.65</v>
      </c>
      <c r="CA1176" s="1">
        <v>44487</v>
      </c>
      <c r="CB1176" s="1">
        <v>1.87</v>
      </c>
      <c r="CC1176" s="1">
        <v>44558</v>
      </c>
      <c r="CD1176" s="1">
        <v>4.54</v>
      </c>
      <c r="CE1176" s="1">
        <v>44558</v>
      </c>
      <c r="CF1176" s="1">
        <v>4.7949999999999999</v>
      </c>
      <c r="CG1176" s="1">
        <v>44558</v>
      </c>
      <c r="CH1176" s="1">
        <v>5.01</v>
      </c>
      <c r="CI1176" s="1">
        <v>44558</v>
      </c>
      <c r="CJ1176" s="1">
        <v>5.12</v>
      </c>
      <c r="CK1176" s="1">
        <v>44558</v>
      </c>
      <c r="CL1176" s="1">
        <v>5.14</v>
      </c>
      <c r="CM1176" s="1">
        <v>44550</v>
      </c>
      <c r="CN1176" s="1">
        <v>4.99</v>
      </c>
      <c r="CO1176" s="1">
        <v>44540</v>
      </c>
      <c r="CP1176" s="1">
        <v>4.71</v>
      </c>
      <c r="CQ1176" s="1">
        <v>44540</v>
      </c>
      <c r="CR1176" s="1">
        <v>4.6399999999999997</v>
      </c>
      <c r="CS1176" s="1">
        <v>44540</v>
      </c>
      <c r="CT1176" s="1">
        <v>4.54</v>
      </c>
    </row>
    <row r="1177" spans="31:98" x14ac:dyDescent="0.2">
      <c r="AE1177" s="1">
        <v>44547</v>
      </c>
      <c r="AF1177" s="1">
        <v>1.75</v>
      </c>
      <c r="AG1177" s="1">
        <v>44494</v>
      </c>
      <c r="AH1177" s="1">
        <v>0.7</v>
      </c>
      <c r="AI1177" s="1">
        <v>44557</v>
      </c>
      <c r="AJ1177" s="1">
        <v>3.0870000000000002</v>
      </c>
      <c r="AK1177" s="1">
        <v>44557</v>
      </c>
      <c r="AL1177" s="1">
        <v>3.395</v>
      </c>
      <c r="AM1177" s="1">
        <v>44557</v>
      </c>
      <c r="AN1177" s="1">
        <v>3.645</v>
      </c>
      <c r="AO1177" s="1">
        <v>44557</v>
      </c>
      <c r="AP1177" s="1">
        <v>3.92</v>
      </c>
      <c r="AQ1177" s="1">
        <v>44557</v>
      </c>
      <c r="AR1177" s="1">
        <v>3.8824999999999998</v>
      </c>
      <c r="AS1177" s="1">
        <v>44557</v>
      </c>
      <c r="AT1177" s="1">
        <v>3.875</v>
      </c>
      <c r="AU1177" s="1">
        <v>44557</v>
      </c>
      <c r="AV1177" s="1">
        <v>3.86</v>
      </c>
      <c r="AW1177" s="1">
        <v>44557</v>
      </c>
      <c r="AX1177" s="1">
        <v>3.835</v>
      </c>
      <c r="AY1177" s="1">
        <v>44557</v>
      </c>
      <c r="AZ1177" s="1">
        <v>3.82</v>
      </c>
      <c r="BB1177" s="1">
        <v>44470</v>
      </c>
      <c r="BC1177" s="1">
        <v>1.5</v>
      </c>
      <c r="BD1177" s="1">
        <v>44491</v>
      </c>
      <c r="BE1177" s="1">
        <v>2.11</v>
      </c>
      <c r="BF1177" s="1">
        <v>44557</v>
      </c>
      <c r="BG1177" s="1">
        <v>4.24</v>
      </c>
      <c r="BH1177" s="1">
        <v>44557</v>
      </c>
      <c r="BI1177" s="1">
        <v>4.8250000000000002</v>
      </c>
      <c r="BJ1177" s="1">
        <v>44557</v>
      </c>
      <c r="BK1177" s="1">
        <v>4.8650000000000002</v>
      </c>
      <c r="BL1177" s="1">
        <v>44557</v>
      </c>
      <c r="BM1177" s="1">
        <v>4.7699999999999996</v>
      </c>
      <c r="BN1177" s="1">
        <v>44554</v>
      </c>
      <c r="BO1177" s="1">
        <v>4.5999999999999996</v>
      </c>
      <c r="BP1177" s="1">
        <v>44557</v>
      </c>
      <c r="BQ1177" s="1">
        <v>4.3499999999999996</v>
      </c>
      <c r="BR1177" s="1">
        <v>44557</v>
      </c>
      <c r="BS1177" s="1">
        <v>4.1230000000000002</v>
      </c>
      <c r="BT1177" s="1">
        <v>44557</v>
      </c>
      <c r="BU1177" s="1">
        <v>3.9129999999999998</v>
      </c>
      <c r="BV1177" s="1">
        <v>44557</v>
      </c>
      <c r="BW1177" s="1">
        <v>3.75</v>
      </c>
      <c r="BY1177" s="1">
        <v>44475</v>
      </c>
      <c r="BZ1177" s="1">
        <v>1.65</v>
      </c>
      <c r="CA1177" s="1">
        <v>44484</v>
      </c>
      <c r="CB1177" s="1">
        <v>1.86</v>
      </c>
      <c r="CC1177" s="1">
        <v>44557</v>
      </c>
      <c r="CD1177" s="1">
        <v>4.5199999999999996</v>
      </c>
      <c r="CE1177" s="1">
        <v>44557</v>
      </c>
      <c r="CF1177" s="1">
        <v>4.7949999999999999</v>
      </c>
      <c r="CG1177" s="1">
        <v>44557</v>
      </c>
      <c r="CH1177" s="1">
        <v>5.01</v>
      </c>
      <c r="CI1177" s="1">
        <v>44557</v>
      </c>
      <c r="CJ1177" s="1">
        <v>5.12</v>
      </c>
      <c r="CK1177" s="1">
        <v>44557</v>
      </c>
      <c r="CL1177" s="1">
        <v>5.14</v>
      </c>
      <c r="CM1177" s="1">
        <v>44547</v>
      </c>
      <c r="CN1177" s="1">
        <v>4.99</v>
      </c>
      <c r="CO1177" s="1">
        <v>44539</v>
      </c>
      <c r="CP1177" s="1">
        <v>4.51</v>
      </c>
      <c r="CQ1177" s="1">
        <v>44539</v>
      </c>
      <c r="CR1177" s="1">
        <v>4.43</v>
      </c>
      <c r="CS1177" s="1">
        <v>44539</v>
      </c>
      <c r="CT1177" s="1">
        <v>4.32</v>
      </c>
    </row>
    <row r="1178" spans="31:98" x14ac:dyDescent="0.2">
      <c r="AE1178" s="1">
        <v>44546</v>
      </c>
      <c r="AF1178" s="1">
        <v>1.75</v>
      </c>
      <c r="AG1178" s="1">
        <v>44491</v>
      </c>
      <c r="AH1178" s="1">
        <v>0.7</v>
      </c>
      <c r="AI1178" s="1">
        <v>44554</v>
      </c>
      <c r="AJ1178" s="1">
        <v>3.0870000000000002</v>
      </c>
      <c r="AK1178" s="1">
        <v>44554</v>
      </c>
      <c r="AL1178" s="1">
        <v>3.395</v>
      </c>
      <c r="AM1178" s="1">
        <v>44554</v>
      </c>
      <c r="AN1178" s="1">
        <v>3.645</v>
      </c>
      <c r="AO1178" s="1">
        <v>44554</v>
      </c>
      <c r="AP1178" s="1">
        <v>3.92</v>
      </c>
      <c r="AQ1178" s="1">
        <v>44554</v>
      </c>
      <c r="AR1178" s="1">
        <v>3.8824999999999998</v>
      </c>
      <c r="AS1178" s="1">
        <v>44554</v>
      </c>
      <c r="AT1178" s="1">
        <v>3.875</v>
      </c>
      <c r="AU1178" s="1">
        <v>44554</v>
      </c>
      <c r="AV1178" s="1">
        <v>3.86</v>
      </c>
      <c r="AW1178" s="1">
        <v>44554</v>
      </c>
      <c r="AX1178" s="1">
        <v>3.835</v>
      </c>
      <c r="AY1178" s="1">
        <v>44554</v>
      </c>
      <c r="AZ1178" s="1">
        <v>3.82</v>
      </c>
      <c r="BB1178" s="1">
        <v>44469</v>
      </c>
      <c r="BC1178" s="1">
        <v>0.75</v>
      </c>
      <c r="BD1178" s="1">
        <v>44490</v>
      </c>
      <c r="BE1178" s="1">
        <v>2.1</v>
      </c>
      <c r="BF1178" s="1">
        <v>44554</v>
      </c>
      <c r="BG1178" s="1">
        <v>4.24</v>
      </c>
      <c r="BH1178" s="1">
        <v>44554</v>
      </c>
      <c r="BI1178" s="1">
        <v>4.8250000000000002</v>
      </c>
      <c r="BJ1178" s="1">
        <v>44554</v>
      </c>
      <c r="BK1178" s="1">
        <v>4.8650000000000002</v>
      </c>
      <c r="BL1178" s="1">
        <v>44554</v>
      </c>
      <c r="BM1178" s="1">
        <v>4.7699999999999996</v>
      </c>
      <c r="BN1178" s="1">
        <v>44553</v>
      </c>
      <c r="BO1178" s="1">
        <v>4.5999999999999996</v>
      </c>
      <c r="BP1178" s="1">
        <v>44554</v>
      </c>
      <c r="BQ1178" s="1">
        <v>4.3499999999999996</v>
      </c>
      <c r="BR1178" s="1">
        <v>44554</v>
      </c>
      <c r="BS1178" s="1">
        <v>4.1230000000000002</v>
      </c>
      <c r="BT1178" s="1">
        <v>44554</v>
      </c>
      <c r="BU1178" s="1">
        <v>3.9129999999999998</v>
      </c>
      <c r="BV1178" s="1">
        <v>44554</v>
      </c>
      <c r="BW1178" s="1">
        <v>3.75</v>
      </c>
      <c r="BY1178" s="1">
        <v>44474</v>
      </c>
      <c r="BZ1178" s="1">
        <v>1.65</v>
      </c>
      <c r="CA1178" s="1">
        <v>44483</v>
      </c>
      <c r="CB1178" s="1">
        <v>1.85</v>
      </c>
      <c r="CC1178" s="1">
        <v>44554</v>
      </c>
      <c r="CD1178" s="1">
        <v>4.5199999999999996</v>
      </c>
      <c r="CE1178" s="1">
        <v>44554</v>
      </c>
      <c r="CF1178" s="1">
        <v>4.7949999999999999</v>
      </c>
      <c r="CG1178" s="1">
        <v>44554</v>
      </c>
      <c r="CH1178" s="1">
        <v>5.01</v>
      </c>
      <c r="CI1178" s="1">
        <v>44554</v>
      </c>
      <c r="CJ1178" s="1">
        <v>5.12</v>
      </c>
      <c r="CK1178" s="1">
        <v>44554</v>
      </c>
      <c r="CL1178" s="1">
        <v>5.14</v>
      </c>
      <c r="CM1178" s="1">
        <v>44546</v>
      </c>
      <c r="CN1178" s="1">
        <v>5.0599999999999996</v>
      </c>
      <c r="CO1178" s="1">
        <v>44538</v>
      </c>
      <c r="CP1178" s="1">
        <v>4.53</v>
      </c>
      <c r="CQ1178" s="1">
        <v>44538</v>
      </c>
      <c r="CR1178" s="1">
        <v>4.46</v>
      </c>
      <c r="CS1178" s="1">
        <v>44538</v>
      </c>
      <c r="CT1178" s="1">
        <v>4.38</v>
      </c>
    </row>
    <row r="1179" spans="31:98" x14ac:dyDescent="0.2">
      <c r="AE1179" s="1">
        <v>44545</v>
      </c>
      <c r="AF1179" s="1">
        <v>1.75</v>
      </c>
      <c r="AG1179" s="1">
        <v>44490</v>
      </c>
      <c r="AH1179" s="1">
        <v>0.7</v>
      </c>
      <c r="AI1179" s="1">
        <v>44553</v>
      </c>
      <c r="AJ1179" s="1">
        <v>3.0179999999999998</v>
      </c>
      <c r="AK1179" s="1">
        <v>44553</v>
      </c>
      <c r="AL1179" s="1">
        <v>3.3250000000000002</v>
      </c>
      <c r="AM1179" s="1">
        <v>44553</v>
      </c>
      <c r="AN1179" s="1">
        <v>3.5750000000000002</v>
      </c>
      <c r="AO1179" s="1">
        <v>44553</v>
      </c>
      <c r="AP1179" s="1">
        <v>3.85</v>
      </c>
      <c r="AQ1179" s="1">
        <v>44553</v>
      </c>
      <c r="AR1179" s="1">
        <v>3.82</v>
      </c>
      <c r="AS1179" s="1">
        <v>44553</v>
      </c>
      <c r="AT1179" s="1">
        <v>3.8174999999999999</v>
      </c>
      <c r="AU1179" s="1">
        <v>44553</v>
      </c>
      <c r="AV1179" s="1">
        <v>3.8025000000000002</v>
      </c>
      <c r="AW1179" s="1">
        <v>44553</v>
      </c>
      <c r="AX1179" s="1">
        <v>3.7774999999999999</v>
      </c>
      <c r="AY1179" s="1">
        <v>44553</v>
      </c>
      <c r="AZ1179" s="1">
        <v>3.7625000000000002</v>
      </c>
      <c r="BB1179" s="1">
        <v>44468</v>
      </c>
      <c r="BC1179" s="1">
        <v>0.75</v>
      </c>
      <c r="BD1179" s="1">
        <v>44489</v>
      </c>
      <c r="BE1179" s="1">
        <v>2.09</v>
      </c>
      <c r="BF1179" s="1">
        <v>44553</v>
      </c>
      <c r="BG1179" s="1">
        <v>4.24</v>
      </c>
      <c r="BH1179" s="1">
        <v>44553</v>
      </c>
      <c r="BI1179" s="1">
        <v>4.8250000000000002</v>
      </c>
      <c r="BJ1179" s="1">
        <v>44553</v>
      </c>
      <c r="BK1179" s="1">
        <v>4.8650000000000002</v>
      </c>
      <c r="BL1179" s="1">
        <v>44553</v>
      </c>
      <c r="BM1179" s="1">
        <v>4.7699999999999996</v>
      </c>
      <c r="BN1179" s="1">
        <v>44552</v>
      </c>
      <c r="BO1179" s="1">
        <v>4.5179999999999998</v>
      </c>
      <c r="BP1179" s="1">
        <v>44553</v>
      </c>
      <c r="BQ1179" s="1">
        <v>4.3499999999999996</v>
      </c>
      <c r="BR1179" s="1">
        <v>44553</v>
      </c>
      <c r="BS1179" s="1">
        <v>4.1230000000000002</v>
      </c>
      <c r="BT1179" s="1">
        <v>44553</v>
      </c>
      <c r="BU1179" s="1">
        <v>3.9129999999999998</v>
      </c>
      <c r="BV1179" s="1">
        <v>44553</v>
      </c>
      <c r="BW1179" s="1">
        <v>3.75</v>
      </c>
      <c r="BY1179" s="1">
        <v>44473</v>
      </c>
      <c r="BZ1179" s="1">
        <v>1.65</v>
      </c>
      <c r="CA1179" s="1">
        <v>44482</v>
      </c>
      <c r="CB1179" s="1">
        <v>1.85</v>
      </c>
      <c r="CC1179" s="1">
        <v>44553</v>
      </c>
      <c r="CD1179" s="1">
        <v>4.5199999999999996</v>
      </c>
      <c r="CE1179" s="1">
        <v>44553</v>
      </c>
      <c r="CF1179" s="1">
        <v>4.8099999999999996</v>
      </c>
      <c r="CG1179" s="1">
        <v>44553</v>
      </c>
      <c r="CH1179" s="1">
        <v>5.04</v>
      </c>
      <c r="CI1179" s="1">
        <v>44553</v>
      </c>
      <c r="CJ1179" s="1">
        <v>5.14</v>
      </c>
      <c r="CK1179" s="1">
        <v>44553</v>
      </c>
      <c r="CL1179" s="1">
        <v>5.14</v>
      </c>
      <c r="CM1179" s="1">
        <v>44545</v>
      </c>
      <c r="CN1179" s="1">
        <v>5.03</v>
      </c>
      <c r="CO1179" s="1">
        <v>44537</v>
      </c>
      <c r="CP1179" s="1">
        <v>4.26</v>
      </c>
      <c r="CQ1179" s="1">
        <v>44537</v>
      </c>
      <c r="CR1179" s="1">
        <v>4.16</v>
      </c>
      <c r="CS1179" s="1">
        <v>44537</v>
      </c>
      <c r="CT1179" s="1">
        <v>4.0599999999999996</v>
      </c>
    </row>
    <row r="1180" spans="31:98" x14ac:dyDescent="0.2">
      <c r="AE1180" s="1">
        <v>44544</v>
      </c>
      <c r="AF1180" s="1">
        <v>1.75</v>
      </c>
      <c r="AG1180" s="1">
        <v>44489</v>
      </c>
      <c r="AH1180" s="1">
        <v>0.7</v>
      </c>
      <c r="AI1180" s="1">
        <v>44552</v>
      </c>
      <c r="AJ1180" s="1">
        <v>2.9780000000000002</v>
      </c>
      <c r="AK1180" s="1">
        <v>44552</v>
      </c>
      <c r="AL1180" s="1">
        <v>3.31</v>
      </c>
      <c r="AM1180" s="1">
        <v>44552</v>
      </c>
      <c r="AN1180" s="1">
        <v>3.5550000000000002</v>
      </c>
      <c r="AO1180" s="1">
        <v>44552</v>
      </c>
      <c r="AP1180" s="1">
        <v>3.8250000000000002</v>
      </c>
      <c r="AQ1180" s="1">
        <v>44552</v>
      </c>
      <c r="AR1180" s="1">
        <v>3.79</v>
      </c>
      <c r="AS1180" s="1">
        <v>44552</v>
      </c>
      <c r="AT1180" s="1">
        <v>3.7650000000000001</v>
      </c>
      <c r="AU1180" s="1">
        <v>44552</v>
      </c>
      <c r="AV1180" s="1">
        <v>3.7450000000000001</v>
      </c>
      <c r="AW1180" s="1">
        <v>44552</v>
      </c>
      <c r="AX1180" s="1">
        <v>3.7149999999999999</v>
      </c>
      <c r="AY1180" s="1">
        <v>44552</v>
      </c>
      <c r="AZ1180" s="1">
        <v>3.7</v>
      </c>
      <c r="BB1180" s="1">
        <v>44466</v>
      </c>
      <c r="BC1180" s="1">
        <v>0.75</v>
      </c>
      <c r="BD1180" s="1">
        <v>44488</v>
      </c>
      <c r="BE1180" s="1">
        <v>2.08</v>
      </c>
      <c r="BF1180" s="1">
        <v>44552</v>
      </c>
      <c r="BG1180" s="1">
        <v>4.2</v>
      </c>
      <c r="BH1180" s="1">
        <v>44552</v>
      </c>
      <c r="BI1180" s="1">
        <v>4.67</v>
      </c>
      <c r="BJ1180" s="1">
        <v>44552</v>
      </c>
      <c r="BK1180" s="1">
        <v>4.6550000000000002</v>
      </c>
      <c r="BL1180" s="1">
        <v>44552</v>
      </c>
      <c r="BM1180" s="1">
        <v>4.6230000000000002</v>
      </c>
      <c r="BN1180" s="1">
        <v>44551</v>
      </c>
      <c r="BO1180" s="1">
        <v>4.2300000000000004</v>
      </c>
      <c r="BP1180" s="1">
        <v>44552</v>
      </c>
      <c r="BQ1180" s="1">
        <v>4.3</v>
      </c>
      <c r="BR1180" s="1">
        <v>44552</v>
      </c>
      <c r="BS1180" s="1">
        <v>4.0199999999999996</v>
      </c>
      <c r="BT1180" s="1">
        <v>44552</v>
      </c>
      <c r="BU1180" s="1">
        <v>3.8029999999999999</v>
      </c>
      <c r="BV1180" s="1">
        <v>44552</v>
      </c>
      <c r="BW1180" s="1">
        <v>3.645</v>
      </c>
      <c r="BY1180" s="1">
        <v>44470</v>
      </c>
      <c r="BZ1180" s="1">
        <v>1.65</v>
      </c>
      <c r="CA1180" s="1">
        <v>44481</v>
      </c>
      <c r="CB1180" s="1">
        <v>1.84</v>
      </c>
      <c r="CC1180" s="1">
        <v>44552</v>
      </c>
      <c r="CD1180" s="1">
        <v>4.42</v>
      </c>
      <c r="CE1180" s="1">
        <v>44552</v>
      </c>
      <c r="CF1180" s="1">
        <v>4.6500000000000004</v>
      </c>
      <c r="CG1180" s="1">
        <v>44552</v>
      </c>
      <c r="CH1180" s="1">
        <v>4.99</v>
      </c>
      <c r="CI1180" s="1">
        <v>44552</v>
      </c>
      <c r="CJ1180" s="1">
        <v>5.09</v>
      </c>
      <c r="CK1180" s="1">
        <v>44552</v>
      </c>
      <c r="CL1180" s="1">
        <v>5.05</v>
      </c>
      <c r="CM1180" s="1">
        <v>44544</v>
      </c>
      <c r="CN1180" s="1">
        <v>4.95</v>
      </c>
      <c r="CO1180" s="1">
        <v>44536</v>
      </c>
      <c r="CP1180" s="1">
        <v>4.2699999999999996</v>
      </c>
      <c r="CQ1180" s="1">
        <v>44536</v>
      </c>
      <c r="CR1180" s="1">
        <v>4.17</v>
      </c>
      <c r="CS1180" s="1">
        <v>44536</v>
      </c>
      <c r="CT1180" s="1">
        <v>4.05</v>
      </c>
    </row>
    <row r="1181" spans="31:98" x14ac:dyDescent="0.2">
      <c r="AE1181" s="1">
        <v>44543</v>
      </c>
      <c r="AF1181" s="1">
        <v>1.75</v>
      </c>
      <c r="AG1181" s="1">
        <v>44488</v>
      </c>
      <c r="AH1181" s="1">
        <v>0.69</v>
      </c>
      <c r="AI1181" s="1">
        <v>44551</v>
      </c>
      <c r="AJ1181" s="1">
        <v>3.0045000000000002</v>
      </c>
      <c r="AK1181" s="1">
        <v>44551</v>
      </c>
      <c r="AL1181" s="1">
        <v>3.3325</v>
      </c>
      <c r="AM1181" s="1">
        <v>44551</v>
      </c>
      <c r="AN1181" s="1">
        <v>3.5924999999999998</v>
      </c>
      <c r="AO1181" s="1">
        <v>44551</v>
      </c>
      <c r="AP1181" s="1">
        <v>3.8824999999999998</v>
      </c>
      <c r="AQ1181" s="1">
        <v>44551</v>
      </c>
      <c r="AR1181" s="1">
        <v>3.8424999999999998</v>
      </c>
      <c r="AS1181" s="1">
        <v>44551</v>
      </c>
      <c r="AT1181" s="1">
        <v>3.7925</v>
      </c>
      <c r="AU1181" s="1">
        <v>44551</v>
      </c>
      <c r="AV1181" s="1">
        <v>3.7725</v>
      </c>
      <c r="AW1181" s="1">
        <v>44551</v>
      </c>
      <c r="AX1181" s="1">
        <v>3.7425000000000002</v>
      </c>
      <c r="AY1181" s="1">
        <v>44551</v>
      </c>
      <c r="AZ1181" s="1">
        <v>3.7275</v>
      </c>
      <c r="BB1181" s="1">
        <v>44463</v>
      </c>
      <c r="BC1181" s="1">
        <v>0.75</v>
      </c>
      <c r="BD1181" s="1">
        <v>44487</v>
      </c>
      <c r="BE1181" s="1">
        <v>2.06</v>
      </c>
      <c r="BF1181" s="1">
        <v>44551</v>
      </c>
      <c r="BG1181" s="1">
        <v>3.9849999999999999</v>
      </c>
      <c r="BH1181" s="1">
        <v>44551</v>
      </c>
      <c r="BI1181" s="1">
        <v>4.3579999999999997</v>
      </c>
      <c r="BJ1181" s="1">
        <v>44551</v>
      </c>
      <c r="BK1181" s="1">
        <v>4.4029999999999996</v>
      </c>
      <c r="BL1181" s="1">
        <v>44551</v>
      </c>
      <c r="BM1181" s="1">
        <v>4.3479999999999999</v>
      </c>
      <c r="BN1181" s="1">
        <v>44550</v>
      </c>
      <c r="BO1181" s="1">
        <v>4.2480000000000002</v>
      </c>
      <c r="BP1181" s="1">
        <v>44551</v>
      </c>
      <c r="BQ1181" s="1">
        <v>4.0179999999999998</v>
      </c>
      <c r="BR1181" s="1">
        <v>44551</v>
      </c>
      <c r="BS1181" s="1">
        <v>3.7679999999999998</v>
      </c>
      <c r="BT1181" s="1">
        <v>44551</v>
      </c>
      <c r="BU1181" s="1">
        <v>3.5979999999999999</v>
      </c>
      <c r="BV1181" s="1">
        <v>44551</v>
      </c>
      <c r="BW1181" s="1">
        <v>3.45</v>
      </c>
      <c r="BY1181" s="1">
        <v>44469</v>
      </c>
      <c r="BZ1181" s="1">
        <v>1.65</v>
      </c>
      <c r="CA1181" s="1">
        <v>44480</v>
      </c>
      <c r="CB1181" s="1">
        <v>1.83</v>
      </c>
      <c r="CC1181" s="1">
        <v>44551</v>
      </c>
      <c r="CD1181" s="1">
        <v>4.46</v>
      </c>
      <c r="CE1181" s="1">
        <v>44551</v>
      </c>
      <c r="CF1181" s="1">
        <v>4.6399999999999997</v>
      </c>
      <c r="CG1181" s="1">
        <v>44551</v>
      </c>
      <c r="CH1181" s="1">
        <v>4.9800000000000004</v>
      </c>
      <c r="CI1181" s="1">
        <v>44551</v>
      </c>
      <c r="CJ1181" s="1">
        <v>5.08</v>
      </c>
      <c r="CK1181" s="1">
        <v>44551</v>
      </c>
      <c r="CL1181" s="1">
        <v>5.0650000000000004</v>
      </c>
      <c r="CM1181" s="1">
        <v>44543</v>
      </c>
      <c r="CN1181" s="1">
        <v>4.8099999999999996</v>
      </c>
      <c r="CO1181" s="1">
        <v>44533</v>
      </c>
      <c r="CP1181" s="1">
        <v>4.37</v>
      </c>
      <c r="CQ1181" s="1">
        <v>44533</v>
      </c>
      <c r="CR1181" s="1">
        <v>4.2699999999999996</v>
      </c>
      <c r="CS1181" s="1">
        <v>44533</v>
      </c>
      <c r="CT1181" s="1">
        <v>4.1500000000000004</v>
      </c>
    </row>
    <row r="1182" spans="31:98" x14ac:dyDescent="0.2">
      <c r="AE1182" s="1">
        <v>44540</v>
      </c>
      <c r="AF1182" s="1">
        <v>1.75</v>
      </c>
      <c r="AG1182" s="1">
        <v>44487</v>
      </c>
      <c r="AH1182" s="1">
        <v>0.69</v>
      </c>
      <c r="AI1182" s="1">
        <v>44550</v>
      </c>
      <c r="AJ1182" s="1">
        <v>2.9398</v>
      </c>
      <c r="AK1182" s="1">
        <v>44550</v>
      </c>
      <c r="AL1182" s="1">
        <v>3.2349999999999999</v>
      </c>
      <c r="AM1182" s="1">
        <v>44550</v>
      </c>
      <c r="AN1182" s="1">
        <v>3.49</v>
      </c>
      <c r="AO1182" s="1">
        <v>44550</v>
      </c>
      <c r="AP1182" s="1">
        <v>3.7749999999999999</v>
      </c>
      <c r="AQ1182" s="1">
        <v>44550</v>
      </c>
      <c r="AR1182" s="1">
        <v>3.6850000000000001</v>
      </c>
      <c r="AS1182" s="1">
        <v>44550</v>
      </c>
      <c r="AT1182" s="1">
        <v>3.64</v>
      </c>
      <c r="AU1182" s="1">
        <v>44550</v>
      </c>
      <c r="AV1182" s="1">
        <v>3.6375000000000002</v>
      </c>
      <c r="AW1182" s="1">
        <v>44550</v>
      </c>
      <c r="AX1182" s="1">
        <v>3.6124999999999998</v>
      </c>
      <c r="AY1182" s="1">
        <v>44550</v>
      </c>
      <c r="AZ1182" s="1">
        <v>3.6025</v>
      </c>
      <c r="BB1182" s="1">
        <v>44462</v>
      </c>
      <c r="BC1182" s="1">
        <v>0.75</v>
      </c>
      <c r="BD1182" s="1">
        <v>44484</v>
      </c>
      <c r="BE1182" s="1">
        <v>2.0499999999999998</v>
      </c>
      <c r="BF1182" s="1">
        <v>44550</v>
      </c>
      <c r="BG1182" s="1">
        <v>3.96</v>
      </c>
      <c r="BH1182" s="1">
        <v>44550</v>
      </c>
      <c r="BI1182" s="1">
        <v>4.3449999999999998</v>
      </c>
      <c r="BJ1182" s="1">
        <v>44550</v>
      </c>
      <c r="BK1182" s="1">
        <v>4.4000000000000004</v>
      </c>
      <c r="BL1182" s="1">
        <v>44550</v>
      </c>
      <c r="BM1182" s="1">
        <v>4.3650000000000002</v>
      </c>
      <c r="BN1182" s="1">
        <v>44547</v>
      </c>
      <c r="BO1182" s="1">
        <v>4.218</v>
      </c>
      <c r="BP1182" s="1">
        <v>44550</v>
      </c>
      <c r="BQ1182" s="1">
        <v>4.0250000000000004</v>
      </c>
      <c r="BR1182" s="1">
        <v>44550</v>
      </c>
      <c r="BS1182" s="1">
        <v>3.7749999999999999</v>
      </c>
      <c r="BT1182" s="1">
        <v>44550</v>
      </c>
      <c r="BU1182" s="1">
        <v>3.5950000000000002</v>
      </c>
      <c r="BV1182" s="1">
        <v>44550</v>
      </c>
      <c r="BW1182" s="1">
        <v>3.448</v>
      </c>
      <c r="BY1182" s="1">
        <v>44468</v>
      </c>
      <c r="BZ1182" s="1">
        <v>1.65</v>
      </c>
      <c r="CA1182" s="1">
        <v>44477</v>
      </c>
      <c r="CB1182" s="1">
        <v>1.82</v>
      </c>
      <c r="CC1182" s="1">
        <v>44550</v>
      </c>
      <c r="CD1182" s="1">
        <v>4.41</v>
      </c>
      <c r="CE1182" s="1">
        <v>44550</v>
      </c>
      <c r="CF1182" s="1">
        <v>4.6399999999999997</v>
      </c>
      <c r="CG1182" s="1">
        <v>44550</v>
      </c>
      <c r="CH1182" s="1">
        <v>4.9800000000000004</v>
      </c>
      <c r="CI1182" s="1">
        <v>44550</v>
      </c>
      <c r="CJ1182" s="1">
        <v>5.08</v>
      </c>
      <c r="CK1182" s="1">
        <v>44550</v>
      </c>
      <c r="CL1182" s="1">
        <v>5.09</v>
      </c>
      <c r="CM1182" s="1">
        <v>44540</v>
      </c>
      <c r="CN1182" s="1">
        <v>4.7699999999999996</v>
      </c>
      <c r="CO1182" s="1">
        <v>44532</v>
      </c>
      <c r="CP1182" s="1">
        <v>4.3600000000000003</v>
      </c>
      <c r="CQ1182" s="1">
        <v>44532</v>
      </c>
      <c r="CR1182" s="1">
        <v>4.26</v>
      </c>
      <c r="CS1182" s="1">
        <v>44532</v>
      </c>
      <c r="CT1182" s="1">
        <v>4.16</v>
      </c>
    </row>
    <row r="1183" spans="31:98" x14ac:dyDescent="0.2">
      <c r="AE1183" s="1">
        <v>44539</v>
      </c>
      <c r="AF1183" s="1">
        <v>1.75</v>
      </c>
      <c r="AG1183" s="1">
        <v>44484</v>
      </c>
      <c r="AH1183" s="1">
        <v>0.69</v>
      </c>
      <c r="AI1183" s="1">
        <v>44547</v>
      </c>
      <c r="AJ1183" s="1">
        <v>2.8508</v>
      </c>
      <c r="AK1183" s="1">
        <v>44547</v>
      </c>
      <c r="AL1183" s="1">
        <v>3.05</v>
      </c>
      <c r="AM1183" s="1">
        <v>44547</v>
      </c>
      <c r="AN1183" s="1">
        <v>3.2650000000000001</v>
      </c>
      <c r="AO1183" s="1">
        <v>44547</v>
      </c>
      <c r="AP1183" s="1">
        <v>3.4950000000000001</v>
      </c>
      <c r="AQ1183" s="1">
        <v>44547</v>
      </c>
      <c r="AR1183" s="1">
        <v>3.3849999999999998</v>
      </c>
      <c r="AS1183" s="1">
        <v>44547</v>
      </c>
      <c r="AT1183" s="1">
        <v>3.33</v>
      </c>
      <c r="AU1183" s="1">
        <v>44547</v>
      </c>
      <c r="AV1183" s="1">
        <v>3.29</v>
      </c>
      <c r="AW1183" s="1">
        <v>44547</v>
      </c>
      <c r="AX1183" s="1">
        <v>3.2450000000000001</v>
      </c>
      <c r="AY1183" s="1">
        <v>44547</v>
      </c>
      <c r="AZ1183" s="1">
        <v>3.23</v>
      </c>
      <c r="BB1183" s="1">
        <v>44461</v>
      </c>
      <c r="BC1183" s="1">
        <v>0.75</v>
      </c>
      <c r="BD1183" s="1">
        <v>44483</v>
      </c>
      <c r="BE1183" s="1">
        <v>2.0299999999999998</v>
      </c>
      <c r="BF1183" s="1">
        <v>44547</v>
      </c>
      <c r="BG1183" s="1">
        <v>3.89</v>
      </c>
      <c r="BH1183" s="1">
        <v>44547</v>
      </c>
      <c r="BI1183" s="1">
        <v>4.298</v>
      </c>
      <c r="BJ1183" s="1">
        <v>44547</v>
      </c>
      <c r="BK1183" s="1">
        <v>4.3550000000000004</v>
      </c>
      <c r="BL1183" s="1">
        <v>44547</v>
      </c>
      <c r="BM1183" s="1">
        <v>4.33</v>
      </c>
      <c r="BN1183" s="1">
        <v>44546</v>
      </c>
      <c r="BO1183" s="1">
        <v>4.22</v>
      </c>
      <c r="BP1183" s="1">
        <v>44547</v>
      </c>
      <c r="BQ1183" s="1">
        <v>4.01</v>
      </c>
      <c r="BR1183" s="1">
        <v>44547</v>
      </c>
      <c r="BS1183" s="1">
        <v>3.7629999999999999</v>
      </c>
      <c r="BT1183" s="1">
        <v>44547</v>
      </c>
      <c r="BU1183" s="1">
        <v>3.5779999999999998</v>
      </c>
      <c r="BV1183" s="1">
        <v>44547</v>
      </c>
      <c r="BW1183" s="1">
        <v>3.4279999999999999</v>
      </c>
      <c r="BY1183" s="1">
        <v>44467</v>
      </c>
      <c r="BZ1183" s="1">
        <v>1.65</v>
      </c>
      <c r="CA1183" s="1">
        <v>44476</v>
      </c>
      <c r="CB1183" s="1">
        <v>1.81</v>
      </c>
      <c r="CC1183" s="1">
        <v>44547</v>
      </c>
      <c r="CD1183" s="1">
        <v>4.4000000000000004</v>
      </c>
      <c r="CE1183" s="1">
        <v>44547</v>
      </c>
      <c r="CF1183" s="1">
        <v>4.6399999999999997</v>
      </c>
      <c r="CG1183" s="1">
        <v>44547</v>
      </c>
      <c r="CH1183" s="1">
        <v>4.9800000000000004</v>
      </c>
      <c r="CI1183" s="1">
        <v>44547</v>
      </c>
      <c r="CJ1183" s="1">
        <v>5.08</v>
      </c>
      <c r="CK1183" s="1">
        <v>44547</v>
      </c>
      <c r="CL1183" s="1">
        <v>5.085</v>
      </c>
      <c r="CM1183" s="1">
        <v>44539</v>
      </c>
      <c r="CN1183" s="1">
        <v>4.59</v>
      </c>
      <c r="CO1183" s="1">
        <v>44531</v>
      </c>
      <c r="CP1183" s="1">
        <v>4.4000000000000004</v>
      </c>
      <c r="CQ1183" s="1">
        <v>44531</v>
      </c>
      <c r="CR1183" s="1">
        <v>4.33</v>
      </c>
      <c r="CS1183" s="1">
        <v>44531</v>
      </c>
      <c r="CT1183" s="1">
        <v>4.25</v>
      </c>
    </row>
    <row r="1184" spans="31:98" x14ac:dyDescent="0.2">
      <c r="AE1184" s="1">
        <v>44538</v>
      </c>
      <c r="AF1184" s="1">
        <v>1.75</v>
      </c>
      <c r="AG1184" s="1">
        <v>44483</v>
      </c>
      <c r="AH1184" s="1">
        <v>0.68</v>
      </c>
      <c r="AI1184" s="1">
        <v>44546</v>
      </c>
      <c r="AJ1184" s="1">
        <v>2.8460999999999999</v>
      </c>
      <c r="AK1184" s="1">
        <v>44546</v>
      </c>
      <c r="AL1184" s="1">
        <v>3.0225</v>
      </c>
      <c r="AM1184" s="1">
        <v>44546</v>
      </c>
      <c r="AN1184" s="1">
        <v>3.19</v>
      </c>
      <c r="AO1184" s="1">
        <v>44546</v>
      </c>
      <c r="AP1184" s="1">
        <v>3.43</v>
      </c>
      <c r="AQ1184" s="1">
        <v>44546</v>
      </c>
      <c r="AR1184" s="1">
        <v>3.3250000000000002</v>
      </c>
      <c r="AS1184" s="1">
        <v>44546</v>
      </c>
      <c r="AT1184" s="1">
        <v>3.2749999999999999</v>
      </c>
      <c r="AU1184" s="1">
        <v>44546</v>
      </c>
      <c r="AV1184" s="1">
        <v>3.2349999999999999</v>
      </c>
      <c r="AW1184" s="1">
        <v>44546</v>
      </c>
      <c r="AX1184" s="1">
        <v>3.19</v>
      </c>
      <c r="AY1184" s="1">
        <v>44546</v>
      </c>
      <c r="AZ1184" s="1">
        <v>3.1749999999999998</v>
      </c>
      <c r="BB1184" s="1">
        <v>44460</v>
      </c>
      <c r="BC1184" s="1">
        <v>0.75</v>
      </c>
      <c r="BD1184" s="1">
        <v>44482</v>
      </c>
      <c r="BE1184" s="1">
        <v>2</v>
      </c>
      <c r="BF1184" s="1">
        <v>44546</v>
      </c>
      <c r="BG1184" s="1">
        <v>3.87</v>
      </c>
      <c r="BH1184" s="1">
        <v>44546</v>
      </c>
      <c r="BI1184" s="1">
        <v>4.2949999999999999</v>
      </c>
      <c r="BJ1184" s="1">
        <v>44546</v>
      </c>
      <c r="BK1184" s="1">
        <v>4.3529999999999998</v>
      </c>
      <c r="BL1184" s="1">
        <v>44546</v>
      </c>
      <c r="BM1184" s="1">
        <v>4.3330000000000002</v>
      </c>
      <c r="BN1184" s="1">
        <v>44545</v>
      </c>
      <c r="BO1184" s="1">
        <v>4.3079999999999998</v>
      </c>
      <c r="BP1184" s="1">
        <v>44546</v>
      </c>
      <c r="BQ1184" s="1">
        <v>4.0179999999999998</v>
      </c>
      <c r="BR1184" s="1">
        <v>44546</v>
      </c>
      <c r="BS1184" s="1">
        <v>3.77</v>
      </c>
      <c r="BT1184" s="1">
        <v>44546</v>
      </c>
      <c r="BU1184" s="1">
        <v>3.585</v>
      </c>
      <c r="BV1184" s="1">
        <v>44546</v>
      </c>
      <c r="BW1184" s="1">
        <v>3.4350000000000001</v>
      </c>
      <c r="BY1184" s="1">
        <v>44466</v>
      </c>
      <c r="BZ1184" s="1">
        <v>1.65</v>
      </c>
      <c r="CA1184" s="1">
        <v>44475</v>
      </c>
      <c r="CB1184" s="1">
        <v>1.8</v>
      </c>
      <c r="CC1184" s="1">
        <v>44546</v>
      </c>
      <c r="CD1184" s="1">
        <v>4.4649999999999999</v>
      </c>
      <c r="CE1184" s="1">
        <v>44546</v>
      </c>
      <c r="CF1184" s="1">
        <v>4.67</v>
      </c>
      <c r="CG1184" s="1">
        <v>44546</v>
      </c>
      <c r="CH1184" s="1">
        <v>5.0199999999999996</v>
      </c>
      <c r="CI1184" s="1">
        <v>44546</v>
      </c>
      <c r="CJ1184" s="1">
        <v>5.14</v>
      </c>
      <c r="CK1184" s="1">
        <v>44546</v>
      </c>
      <c r="CL1184" s="1">
        <v>5.0350000000000001</v>
      </c>
      <c r="CM1184" s="1">
        <v>44538</v>
      </c>
      <c r="CN1184" s="1">
        <v>4.59</v>
      </c>
      <c r="CO1184" s="1">
        <v>44530</v>
      </c>
      <c r="CP1184" s="1">
        <v>4.3</v>
      </c>
      <c r="CQ1184" s="1">
        <v>44530</v>
      </c>
      <c r="CR1184" s="1">
        <v>4.22</v>
      </c>
      <c r="CS1184" s="1">
        <v>44530</v>
      </c>
      <c r="CT1184" s="1">
        <v>4.12</v>
      </c>
    </row>
    <row r="1185" spans="31:98" x14ac:dyDescent="0.2">
      <c r="AE1185" s="1">
        <v>44537</v>
      </c>
      <c r="AF1185" s="1">
        <v>1.25</v>
      </c>
      <c r="AG1185" s="1">
        <v>44482</v>
      </c>
      <c r="AH1185" s="1">
        <v>0.68</v>
      </c>
      <c r="AI1185" s="1">
        <v>44545</v>
      </c>
      <c r="AJ1185" s="1">
        <v>2.8159999999999998</v>
      </c>
      <c r="AK1185" s="1">
        <v>44545</v>
      </c>
      <c r="AL1185" s="1">
        <v>3.0249999999999999</v>
      </c>
      <c r="AM1185" s="1">
        <v>44545</v>
      </c>
      <c r="AN1185" s="1">
        <v>3.19</v>
      </c>
      <c r="AO1185" s="1">
        <v>44545</v>
      </c>
      <c r="AP1185" s="1">
        <v>3.4249999999999998</v>
      </c>
      <c r="AQ1185" s="1">
        <v>44545</v>
      </c>
      <c r="AR1185" s="1">
        <v>3.33</v>
      </c>
      <c r="AS1185" s="1">
        <v>44545</v>
      </c>
      <c r="AT1185" s="1">
        <v>3.29</v>
      </c>
      <c r="AU1185" s="1">
        <v>44545</v>
      </c>
      <c r="AV1185" s="1">
        <v>3.2549999999999999</v>
      </c>
      <c r="AW1185" s="1">
        <v>44545</v>
      </c>
      <c r="AX1185" s="1">
        <v>3.2149999999999999</v>
      </c>
      <c r="AY1185" s="1">
        <v>44545</v>
      </c>
      <c r="AZ1185" s="1">
        <v>3.2</v>
      </c>
      <c r="BB1185" s="1">
        <v>44459</v>
      </c>
      <c r="BC1185" s="1">
        <v>0.75</v>
      </c>
      <c r="BD1185" s="1">
        <v>44481</v>
      </c>
      <c r="BE1185" s="1">
        <v>1.98</v>
      </c>
      <c r="BF1185" s="1">
        <v>44545</v>
      </c>
      <c r="BG1185" s="1">
        <v>3.875</v>
      </c>
      <c r="BH1185" s="1">
        <v>44545</v>
      </c>
      <c r="BI1185" s="1">
        <v>4.3479999999999999</v>
      </c>
      <c r="BJ1185" s="1">
        <v>44545</v>
      </c>
      <c r="BK1185" s="1">
        <v>4.4249999999999998</v>
      </c>
      <c r="BL1185" s="1">
        <v>44545</v>
      </c>
      <c r="BM1185" s="1">
        <v>4.4000000000000004</v>
      </c>
      <c r="BN1185" s="1">
        <v>44544</v>
      </c>
      <c r="BO1185" s="1">
        <v>4.2850000000000001</v>
      </c>
      <c r="BP1185" s="1">
        <v>44545</v>
      </c>
      <c r="BQ1185" s="1">
        <v>4.1150000000000002</v>
      </c>
      <c r="BR1185" s="1">
        <v>44545</v>
      </c>
      <c r="BS1185" s="1">
        <v>3.85</v>
      </c>
      <c r="BT1185" s="1">
        <v>44545</v>
      </c>
      <c r="BU1185" s="1">
        <v>3.665</v>
      </c>
      <c r="BV1185" s="1">
        <v>44545</v>
      </c>
      <c r="BW1185" s="1">
        <v>3.4980000000000002</v>
      </c>
      <c r="BY1185" s="1">
        <v>44463</v>
      </c>
      <c r="BZ1185" s="1">
        <v>1.65</v>
      </c>
      <c r="CA1185" s="1">
        <v>44474</v>
      </c>
      <c r="CB1185" s="1">
        <v>1.79</v>
      </c>
      <c r="CC1185" s="1">
        <v>44545</v>
      </c>
      <c r="CD1185" s="1">
        <v>4.4249999999999998</v>
      </c>
      <c r="CE1185" s="1">
        <v>44545</v>
      </c>
      <c r="CF1185" s="1">
        <v>4.66</v>
      </c>
      <c r="CG1185" s="1">
        <v>44545</v>
      </c>
      <c r="CH1185" s="1">
        <v>4.99</v>
      </c>
      <c r="CI1185" s="1">
        <v>44545</v>
      </c>
      <c r="CJ1185" s="1">
        <v>5.1100000000000003</v>
      </c>
      <c r="CK1185" s="1">
        <v>44545</v>
      </c>
      <c r="CL1185" s="1">
        <v>5.1749999999999998</v>
      </c>
      <c r="CM1185" s="1">
        <v>44537</v>
      </c>
      <c r="CN1185" s="1">
        <v>4.34</v>
      </c>
      <c r="CO1185" s="1">
        <v>44529</v>
      </c>
      <c r="CP1185" s="1">
        <v>4.42</v>
      </c>
      <c r="CQ1185" s="1">
        <v>44529</v>
      </c>
      <c r="CR1185" s="1">
        <v>4.38</v>
      </c>
      <c r="CS1185" s="1">
        <v>44529</v>
      </c>
      <c r="CT1185" s="1">
        <v>4.33</v>
      </c>
    </row>
    <row r="1186" spans="31:98" x14ac:dyDescent="0.2">
      <c r="AE1186" s="1">
        <v>44536</v>
      </c>
      <c r="AF1186" s="1">
        <v>1.25</v>
      </c>
      <c r="AG1186" s="1">
        <v>44481</v>
      </c>
      <c r="AH1186" s="1">
        <v>0.67</v>
      </c>
      <c r="AI1186" s="1">
        <v>44544</v>
      </c>
      <c r="AJ1186" s="1">
        <v>2.8109000000000002</v>
      </c>
      <c r="AK1186" s="1">
        <v>44544</v>
      </c>
      <c r="AL1186" s="1">
        <v>3.0049999999999999</v>
      </c>
      <c r="AM1186" s="1">
        <v>44544</v>
      </c>
      <c r="AN1186" s="1">
        <v>3.17</v>
      </c>
      <c r="AO1186" s="1">
        <v>44544</v>
      </c>
      <c r="AP1186" s="1">
        <v>3.355</v>
      </c>
      <c r="AQ1186" s="1">
        <v>44544</v>
      </c>
      <c r="AR1186" s="1">
        <v>3.3050000000000002</v>
      </c>
      <c r="AS1186" s="1">
        <v>44544</v>
      </c>
      <c r="AT1186" s="1">
        <v>3.2425000000000002</v>
      </c>
      <c r="AU1186" s="1">
        <v>44544</v>
      </c>
      <c r="AV1186" s="1">
        <v>3.1974999999999998</v>
      </c>
      <c r="AW1186" s="1">
        <v>44544</v>
      </c>
      <c r="AX1186" s="1">
        <v>3.1675</v>
      </c>
      <c r="AY1186" s="1">
        <v>44544</v>
      </c>
      <c r="AZ1186" s="1">
        <v>3.1375000000000002</v>
      </c>
      <c r="BB1186" s="1">
        <v>44456</v>
      </c>
      <c r="BC1186" s="1">
        <v>0.75</v>
      </c>
      <c r="BD1186" s="1">
        <v>44480</v>
      </c>
      <c r="BE1186" s="1">
        <v>1.95</v>
      </c>
      <c r="BF1186" s="1">
        <v>44544</v>
      </c>
      <c r="BG1186" s="1">
        <v>3.8780000000000001</v>
      </c>
      <c r="BH1186" s="1">
        <v>44544</v>
      </c>
      <c r="BI1186" s="1">
        <v>4.3230000000000004</v>
      </c>
      <c r="BJ1186" s="1">
        <v>44544</v>
      </c>
      <c r="BK1186" s="1">
        <v>4.3949999999999996</v>
      </c>
      <c r="BL1186" s="1">
        <v>44544</v>
      </c>
      <c r="BM1186" s="1">
        <v>4.3780000000000001</v>
      </c>
      <c r="BN1186" s="1">
        <v>44543</v>
      </c>
      <c r="BO1186" s="1">
        <v>4.1550000000000002</v>
      </c>
      <c r="BP1186" s="1">
        <v>44544</v>
      </c>
      <c r="BQ1186" s="1">
        <v>4.0780000000000003</v>
      </c>
      <c r="BR1186" s="1">
        <v>44544</v>
      </c>
      <c r="BS1186" s="1">
        <v>3.8079999999999998</v>
      </c>
      <c r="BT1186" s="1">
        <v>44544</v>
      </c>
      <c r="BU1186" s="1">
        <v>3.6230000000000002</v>
      </c>
      <c r="BV1186" s="1">
        <v>44544</v>
      </c>
      <c r="BW1186" s="1">
        <v>3.4550000000000001</v>
      </c>
      <c r="BY1186" s="1">
        <v>44462</v>
      </c>
      <c r="BZ1186" s="1">
        <v>1.65</v>
      </c>
      <c r="CA1186" s="1">
        <v>44473</v>
      </c>
      <c r="CB1186" s="1">
        <v>1.77</v>
      </c>
      <c r="CC1186" s="1">
        <v>44544</v>
      </c>
      <c r="CD1186" s="1">
        <v>4.28</v>
      </c>
      <c r="CE1186" s="1">
        <v>44544</v>
      </c>
      <c r="CF1186" s="1">
        <v>4.6399999999999997</v>
      </c>
      <c r="CG1186" s="1">
        <v>44544</v>
      </c>
      <c r="CH1186" s="1">
        <v>4.9400000000000004</v>
      </c>
      <c r="CI1186" s="1">
        <v>44544</v>
      </c>
      <c r="CJ1186" s="1">
        <v>5.04</v>
      </c>
      <c r="CK1186" s="1">
        <v>44544</v>
      </c>
      <c r="CL1186" s="1">
        <v>5.05</v>
      </c>
      <c r="CM1186" s="1">
        <v>44536</v>
      </c>
      <c r="CN1186" s="1">
        <v>4.3499999999999996</v>
      </c>
      <c r="CO1186" s="1">
        <v>44526</v>
      </c>
      <c r="CP1186" s="1">
        <v>4.3600000000000003</v>
      </c>
      <c r="CQ1186" s="1">
        <v>44526</v>
      </c>
      <c r="CR1186" s="1">
        <v>4.3099999999999996</v>
      </c>
      <c r="CS1186" s="1">
        <v>44526</v>
      </c>
      <c r="CT1186" s="1">
        <v>4.26</v>
      </c>
    </row>
    <row r="1187" spans="31:98" x14ac:dyDescent="0.2">
      <c r="AE1187" s="1">
        <v>44533</v>
      </c>
      <c r="AF1187" s="1">
        <v>1.25</v>
      </c>
      <c r="AG1187" s="1">
        <v>44480</v>
      </c>
      <c r="AH1187" s="1">
        <v>0.66</v>
      </c>
      <c r="AI1187" s="1">
        <v>44543</v>
      </c>
      <c r="AJ1187" s="1">
        <v>2.8176999999999999</v>
      </c>
      <c r="AK1187" s="1">
        <v>44543</v>
      </c>
      <c r="AL1187" s="1">
        <v>3.0049999999999999</v>
      </c>
      <c r="AM1187" s="1">
        <v>44543</v>
      </c>
      <c r="AN1187" s="1">
        <v>3.16</v>
      </c>
      <c r="AO1187" s="1">
        <v>44543</v>
      </c>
      <c r="AP1187" s="1">
        <v>3.3149999999999999</v>
      </c>
      <c r="AQ1187" s="1">
        <v>44543</v>
      </c>
      <c r="AR1187" s="1">
        <v>3.2574999999999998</v>
      </c>
      <c r="AS1187" s="1">
        <v>44543</v>
      </c>
      <c r="AT1187" s="1">
        <v>3.2124999999999999</v>
      </c>
      <c r="AU1187" s="1">
        <v>44543</v>
      </c>
      <c r="AV1187" s="1">
        <v>3.1175000000000002</v>
      </c>
      <c r="AW1187" s="1">
        <v>44543</v>
      </c>
      <c r="AX1187" s="1">
        <v>3.08</v>
      </c>
      <c r="AY1187" s="1">
        <v>44543</v>
      </c>
      <c r="AZ1187" s="1">
        <v>3.07</v>
      </c>
      <c r="BB1187" s="1">
        <v>44455</v>
      </c>
      <c r="BC1187" s="1">
        <v>0.75</v>
      </c>
      <c r="BD1187" s="1">
        <v>44477</v>
      </c>
      <c r="BE1187" s="1">
        <v>1.93</v>
      </c>
      <c r="BF1187" s="1">
        <v>44543</v>
      </c>
      <c r="BG1187" s="1">
        <v>3.8220000000000001</v>
      </c>
      <c r="BH1187" s="1">
        <v>44543</v>
      </c>
      <c r="BI1187" s="1">
        <v>4.173</v>
      </c>
      <c r="BJ1187" s="1">
        <v>44543</v>
      </c>
      <c r="BK1187" s="1">
        <v>4.2450000000000001</v>
      </c>
      <c r="BL1187" s="1">
        <v>44543</v>
      </c>
      <c r="BM1187" s="1">
        <v>4.2549999999999999</v>
      </c>
      <c r="BN1187" s="1">
        <v>44540</v>
      </c>
      <c r="BO1187" s="1">
        <v>4.0650000000000004</v>
      </c>
      <c r="BP1187" s="1">
        <v>44543</v>
      </c>
      <c r="BQ1187" s="1">
        <v>3.91</v>
      </c>
      <c r="BR1187" s="1">
        <v>44543</v>
      </c>
      <c r="BS1187" s="1">
        <v>3.6179999999999999</v>
      </c>
      <c r="BT1187" s="1">
        <v>44543</v>
      </c>
      <c r="BU1187" s="1">
        <v>3.4049999999999998</v>
      </c>
      <c r="BV1187" s="1">
        <v>44543</v>
      </c>
      <c r="BW1187" s="1">
        <v>3.29</v>
      </c>
      <c r="BY1187" s="1">
        <v>44460</v>
      </c>
      <c r="BZ1187" s="1">
        <v>1.65</v>
      </c>
      <c r="CA1187" s="1">
        <v>44470</v>
      </c>
      <c r="CB1187" s="1">
        <v>1.76</v>
      </c>
      <c r="CC1187" s="1">
        <v>44543</v>
      </c>
      <c r="CD1187" s="1">
        <v>4.2</v>
      </c>
      <c r="CE1187" s="1">
        <v>44543</v>
      </c>
      <c r="CF1187" s="1">
        <v>4.49</v>
      </c>
      <c r="CG1187" s="1">
        <v>44543</v>
      </c>
      <c r="CH1187" s="1">
        <v>4.79</v>
      </c>
      <c r="CI1187" s="1">
        <v>44543</v>
      </c>
      <c r="CJ1187" s="1">
        <v>4.8899999999999997</v>
      </c>
      <c r="CK1187" s="1">
        <v>44543</v>
      </c>
      <c r="CL1187" s="1">
        <v>4.8650000000000002</v>
      </c>
      <c r="CM1187" s="1">
        <v>44533</v>
      </c>
      <c r="CN1187" s="1">
        <v>4.45</v>
      </c>
      <c r="CO1187" s="1">
        <v>44525</v>
      </c>
      <c r="CP1187" s="1">
        <v>4.7300000000000004</v>
      </c>
      <c r="CQ1187" s="1">
        <v>44525</v>
      </c>
      <c r="CR1187" s="1">
        <v>4.6900000000000004</v>
      </c>
      <c r="CS1187" s="1">
        <v>44525</v>
      </c>
      <c r="CT1187" s="1">
        <v>4.6399999999999997</v>
      </c>
    </row>
    <row r="1188" spans="31:98" x14ac:dyDescent="0.2">
      <c r="AE1188" s="1">
        <v>44532</v>
      </c>
      <c r="AF1188" s="1">
        <v>1.25</v>
      </c>
      <c r="AG1188" s="1">
        <v>44477</v>
      </c>
      <c r="AH1188" s="1">
        <v>0.65</v>
      </c>
      <c r="AI1188" s="1">
        <v>44540</v>
      </c>
      <c r="AJ1188" s="1">
        <v>2.6139999999999999</v>
      </c>
      <c r="AK1188" s="1">
        <v>44540</v>
      </c>
      <c r="AL1188" s="1">
        <v>3.01</v>
      </c>
      <c r="AM1188" s="1">
        <v>44540</v>
      </c>
      <c r="AN1188" s="1">
        <v>3.16</v>
      </c>
      <c r="AO1188" s="1">
        <v>44540</v>
      </c>
      <c r="AP1188" s="1">
        <v>3.32</v>
      </c>
      <c r="AQ1188" s="1">
        <v>44540</v>
      </c>
      <c r="AR1188" s="1">
        <v>3.2625000000000002</v>
      </c>
      <c r="AS1188" s="1">
        <v>44540</v>
      </c>
      <c r="AT1188" s="1">
        <v>3.2174999999999998</v>
      </c>
      <c r="AU1188" s="1">
        <v>44540</v>
      </c>
      <c r="AV1188" s="1">
        <v>3.1225000000000001</v>
      </c>
      <c r="AW1188" s="1">
        <v>44540</v>
      </c>
      <c r="AX1188" s="1">
        <v>3.085</v>
      </c>
      <c r="AY1188" s="1">
        <v>44540</v>
      </c>
      <c r="AZ1188" s="1">
        <v>3.0750000000000002</v>
      </c>
      <c r="BB1188" s="1">
        <v>44454</v>
      </c>
      <c r="BC1188" s="1">
        <v>0.75</v>
      </c>
      <c r="BD1188" s="1">
        <v>44476</v>
      </c>
      <c r="BE1188" s="1">
        <v>1.91</v>
      </c>
      <c r="BF1188" s="1">
        <v>44540</v>
      </c>
      <c r="BG1188" s="1">
        <v>3.81</v>
      </c>
      <c r="BH1188" s="1">
        <v>44540</v>
      </c>
      <c r="BI1188" s="1">
        <v>4.1180000000000003</v>
      </c>
      <c r="BJ1188" s="1">
        <v>44540</v>
      </c>
      <c r="BK1188" s="1">
        <v>4.1879999999999997</v>
      </c>
      <c r="BL1188" s="1">
        <v>44540</v>
      </c>
      <c r="BM1188" s="1">
        <v>4.2080000000000002</v>
      </c>
      <c r="BN1188" s="1">
        <v>44539</v>
      </c>
      <c r="BO1188" s="1">
        <v>3.83</v>
      </c>
      <c r="BP1188" s="1">
        <v>44540</v>
      </c>
      <c r="BQ1188" s="1">
        <v>3.758</v>
      </c>
      <c r="BR1188" s="1">
        <v>44540</v>
      </c>
      <c r="BS1188" s="1">
        <v>3.5230000000000001</v>
      </c>
      <c r="BT1188" s="1">
        <v>44540</v>
      </c>
      <c r="BU1188" s="1">
        <v>3.3450000000000002</v>
      </c>
      <c r="BV1188" s="1">
        <v>44540</v>
      </c>
      <c r="BW1188" s="1">
        <v>3.2229999999999999</v>
      </c>
      <c r="CA1188" s="1">
        <v>44469</v>
      </c>
      <c r="CB1188" s="1">
        <v>1.76</v>
      </c>
      <c r="CC1188" s="1">
        <v>44540</v>
      </c>
      <c r="CD1188" s="1">
        <v>4.16</v>
      </c>
      <c r="CE1188" s="1">
        <v>44540</v>
      </c>
      <c r="CF1188" s="1">
        <v>4.46</v>
      </c>
      <c r="CG1188" s="1">
        <v>44540</v>
      </c>
      <c r="CH1188" s="1">
        <v>4.75</v>
      </c>
      <c r="CI1188" s="1">
        <v>44540</v>
      </c>
      <c r="CJ1188" s="1">
        <v>4.8499999999999996</v>
      </c>
      <c r="CK1188" s="1">
        <v>44540</v>
      </c>
      <c r="CL1188" s="1">
        <v>4.8</v>
      </c>
      <c r="CM1188" s="1">
        <v>44532</v>
      </c>
      <c r="CN1188" s="1">
        <v>4.4400000000000004</v>
      </c>
      <c r="CO1188" s="1">
        <v>44524</v>
      </c>
      <c r="CP1188" s="1">
        <v>5.04</v>
      </c>
      <c r="CQ1188" s="1">
        <v>44524</v>
      </c>
      <c r="CR1188" s="1">
        <v>5.05</v>
      </c>
      <c r="CS1188" s="1">
        <v>44524</v>
      </c>
      <c r="CT1188" s="1">
        <v>5.0599999999999996</v>
      </c>
    </row>
    <row r="1189" spans="31:98" x14ac:dyDescent="0.2">
      <c r="AE1189" s="1">
        <v>44531</v>
      </c>
      <c r="AF1189" s="1">
        <v>1.25</v>
      </c>
      <c r="AG1189" s="1">
        <v>44476</v>
      </c>
      <c r="AH1189" s="1">
        <v>0.63</v>
      </c>
      <c r="AI1189" s="1">
        <v>44539</v>
      </c>
      <c r="AJ1189" s="1">
        <v>2.5617999999999999</v>
      </c>
      <c r="AK1189" s="1">
        <v>44539</v>
      </c>
      <c r="AL1189" s="1">
        <v>2.88</v>
      </c>
      <c r="AM1189" s="1">
        <v>44539</v>
      </c>
      <c r="AN1189" s="1">
        <v>3.03</v>
      </c>
      <c r="AO1189" s="1">
        <v>44539</v>
      </c>
      <c r="AP1189" s="1">
        <v>3.19</v>
      </c>
      <c r="AQ1189" s="1">
        <v>44539</v>
      </c>
      <c r="AR1189" s="1">
        <v>3.1749999999999998</v>
      </c>
      <c r="AS1189" s="1">
        <v>44539</v>
      </c>
      <c r="AT1189" s="1">
        <v>3.125</v>
      </c>
      <c r="AU1189" s="1">
        <v>44539</v>
      </c>
      <c r="AV1189" s="1">
        <v>3.04</v>
      </c>
      <c r="AW1189" s="1">
        <v>44539</v>
      </c>
      <c r="AX1189" s="1">
        <v>3.01</v>
      </c>
      <c r="AY1189" s="1">
        <v>44539</v>
      </c>
      <c r="AZ1189" s="1">
        <v>3</v>
      </c>
      <c r="BB1189" s="1">
        <v>44453</v>
      </c>
      <c r="BC1189" s="1">
        <v>0.75</v>
      </c>
      <c r="BD1189" s="1">
        <v>44475</v>
      </c>
      <c r="BE1189" s="1">
        <v>1.89</v>
      </c>
      <c r="BF1189" s="1">
        <v>44539</v>
      </c>
      <c r="BG1189" s="1">
        <v>3.57</v>
      </c>
      <c r="BH1189" s="1">
        <v>44539</v>
      </c>
      <c r="BI1189" s="1">
        <v>3.9049999999999998</v>
      </c>
      <c r="BJ1189" s="1">
        <v>44539</v>
      </c>
      <c r="BK1189" s="1">
        <v>3.9950000000000001</v>
      </c>
      <c r="BL1189" s="1">
        <v>44539</v>
      </c>
      <c r="BM1189" s="1">
        <v>3.98</v>
      </c>
      <c r="BN1189" s="1">
        <v>44538</v>
      </c>
      <c r="BO1189" s="1">
        <v>3.7730000000000001</v>
      </c>
      <c r="BP1189" s="1">
        <v>44539</v>
      </c>
      <c r="BQ1189" s="1">
        <v>3.55</v>
      </c>
      <c r="BR1189" s="1">
        <v>44539</v>
      </c>
      <c r="BS1189" s="1">
        <v>3.3180000000000001</v>
      </c>
      <c r="BT1189" s="1">
        <v>44539</v>
      </c>
      <c r="BU1189" s="1">
        <v>3.153</v>
      </c>
      <c r="BV1189" s="1">
        <v>44539</v>
      </c>
      <c r="BW1189" s="1">
        <v>3.0379999999999998</v>
      </c>
      <c r="CA1189" s="1">
        <v>44468</v>
      </c>
      <c r="CB1189" s="1">
        <v>1.77</v>
      </c>
      <c r="CC1189" s="1">
        <v>44539</v>
      </c>
      <c r="CD1189" s="1">
        <v>4.04</v>
      </c>
      <c r="CE1189" s="1">
        <v>44539</v>
      </c>
      <c r="CF1189" s="1">
        <v>4.32</v>
      </c>
      <c r="CG1189" s="1">
        <v>44539</v>
      </c>
      <c r="CH1189" s="1">
        <v>4.6100000000000003</v>
      </c>
      <c r="CI1189" s="1">
        <v>44539</v>
      </c>
      <c r="CJ1189" s="1">
        <v>4.6900000000000004</v>
      </c>
      <c r="CK1189" s="1">
        <v>44539</v>
      </c>
      <c r="CL1189" s="1">
        <v>4.6449999999999996</v>
      </c>
      <c r="CM1189" s="1">
        <v>44531</v>
      </c>
      <c r="CN1189" s="1">
        <v>4.46</v>
      </c>
      <c r="CO1189" s="1">
        <v>44523</v>
      </c>
      <c r="CP1189" s="1">
        <v>5.0999999999999996</v>
      </c>
      <c r="CQ1189" s="1">
        <v>44523</v>
      </c>
      <c r="CR1189" s="1">
        <v>5.1150000000000002</v>
      </c>
      <c r="CS1189" s="1">
        <v>44523</v>
      </c>
      <c r="CT1189" s="1">
        <v>5.0949999999999998</v>
      </c>
    </row>
    <row r="1190" spans="31:98" x14ac:dyDescent="0.2">
      <c r="AE1190" s="1">
        <v>44530</v>
      </c>
      <c r="AF1190" s="1">
        <v>1.25</v>
      </c>
      <c r="AG1190" s="1">
        <v>44475</v>
      </c>
      <c r="AH1190" s="1">
        <v>0.25</v>
      </c>
      <c r="AI1190" s="1">
        <v>44538</v>
      </c>
      <c r="AJ1190" s="1">
        <v>2.6198999999999999</v>
      </c>
      <c r="AK1190" s="1">
        <v>44538</v>
      </c>
      <c r="AL1190" s="1">
        <v>2.9849000000000001</v>
      </c>
      <c r="AM1190" s="1">
        <v>44538</v>
      </c>
      <c r="AN1190" s="1">
        <v>2.88</v>
      </c>
      <c r="AO1190" s="1">
        <v>44538</v>
      </c>
      <c r="AP1190" s="1">
        <v>3.0950000000000002</v>
      </c>
      <c r="AQ1190" s="1">
        <v>44538</v>
      </c>
      <c r="AR1190" s="1">
        <v>3.0644999999999998</v>
      </c>
      <c r="AS1190" s="1">
        <v>44538</v>
      </c>
      <c r="AT1190" s="1">
        <v>3.0649999999999999</v>
      </c>
      <c r="AU1190" s="1">
        <v>44538</v>
      </c>
      <c r="AV1190" s="1">
        <v>3.0049999999999999</v>
      </c>
      <c r="AW1190" s="1">
        <v>44538</v>
      </c>
      <c r="AX1190" s="1">
        <v>2.9550000000000001</v>
      </c>
      <c r="AY1190" s="1">
        <v>44538</v>
      </c>
      <c r="AZ1190" s="1">
        <v>2.915</v>
      </c>
      <c r="BD1190" s="1">
        <v>44474</v>
      </c>
      <c r="BE1190" s="1">
        <v>1.86</v>
      </c>
      <c r="BF1190" s="1">
        <v>44538</v>
      </c>
      <c r="BG1190" s="1">
        <v>3.5249999999999999</v>
      </c>
      <c r="BH1190" s="1">
        <v>44538</v>
      </c>
      <c r="BI1190" s="1">
        <v>3.835</v>
      </c>
      <c r="BJ1190" s="1">
        <v>44538</v>
      </c>
      <c r="BK1190" s="1">
        <v>3.948</v>
      </c>
      <c r="BL1190" s="1">
        <v>44538</v>
      </c>
      <c r="BM1190" s="1">
        <v>3.92</v>
      </c>
      <c r="BN1190" s="1">
        <v>44537</v>
      </c>
      <c r="BO1190" s="1">
        <v>3.77</v>
      </c>
      <c r="BP1190" s="1">
        <v>44538</v>
      </c>
      <c r="BQ1190" s="1">
        <v>3.4950000000000001</v>
      </c>
      <c r="BR1190" s="1">
        <v>44538</v>
      </c>
      <c r="BS1190" s="1">
        <v>3.2679999999999998</v>
      </c>
      <c r="BT1190" s="1">
        <v>44538</v>
      </c>
      <c r="BU1190" s="1">
        <v>3.1080000000000001</v>
      </c>
      <c r="BV1190" s="1">
        <v>44538</v>
      </c>
      <c r="BW1190" s="1">
        <v>2.9929999999999999</v>
      </c>
      <c r="CA1190" s="1">
        <v>44467</v>
      </c>
      <c r="CB1190" s="1">
        <v>1.78</v>
      </c>
      <c r="CC1190" s="1">
        <v>44538</v>
      </c>
      <c r="CD1190" s="1">
        <v>3.492</v>
      </c>
      <c r="CE1190" s="1">
        <v>44538</v>
      </c>
      <c r="CF1190" s="1">
        <v>4.34</v>
      </c>
      <c r="CG1190" s="1">
        <v>44538</v>
      </c>
      <c r="CH1190" s="1">
        <v>4.6100000000000003</v>
      </c>
      <c r="CI1190" s="1">
        <v>44538</v>
      </c>
      <c r="CJ1190" s="1">
        <v>4.68</v>
      </c>
      <c r="CK1190" s="1">
        <v>44538</v>
      </c>
      <c r="CL1190" s="1">
        <v>4.66</v>
      </c>
      <c r="CM1190" s="1">
        <v>44530</v>
      </c>
      <c r="CN1190" s="1">
        <v>4.3600000000000003</v>
      </c>
      <c r="CO1190" s="1">
        <v>44522</v>
      </c>
      <c r="CP1190" s="1">
        <v>4.7874999999999996</v>
      </c>
      <c r="CQ1190" s="1">
        <v>44522</v>
      </c>
      <c r="CR1190" s="1">
        <v>4.8425000000000002</v>
      </c>
      <c r="CS1190" s="1">
        <v>44522</v>
      </c>
      <c r="CT1190" s="1">
        <v>4.8650000000000002</v>
      </c>
    </row>
    <row r="1191" spans="31:98" x14ac:dyDescent="0.2">
      <c r="AE1191" s="1">
        <v>44529</v>
      </c>
      <c r="AF1191" s="1">
        <v>1.25</v>
      </c>
      <c r="AG1191" s="1">
        <v>44474</v>
      </c>
      <c r="AH1191" s="1">
        <v>0.25</v>
      </c>
      <c r="AI1191" s="1">
        <v>44537</v>
      </c>
      <c r="AJ1191" s="1">
        <v>2.7953000000000001</v>
      </c>
      <c r="AK1191" s="1">
        <v>44537</v>
      </c>
      <c r="AL1191" s="1">
        <v>2.9908000000000001</v>
      </c>
      <c r="AM1191" s="1">
        <v>44537</v>
      </c>
      <c r="AN1191" s="1">
        <v>3.0849000000000002</v>
      </c>
      <c r="AO1191" s="1">
        <v>44537</v>
      </c>
      <c r="AP1191" s="1">
        <v>3.3167</v>
      </c>
      <c r="AQ1191" s="1">
        <v>44537</v>
      </c>
      <c r="AR1191" s="1">
        <v>3.2606000000000002</v>
      </c>
      <c r="AS1191" s="1">
        <v>44537</v>
      </c>
      <c r="AT1191" s="1">
        <v>3.17</v>
      </c>
      <c r="AU1191" s="1">
        <v>44537</v>
      </c>
      <c r="AV1191" s="1">
        <v>3.1</v>
      </c>
      <c r="AW1191" s="1">
        <v>44537</v>
      </c>
      <c r="AX1191" s="1">
        <v>3.06</v>
      </c>
      <c r="AY1191" s="1">
        <v>44537</v>
      </c>
      <c r="AZ1191" s="1">
        <v>3.06</v>
      </c>
      <c r="BD1191" s="1">
        <v>44473</v>
      </c>
      <c r="BE1191" s="1">
        <v>1.83</v>
      </c>
      <c r="BF1191" s="1">
        <v>44537</v>
      </c>
      <c r="BG1191" s="1">
        <v>3.51</v>
      </c>
      <c r="BH1191" s="1">
        <v>44537</v>
      </c>
      <c r="BI1191" s="1">
        <v>3.7850000000000001</v>
      </c>
      <c r="BJ1191" s="1">
        <v>44537</v>
      </c>
      <c r="BK1191" s="1">
        <v>3.903</v>
      </c>
      <c r="BL1191" s="1">
        <v>44537</v>
      </c>
      <c r="BM1191" s="1">
        <v>3.9</v>
      </c>
      <c r="BN1191" s="1">
        <v>44536</v>
      </c>
      <c r="BO1191" s="1">
        <v>3.77</v>
      </c>
      <c r="BP1191" s="1">
        <v>44537</v>
      </c>
      <c r="BQ1191" s="1">
        <v>3.51</v>
      </c>
      <c r="BR1191" s="1">
        <v>44537</v>
      </c>
      <c r="BS1191" s="1">
        <v>3.3</v>
      </c>
      <c r="BT1191" s="1">
        <v>44537</v>
      </c>
      <c r="BU1191" s="1">
        <v>3.14</v>
      </c>
      <c r="BV1191" s="1">
        <v>44537</v>
      </c>
      <c r="BW1191" s="1">
        <v>3.0230000000000001</v>
      </c>
      <c r="CA1191" s="1">
        <v>44466</v>
      </c>
      <c r="CB1191" s="1">
        <v>1.77</v>
      </c>
      <c r="CC1191" s="1">
        <v>44537</v>
      </c>
      <c r="CD1191" s="1">
        <v>3.4470000000000001</v>
      </c>
      <c r="CE1191" s="1">
        <v>44537</v>
      </c>
      <c r="CF1191" s="1">
        <v>4.1399999999999997</v>
      </c>
      <c r="CG1191" s="1">
        <v>44537</v>
      </c>
      <c r="CH1191" s="1">
        <v>4.4000000000000004</v>
      </c>
      <c r="CI1191" s="1">
        <v>44537</v>
      </c>
      <c r="CJ1191" s="1">
        <v>4.45</v>
      </c>
      <c r="CK1191" s="1">
        <v>44537</v>
      </c>
      <c r="CL1191" s="1">
        <v>4.42</v>
      </c>
      <c r="CM1191" s="1">
        <v>44529</v>
      </c>
      <c r="CN1191" s="1">
        <v>4.45</v>
      </c>
      <c r="CO1191" s="1">
        <v>44519</v>
      </c>
      <c r="CP1191" s="1">
        <v>4.6074999999999999</v>
      </c>
      <c r="CQ1191" s="1">
        <v>44519</v>
      </c>
      <c r="CR1191" s="1">
        <v>4.6849999999999996</v>
      </c>
      <c r="CS1191" s="1">
        <v>44519</v>
      </c>
      <c r="CT1191" s="1">
        <v>4.7450000000000001</v>
      </c>
    </row>
    <row r="1192" spans="31:98" x14ac:dyDescent="0.2">
      <c r="AE1192" s="1">
        <v>44526</v>
      </c>
      <c r="AF1192" s="1">
        <v>1.25</v>
      </c>
      <c r="AG1192" s="1">
        <v>44473</v>
      </c>
      <c r="AH1192" s="1">
        <v>0.25</v>
      </c>
      <c r="AI1192" s="1">
        <v>44536</v>
      </c>
      <c r="AJ1192" s="1">
        <v>2.8170000000000002</v>
      </c>
      <c r="AK1192" s="1">
        <v>44536</v>
      </c>
      <c r="AL1192" s="1">
        <v>2.96</v>
      </c>
      <c r="AM1192" s="1">
        <v>44536</v>
      </c>
      <c r="AN1192" s="1">
        <v>3.125</v>
      </c>
      <c r="AO1192" s="1">
        <v>44536</v>
      </c>
      <c r="AP1192" s="1">
        <v>3.36</v>
      </c>
      <c r="AQ1192" s="1">
        <v>44536</v>
      </c>
      <c r="AR1192" s="1">
        <v>3.3224999999999998</v>
      </c>
      <c r="AS1192" s="1">
        <v>44536</v>
      </c>
      <c r="AT1192" s="1">
        <v>3.2425000000000002</v>
      </c>
      <c r="AU1192" s="1">
        <v>44536</v>
      </c>
      <c r="AV1192" s="1">
        <v>3.1524999999999999</v>
      </c>
      <c r="AW1192" s="1">
        <v>44536</v>
      </c>
      <c r="AX1192" s="1">
        <v>3.0874999999999999</v>
      </c>
      <c r="AY1192" s="1">
        <v>44536</v>
      </c>
      <c r="AZ1192" s="1">
        <v>3.0575000000000001</v>
      </c>
      <c r="BD1192" s="1">
        <v>44470</v>
      </c>
      <c r="BE1192" s="1">
        <v>1.82</v>
      </c>
      <c r="BF1192" s="1">
        <v>44536</v>
      </c>
      <c r="BG1192" s="1">
        <v>3.49</v>
      </c>
      <c r="BH1192" s="1">
        <v>44536</v>
      </c>
      <c r="BI1192" s="1">
        <v>3.76</v>
      </c>
      <c r="BJ1192" s="1">
        <v>44536</v>
      </c>
      <c r="BK1192" s="1">
        <v>3.895</v>
      </c>
      <c r="BL1192" s="1">
        <v>44536</v>
      </c>
      <c r="BM1192" s="1">
        <v>3.895</v>
      </c>
      <c r="BN1192" s="1">
        <v>44533</v>
      </c>
      <c r="BO1192" s="1">
        <v>3.85</v>
      </c>
      <c r="BP1192" s="1">
        <v>44536</v>
      </c>
      <c r="BQ1192" s="1">
        <v>3.52</v>
      </c>
      <c r="BR1192" s="1">
        <v>44536</v>
      </c>
      <c r="BS1192" s="1">
        <v>3.31</v>
      </c>
      <c r="BT1192" s="1">
        <v>44536</v>
      </c>
      <c r="BU1192" s="1">
        <v>3.145</v>
      </c>
      <c r="BV1192" s="1">
        <v>44536</v>
      </c>
      <c r="BW1192" s="1">
        <v>3.0329999999999999</v>
      </c>
      <c r="CA1192" s="1">
        <v>44463</v>
      </c>
      <c r="CB1192" s="1">
        <v>1.76</v>
      </c>
      <c r="CC1192" s="1">
        <v>44536</v>
      </c>
      <c r="CD1192" s="1">
        <v>3.97</v>
      </c>
      <c r="CE1192" s="1">
        <v>44536</v>
      </c>
      <c r="CF1192" s="1">
        <v>4.1399999999999997</v>
      </c>
      <c r="CG1192" s="1">
        <v>44536</v>
      </c>
      <c r="CH1192" s="1">
        <v>4.4000000000000004</v>
      </c>
      <c r="CI1192" s="1">
        <v>44536</v>
      </c>
      <c r="CJ1192" s="1">
        <v>4.4400000000000004</v>
      </c>
      <c r="CK1192" s="1">
        <v>44536</v>
      </c>
      <c r="CL1192" s="1">
        <v>4.3499999999999996</v>
      </c>
      <c r="CM1192" s="1">
        <v>44526</v>
      </c>
      <c r="CN1192" s="1">
        <v>4.3899999999999997</v>
      </c>
      <c r="CO1192" s="1">
        <v>44518</v>
      </c>
      <c r="CP1192" s="1">
        <v>4.59</v>
      </c>
      <c r="CQ1192" s="1">
        <v>44518</v>
      </c>
      <c r="CR1192" s="1">
        <v>4.6550000000000002</v>
      </c>
      <c r="CS1192" s="1">
        <v>44518</v>
      </c>
      <c r="CT1192" s="1">
        <v>4.6875</v>
      </c>
    </row>
    <row r="1193" spans="31:98" x14ac:dyDescent="0.2">
      <c r="AE1193" s="1">
        <v>44525</v>
      </c>
      <c r="AF1193" s="1">
        <v>1.25</v>
      </c>
      <c r="AG1193" s="1">
        <v>44470</v>
      </c>
      <c r="AH1193" s="1">
        <v>0.24</v>
      </c>
      <c r="AI1193" s="1">
        <v>44533</v>
      </c>
      <c r="AJ1193" s="1">
        <v>2.7997000000000001</v>
      </c>
      <c r="AK1193" s="1">
        <v>44533</v>
      </c>
      <c r="AL1193" s="1">
        <v>2.95</v>
      </c>
      <c r="AM1193" s="1">
        <v>44533</v>
      </c>
      <c r="AN1193" s="1">
        <v>3.2149999999999999</v>
      </c>
      <c r="AO1193" s="1">
        <v>44533</v>
      </c>
      <c r="AP1193" s="1">
        <v>3.4049999999999998</v>
      </c>
      <c r="AQ1193" s="1">
        <v>44533</v>
      </c>
      <c r="AR1193" s="1">
        <v>3.39</v>
      </c>
      <c r="AS1193" s="1">
        <v>44533</v>
      </c>
      <c r="AT1193" s="1">
        <v>3.3</v>
      </c>
      <c r="AU1193" s="1">
        <v>44533</v>
      </c>
      <c r="AV1193" s="1">
        <v>3.21</v>
      </c>
      <c r="AW1193" s="1">
        <v>44533</v>
      </c>
      <c r="AX1193" s="1">
        <v>3.1850000000000001</v>
      </c>
      <c r="AY1193" s="1">
        <v>44533</v>
      </c>
      <c r="AZ1193" s="1">
        <v>3.16</v>
      </c>
      <c r="BD1193" s="1">
        <v>44469</v>
      </c>
      <c r="BE1193" s="1">
        <v>1.24</v>
      </c>
      <c r="BF1193" s="1">
        <v>44533</v>
      </c>
      <c r="BG1193" s="1">
        <v>3.49</v>
      </c>
      <c r="BH1193" s="1">
        <v>44533</v>
      </c>
      <c r="BI1193" s="1">
        <v>3.605</v>
      </c>
      <c r="BJ1193" s="1">
        <v>44533</v>
      </c>
      <c r="BK1193" s="1">
        <v>3.923</v>
      </c>
      <c r="BL1193" s="1">
        <v>44533</v>
      </c>
      <c r="BM1193" s="1">
        <v>3.9249999999999998</v>
      </c>
      <c r="BN1193" s="1">
        <v>44532</v>
      </c>
      <c r="BO1193" s="1">
        <v>3.88</v>
      </c>
      <c r="BP1193" s="1">
        <v>44533</v>
      </c>
      <c r="BQ1193" s="1">
        <v>3.6030000000000002</v>
      </c>
      <c r="BR1193" s="1">
        <v>44533</v>
      </c>
      <c r="BS1193" s="1">
        <v>3.39</v>
      </c>
      <c r="BT1193" s="1">
        <v>44533</v>
      </c>
      <c r="BU1193" s="1">
        <v>3.21</v>
      </c>
      <c r="BV1193" s="1">
        <v>44533</v>
      </c>
      <c r="BW1193" s="1">
        <v>3.11</v>
      </c>
      <c r="CA1193" s="1">
        <v>44462</v>
      </c>
      <c r="CB1193" s="1">
        <v>1.74</v>
      </c>
      <c r="CC1193" s="1">
        <v>44533</v>
      </c>
      <c r="CD1193" s="1">
        <v>3.47</v>
      </c>
      <c r="CE1193" s="1">
        <v>44533</v>
      </c>
      <c r="CF1193" s="1">
        <v>4.2</v>
      </c>
      <c r="CG1193" s="1">
        <v>44533</v>
      </c>
      <c r="CH1193" s="1">
        <v>4.47</v>
      </c>
      <c r="CI1193" s="1">
        <v>44533</v>
      </c>
      <c r="CJ1193" s="1">
        <v>4.54</v>
      </c>
      <c r="CK1193" s="1">
        <v>44533</v>
      </c>
      <c r="CL1193" s="1">
        <v>4.47</v>
      </c>
      <c r="CM1193" s="1">
        <v>44525</v>
      </c>
      <c r="CN1193" s="1">
        <v>4.75</v>
      </c>
      <c r="CO1193" s="1">
        <v>44517</v>
      </c>
      <c r="CP1193" s="1">
        <v>4.2774999999999999</v>
      </c>
      <c r="CQ1193" s="1">
        <v>44517</v>
      </c>
      <c r="CR1193" s="1">
        <v>4.3274999999999997</v>
      </c>
      <c r="CS1193" s="1">
        <v>44517</v>
      </c>
      <c r="CT1193" s="1">
        <v>4.3499999999999996</v>
      </c>
    </row>
    <row r="1194" spans="31:98" x14ac:dyDescent="0.2">
      <c r="AE1194" s="1">
        <v>44524</v>
      </c>
      <c r="AF1194" s="1">
        <v>1.25</v>
      </c>
      <c r="AG1194" s="1">
        <v>44469</v>
      </c>
      <c r="AH1194" s="1">
        <v>0.23</v>
      </c>
      <c r="AI1194" s="1">
        <v>44532</v>
      </c>
      <c r="AJ1194" s="1">
        <v>2.79</v>
      </c>
      <c r="AK1194" s="1">
        <v>44532</v>
      </c>
      <c r="AL1194" s="1">
        <v>2.91</v>
      </c>
      <c r="AM1194" s="1">
        <v>44532</v>
      </c>
      <c r="AN1194" s="1">
        <v>3.0625</v>
      </c>
      <c r="AO1194" s="1">
        <v>44532</v>
      </c>
      <c r="AP1194" s="1">
        <v>3.3725000000000001</v>
      </c>
      <c r="AQ1194" s="1">
        <v>44532</v>
      </c>
      <c r="AR1194" s="1">
        <v>3.3925000000000001</v>
      </c>
      <c r="AS1194" s="1">
        <v>44532</v>
      </c>
      <c r="AT1194" s="1">
        <v>3.32</v>
      </c>
      <c r="AU1194" s="1">
        <v>44532</v>
      </c>
      <c r="AV1194" s="1">
        <v>3.2650000000000001</v>
      </c>
      <c r="AW1194" s="1">
        <v>44532</v>
      </c>
      <c r="AX1194" s="1">
        <v>3.2450000000000001</v>
      </c>
      <c r="AY1194" s="1">
        <v>44532</v>
      </c>
      <c r="AZ1194" s="1">
        <v>3.2149999999999999</v>
      </c>
      <c r="BD1194" s="1">
        <v>44468</v>
      </c>
      <c r="BE1194" s="1">
        <v>1.2</v>
      </c>
      <c r="BF1194" s="1">
        <v>44532</v>
      </c>
      <c r="BG1194" s="1">
        <v>3.508</v>
      </c>
      <c r="BH1194" s="1">
        <v>44532</v>
      </c>
      <c r="BI1194" s="1">
        <v>3.61</v>
      </c>
      <c r="BJ1194" s="1">
        <v>44532</v>
      </c>
      <c r="BK1194" s="1">
        <v>3.94</v>
      </c>
      <c r="BL1194" s="1">
        <v>44532</v>
      </c>
      <c r="BM1194" s="1">
        <v>3.95</v>
      </c>
      <c r="BN1194" s="1">
        <v>44531</v>
      </c>
      <c r="BO1194" s="1">
        <v>3.89</v>
      </c>
      <c r="BP1194" s="1">
        <v>44532</v>
      </c>
      <c r="BQ1194" s="1">
        <v>3.6349999999999998</v>
      </c>
      <c r="BR1194" s="1">
        <v>44532</v>
      </c>
      <c r="BS1194" s="1">
        <v>3.423</v>
      </c>
      <c r="BT1194" s="1">
        <v>44532</v>
      </c>
      <c r="BU1194" s="1">
        <v>3.2429999999999999</v>
      </c>
      <c r="BV1194" s="1">
        <v>44532</v>
      </c>
      <c r="BW1194" s="1">
        <v>3.1429999999999998</v>
      </c>
      <c r="CA1194" s="1">
        <v>44461</v>
      </c>
      <c r="CB1194" s="1">
        <v>1.72</v>
      </c>
      <c r="CC1194" s="1">
        <v>44532</v>
      </c>
      <c r="CD1194" s="1">
        <v>3.44</v>
      </c>
      <c r="CE1194" s="1">
        <v>44532</v>
      </c>
      <c r="CF1194" s="1">
        <v>4.1900000000000004</v>
      </c>
      <c r="CG1194" s="1">
        <v>44532</v>
      </c>
      <c r="CH1194" s="1">
        <v>4.46</v>
      </c>
      <c r="CI1194" s="1">
        <v>44532</v>
      </c>
      <c r="CJ1194" s="1">
        <v>4.53</v>
      </c>
      <c r="CK1194" s="1">
        <v>44532</v>
      </c>
      <c r="CL1194" s="1">
        <v>4.4800000000000004</v>
      </c>
      <c r="CM1194" s="1">
        <v>44524</v>
      </c>
      <c r="CN1194" s="1">
        <v>5.0199999999999996</v>
      </c>
      <c r="CO1194" s="1">
        <v>44516</v>
      </c>
      <c r="CP1194" s="1">
        <v>4.25</v>
      </c>
      <c r="CQ1194" s="1">
        <v>44516</v>
      </c>
      <c r="CR1194" s="1">
        <v>4.29</v>
      </c>
      <c r="CS1194" s="1">
        <v>44516</v>
      </c>
      <c r="CT1194" s="1">
        <v>4.3099999999999996</v>
      </c>
    </row>
    <row r="1195" spans="31:98" x14ac:dyDescent="0.2">
      <c r="AE1195" s="1">
        <v>44523</v>
      </c>
      <c r="AF1195" s="1">
        <v>1.25</v>
      </c>
      <c r="AG1195" s="1">
        <v>44468</v>
      </c>
      <c r="AH1195" s="1">
        <v>0.24</v>
      </c>
      <c r="AI1195" s="1">
        <v>44531</v>
      </c>
      <c r="AJ1195" s="1">
        <v>2.5920000000000001</v>
      </c>
      <c r="AK1195" s="1">
        <v>44531</v>
      </c>
      <c r="AL1195" s="1">
        <v>2.8149999999999999</v>
      </c>
      <c r="AM1195" s="1">
        <v>44531</v>
      </c>
      <c r="AN1195" s="1">
        <v>2.9350000000000001</v>
      </c>
      <c r="AO1195" s="1">
        <v>44531</v>
      </c>
      <c r="AP1195" s="1">
        <v>3.23</v>
      </c>
      <c r="AQ1195" s="1">
        <v>44531</v>
      </c>
      <c r="AR1195" s="1">
        <v>3.2324999999999999</v>
      </c>
      <c r="AS1195" s="1">
        <v>44531</v>
      </c>
      <c r="AT1195" s="1">
        <v>3.1949999999999998</v>
      </c>
      <c r="AU1195" s="1">
        <v>44531</v>
      </c>
      <c r="AV1195" s="1">
        <v>3.11</v>
      </c>
      <c r="AW1195" s="1">
        <v>44531</v>
      </c>
      <c r="AX1195" s="1">
        <v>3.09</v>
      </c>
      <c r="AY1195" s="1">
        <v>44531</v>
      </c>
      <c r="AZ1195" s="1">
        <v>3.13</v>
      </c>
      <c r="BD1195" s="1">
        <v>44466</v>
      </c>
      <c r="BE1195" s="1">
        <v>1.17</v>
      </c>
      <c r="BF1195" s="1">
        <v>44531</v>
      </c>
      <c r="BG1195" s="1">
        <v>3.53</v>
      </c>
      <c r="BH1195" s="1">
        <v>44531</v>
      </c>
      <c r="BI1195" s="1">
        <v>3.61</v>
      </c>
      <c r="BJ1195" s="1">
        <v>44531</v>
      </c>
      <c r="BK1195" s="1">
        <v>3.9580000000000002</v>
      </c>
      <c r="BL1195" s="1">
        <v>44531</v>
      </c>
      <c r="BM1195" s="1">
        <v>3.99</v>
      </c>
      <c r="BN1195" s="1">
        <v>44530</v>
      </c>
      <c r="BO1195" s="1">
        <v>3.7050000000000001</v>
      </c>
      <c r="BP1195" s="1">
        <v>44531</v>
      </c>
      <c r="BQ1195" s="1">
        <v>3.63</v>
      </c>
      <c r="BR1195" s="1">
        <v>44531</v>
      </c>
      <c r="BS1195" s="1">
        <v>3.4279999999999999</v>
      </c>
      <c r="BT1195" s="1">
        <v>44531</v>
      </c>
      <c r="BU1195" s="1">
        <v>3.2650000000000001</v>
      </c>
      <c r="BV1195" s="1">
        <v>44531</v>
      </c>
      <c r="BW1195" s="1">
        <v>3.1629999999999998</v>
      </c>
      <c r="CA1195" s="1">
        <v>44460</v>
      </c>
      <c r="CB1195" s="1">
        <v>1.66</v>
      </c>
      <c r="CC1195" s="1">
        <v>44531</v>
      </c>
      <c r="CD1195" s="1">
        <v>3.8925000000000001</v>
      </c>
      <c r="CE1195" s="1">
        <v>44531</v>
      </c>
      <c r="CF1195" s="1">
        <v>4.18</v>
      </c>
      <c r="CG1195" s="1">
        <v>44531</v>
      </c>
      <c r="CH1195" s="1">
        <v>4.46</v>
      </c>
      <c r="CI1195" s="1">
        <v>44531</v>
      </c>
      <c r="CJ1195" s="1">
        <v>4.54</v>
      </c>
      <c r="CK1195" s="1">
        <v>44531</v>
      </c>
      <c r="CL1195" s="1">
        <v>4.53</v>
      </c>
      <c r="CM1195" s="1">
        <v>44523</v>
      </c>
      <c r="CN1195" s="1">
        <v>5.0599999999999996</v>
      </c>
      <c r="CO1195" s="1">
        <v>44515</v>
      </c>
      <c r="CP1195" s="1">
        <v>4.2275</v>
      </c>
      <c r="CQ1195" s="1">
        <v>44515</v>
      </c>
      <c r="CR1195" s="1">
        <v>4.2625000000000002</v>
      </c>
      <c r="CS1195" s="1">
        <v>44515</v>
      </c>
      <c r="CT1195" s="1">
        <v>4.2925000000000004</v>
      </c>
    </row>
    <row r="1196" spans="31:98" x14ac:dyDescent="0.2">
      <c r="AE1196" s="1">
        <v>44522</v>
      </c>
      <c r="AF1196" s="1">
        <v>1.25</v>
      </c>
      <c r="AG1196" s="1">
        <v>44467</v>
      </c>
      <c r="AH1196" s="1">
        <v>0.24</v>
      </c>
      <c r="AI1196" s="1">
        <v>44530</v>
      </c>
      <c r="AJ1196" s="1">
        <v>2.4809999999999999</v>
      </c>
      <c r="AK1196" s="1">
        <v>44530</v>
      </c>
      <c r="AL1196" s="1">
        <v>2.665</v>
      </c>
      <c r="AM1196" s="1">
        <v>44530</v>
      </c>
      <c r="AN1196" s="1">
        <v>2.8149999999999999</v>
      </c>
      <c r="AO1196" s="1">
        <v>44530</v>
      </c>
      <c r="AP1196" s="1">
        <v>3.1549999999999998</v>
      </c>
      <c r="AQ1196" s="1">
        <v>44530</v>
      </c>
      <c r="AR1196" s="1">
        <v>3.1749999999999998</v>
      </c>
      <c r="AS1196" s="1">
        <v>44530</v>
      </c>
      <c r="AT1196" s="1">
        <v>3.09</v>
      </c>
      <c r="AU1196" s="1">
        <v>44530</v>
      </c>
      <c r="AV1196" s="1">
        <v>3.01</v>
      </c>
      <c r="AW1196" s="1">
        <v>44530</v>
      </c>
      <c r="AX1196" s="1">
        <v>3</v>
      </c>
      <c r="AY1196" s="1">
        <v>44530</v>
      </c>
      <c r="AZ1196" s="1">
        <v>3.0449999999999999</v>
      </c>
      <c r="BD1196" s="1">
        <v>44463</v>
      </c>
      <c r="BE1196" s="1">
        <v>1.17</v>
      </c>
      <c r="BF1196" s="1">
        <v>44530</v>
      </c>
      <c r="BG1196" s="1">
        <v>3.4249999999999998</v>
      </c>
      <c r="BH1196" s="1">
        <v>44530</v>
      </c>
      <c r="BI1196" s="1">
        <v>3.51</v>
      </c>
      <c r="BJ1196" s="1">
        <v>44530</v>
      </c>
      <c r="BK1196" s="1">
        <v>3.81</v>
      </c>
      <c r="BL1196" s="1">
        <v>44530</v>
      </c>
      <c r="BM1196" s="1">
        <v>3.81</v>
      </c>
      <c r="BN1196" s="1">
        <v>44529</v>
      </c>
      <c r="BO1196" s="1">
        <v>3.7280000000000002</v>
      </c>
      <c r="BP1196" s="1">
        <v>44530</v>
      </c>
      <c r="BQ1196" s="1">
        <v>3.488</v>
      </c>
      <c r="BR1196" s="1">
        <v>44530</v>
      </c>
      <c r="BS1196" s="1">
        <v>3.323</v>
      </c>
      <c r="BT1196" s="1">
        <v>44530</v>
      </c>
      <c r="BU1196" s="1">
        <v>3.173</v>
      </c>
      <c r="BV1196" s="1">
        <v>44530</v>
      </c>
      <c r="BW1196" s="1">
        <v>3.0779999999999998</v>
      </c>
      <c r="CA1196" s="1">
        <v>44459</v>
      </c>
      <c r="CB1196" s="1">
        <v>1.64</v>
      </c>
      <c r="CC1196" s="1">
        <v>44530</v>
      </c>
      <c r="CD1196" s="1">
        <v>3.879</v>
      </c>
      <c r="CE1196" s="1">
        <v>44530</v>
      </c>
      <c r="CF1196" s="1">
        <v>4.21</v>
      </c>
      <c r="CG1196" s="1">
        <v>44530</v>
      </c>
      <c r="CH1196" s="1">
        <v>4.42</v>
      </c>
      <c r="CI1196" s="1">
        <v>44530</v>
      </c>
      <c r="CJ1196" s="1">
        <v>4.49</v>
      </c>
      <c r="CK1196" s="1">
        <v>44530</v>
      </c>
      <c r="CL1196" s="1">
        <v>4.4349999999999996</v>
      </c>
      <c r="CM1196" s="1">
        <v>44522</v>
      </c>
      <c r="CN1196" s="1">
        <v>4.6825000000000001</v>
      </c>
      <c r="CO1196" s="1">
        <v>44512</v>
      </c>
      <c r="CP1196" s="1">
        <v>4.3125</v>
      </c>
      <c r="CQ1196" s="1">
        <v>44512</v>
      </c>
      <c r="CR1196" s="1">
        <v>4.3674999999999997</v>
      </c>
      <c r="CS1196" s="1">
        <v>44512</v>
      </c>
      <c r="CT1196" s="1">
        <v>4.4024999999999999</v>
      </c>
    </row>
    <row r="1197" spans="31:98" x14ac:dyDescent="0.2">
      <c r="AE1197" s="1">
        <v>44519</v>
      </c>
      <c r="AF1197" s="1">
        <v>1.25</v>
      </c>
      <c r="AG1197" s="1">
        <v>44466</v>
      </c>
      <c r="AH1197" s="1">
        <v>0.24</v>
      </c>
      <c r="AI1197" s="1">
        <v>44529</v>
      </c>
      <c r="AJ1197" s="1">
        <v>2.492</v>
      </c>
      <c r="AK1197" s="1">
        <v>44529</v>
      </c>
      <c r="AL1197" s="1">
        <v>2.66</v>
      </c>
      <c r="AM1197" s="1">
        <v>44529</v>
      </c>
      <c r="AN1197" s="1">
        <v>2.8050000000000002</v>
      </c>
      <c r="AO1197" s="1">
        <v>44529</v>
      </c>
      <c r="AP1197" s="1">
        <v>3.145</v>
      </c>
      <c r="AQ1197" s="1">
        <v>44529</v>
      </c>
      <c r="AR1197" s="1">
        <v>3.16</v>
      </c>
      <c r="AS1197" s="1">
        <v>44529</v>
      </c>
      <c r="AT1197" s="1">
        <v>3.13</v>
      </c>
      <c r="AU1197" s="1">
        <v>44529</v>
      </c>
      <c r="AV1197" s="1">
        <v>3.0649999999999999</v>
      </c>
      <c r="AW1197" s="1">
        <v>44529</v>
      </c>
      <c r="AX1197" s="1">
        <v>3.0449999999999999</v>
      </c>
      <c r="AY1197" s="1">
        <v>44529</v>
      </c>
      <c r="AZ1197" s="1">
        <v>3.0249999999999999</v>
      </c>
      <c r="BD1197" s="1">
        <v>44462</v>
      </c>
      <c r="BE1197" s="1">
        <v>1.1599999999999999</v>
      </c>
      <c r="BF1197" s="1">
        <v>44529</v>
      </c>
      <c r="BG1197" s="1">
        <v>3.4350000000000001</v>
      </c>
      <c r="BH1197" s="1">
        <v>44529</v>
      </c>
      <c r="BI1197" s="1">
        <v>3.51</v>
      </c>
      <c r="BJ1197" s="1">
        <v>44529</v>
      </c>
      <c r="BK1197" s="1">
        <v>3.831</v>
      </c>
      <c r="BL1197" s="1">
        <v>44529</v>
      </c>
      <c r="BM1197" s="1">
        <v>3.84</v>
      </c>
      <c r="BN1197" s="1">
        <v>44526</v>
      </c>
      <c r="BO1197" s="1">
        <v>3.59</v>
      </c>
      <c r="BP1197" s="1">
        <v>44529</v>
      </c>
      <c r="BQ1197" s="1">
        <v>3.5249999999999999</v>
      </c>
      <c r="BR1197" s="1">
        <v>44529</v>
      </c>
      <c r="BS1197" s="1">
        <v>3.355</v>
      </c>
      <c r="BT1197" s="1">
        <v>44529</v>
      </c>
      <c r="BU1197" s="1">
        <v>3.23</v>
      </c>
      <c r="BV1197" s="1">
        <v>44529</v>
      </c>
      <c r="BW1197" s="1">
        <v>3.145</v>
      </c>
      <c r="CA1197" s="1">
        <v>44456</v>
      </c>
      <c r="CB1197" s="1">
        <v>1.62</v>
      </c>
      <c r="CC1197" s="1">
        <v>44529</v>
      </c>
      <c r="CD1197" s="1">
        <v>3.4319999999999999</v>
      </c>
      <c r="CE1197" s="1">
        <v>44529</v>
      </c>
      <c r="CF1197" s="1">
        <v>4.1820000000000004</v>
      </c>
      <c r="CG1197" s="1">
        <v>44529</v>
      </c>
      <c r="CH1197" s="1">
        <v>4.46</v>
      </c>
      <c r="CI1197" s="1">
        <v>44529</v>
      </c>
      <c r="CJ1197" s="1">
        <v>4.51</v>
      </c>
      <c r="CK1197" s="1">
        <v>44529</v>
      </c>
      <c r="CL1197" s="1">
        <v>4.45</v>
      </c>
      <c r="CM1197" s="1">
        <v>44519</v>
      </c>
      <c r="CN1197" s="1">
        <v>4.4924999999999997</v>
      </c>
      <c r="CO1197" s="1">
        <v>44511</v>
      </c>
      <c r="CP1197" s="1">
        <v>4.29</v>
      </c>
      <c r="CQ1197" s="1">
        <v>44511</v>
      </c>
      <c r="CR1197" s="1">
        <v>4.33</v>
      </c>
      <c r="CS1197" s="1">
        <v>44511</v>
      </c>
      <c r="CT1197" s="1">
        <v>4.3600000000000003</v>
      </c>
    </row>
    <row r="1198" spans="31:98" x14ac:dyDescent="0.2">
      <c r="AE1198" s="1">
        <v>44518</v>
      </c>
      <c r="AF1198" s="1">
        <v>1.25</v>
      </c>
      <c r="AG1198" s="1">
        <v>44463</v>
      </c>
      <c r="AH1198" s="1">
        <v>0.24</v>
      </c>
      <c r="AI1198" s="1">
        <v>44526</v>
      </c>
      <c r="AJ1198" s="1">
        <v>2.4649999999999999</v>
      </c>
      <c r="AK1198" s="1">
        <v>44526</v>
      </c>
      <c r="AL1198" s="1">
        <v>2.6549999999999998</v>
      </c>
      <c r="AM1198" s="1">
        <v>44526</v>
      </c>
      <c r="AN1198" s="1">
        <v>2.9</v>
      </c>
      <c r="AO1198" s="1">
        <v>44526</v>
      </c>
      <c r="AP1198" s="1">
        <v>3.2</v>
      </c>
      <c r="AQ1198" s="1">
        <v>44526</v>
      </c>
      <c r="AR1198" s="1">
        <v>3.2</v>
      </c>
      <c r="AS1198" s="1">
        <v>44526</v>
      </c>
      <c r="AT1198" s="1">
        <v>3.16</v>
      </c>
      <c r="AU1198" s="1">
        <v>44526</v>
      </c>
      <c r="AV1198" s="1">
        <v>3.0775000000000001</v>
      </c>
      <c r="AW1198" s="1">
        <v>44526</v>
      </c>
      <c r="AX1198" s="1">
        <v>3.0525000000000002</v>
      </c>
      <c r="AY1198" s="1">
        <v>44526</v>
      </c>
      <c r="AZ1198" s="1">
        <v>3.0375000000000001</v>
      </c>
      <c r="BD1198" s="1">
        <v>44461</v>
      </c>
      <c r="BE1198" s="1">
        <v>1.1499999999999999</v>
      </c>
      <c r="BF1198" s="1">
        <v>44526</v>
      </c>
      <c r="BG1198" s="1">
        <v>3.415</v>
      </c>
      <c r="BH1198" s="1">
        <v>44526</v>
      </c>
      <c r="BI1198" s="1">
        <v>3.44</v>
      </c>
      <c r="BJ1198" s="1">
        <v>44526</v>
      </c>
      <c r="BK1198" s="1">
        <v>3.7480000000000002</v>
      </c>
      <c r="BL1198" s="1">
        <v>44526</v>
      </c>
      <c r="BM1198" s="1">
        <v>3.73</v>
      </c>
      <c r="BN1198" s="1">
        <v>44525</v>
      </c>
      <c r="BO1198" s="1">
        <v>4.1280000000000001</v>
      </c>
      <c r="BP1198" s="1">
        <v>44526</v>
      </c>
      <c r="BQ1198" s="1">
        <v>3.35</v>
      </c>
      <c r="BR1198" s="1">
        <v>44526</v>
      </c>
      <c r="BS1198" s="1">
        <v>3.173</v>
      </c>
      <c r="BT1198" s="1">
        <v>44526</v>
      </c>
      <c r="BU1198" s="1">
        <v>3.07</v>
      </c>
      <c r="BV1198" s="1">
        <v>44526</v>
      </c>
      <c r="BW1198" s="1">
        <v>2.99</v>
      </c>
      <c r="CA1198" s="1">
        <v>44455</v>
      </c>
      <c r="CB1198" s="1">
        <v>1.61</v>
      </c>
      <c r="CC1198" s="1">
        <v>44526</v>
      </c>
      <c r="CD1198" s="1">
        <v>3.327</v>
      </c>
      <c r="CE1198" s="1">
        <v>44526</v>
      </c>
      <c r="CF1198" s="1">
        <v>4.0999999999999996</v>
      </c>
      <c r="CG1198" s="1">
        <v>44526</v>
      </c>
      <c r="CH1198" s="1">
        <v>4.29</v>
      </c>
      <c r="CI1198" s="1">
        <v>44526</v>
      </c>
      <c r="CJ1198" s="1">
        <v>4.43</v>
      </c>
      <c r="CK1198" s="1">
        <v>44526</v>
      </c>
      <c r="CL1198" s="1">
        <v>4.3899999999999997</v>
      </c>
      <c r="CM1198" s="1">
        <v>44518</v>
      </c>
      <c r="CN1198" s="1">
        <v>4.4850000000000003</v>
      </c>
      <c r="CO1198" s="1">
        <v>44510</v>
      </c>
      <c r="CP1198" s="1">
        <v>4.22</v>
      </c>
      <c r="CQ1198" s="1">
        <v>44510</v>
      </c>
      <c r="CR1198" s="1">
        <v>4.32</v>
      </c>
      <c r="CS1198" s="1">
        <v>44510</v>
      </c>
      <c r="CT1198" s="1">
        <v>4.4000000000000004</v>
      </c>
    </row>
    <row r="1199" spans="31:98" x14ac:dyDescent="0.2">
      <c r="AE1199" s="1">
        <v>44517</v>
      </c>
      <c r="AF1199" s="1">
        <v>1.25</v>
      </c>
      <c r="AG1199" s="1">
        <v>44462</v>
      </c>
      <c r="AH1199" s="1">
        <v>0.24</v>
      </c>
      <c r="AI1199" s="1">
        <v>44525</v>
      </c>
      <c r="AJ1199" s="1">
        <v>2.5472000000000001</v>
      </c>
      <c r="AK1199" s="1">
        <v>44525</v>
      </c>
      <c r="AL1199" s="1">
        <v>2.94</v>
      </c>
      <c r="AM1199" s="1">
        <v>44525</v>
      </c>
      <c r="AN1199" s="1">
        <v>3.2450000000000001</v>
      </c>
      <c r="AO1199" s="1">
        <v>44525</v>
      </c>
      <c r="AP1199" s="1">
        <v>3.5625</v>
      </c>
      <c r="AQ1199" s="1">
        <v>44525</v>
      </c>
      <c r="AR1199" s="1">
        <v>3.5674999999999999</v>
      </c>
      <c r="AS1199" s="1">
        <v>44525</v>
      </c>
      <c r="AT1199" s="1">
        <v>3.5249999999999999</v>
      </c>
      <c r="AU1199" s="1">
        <v>44525</v>
      </c>
      <c r="AV1199" s="1">
        <v>3.47</v>
      </c>
      <c r="AW1199" s="1">
        <v>44525</v>
      </c>
      <c r="AX1199" s="1">
        <v>3.4449999999999998</v>
      </c>
      <c r="AY1199" s="1">
        <v>44525</v>
      </c>
      <c r="AZ1199" s="1">
        <v>3.43</v>
      </c>
      <c r="BD1199" s="1">
        <v>44460</v>
      </c>
      <c r="BE1199" s="1">
        <v>1.1399999999999999</v>
      </c>
      <c r="BF1199" s="1">
        <v>44525</v>
      </c>
      <c r="BG1199" s="1">
        <v>3.8450000000000002</v>
      </c>
      <c r="BH1199" s="1">
        <v>44525</v>
      </c>
      <c r="BI1199" s="1">
        <v>3.968</v>
      </c>
      <c r="BJ1199" s="1">
        <v>44525</v>
      </c>
      <c r="BK1199" s="1">
        <v>4.3</v>
      </c>
      <c r="BL1199" s="1">
        <v>44525</v>
      </c>
      <c r="BM1199" s="1">
        <v>4.29</v>
      </c>
      <c r="BN1199" s="1">
        <v>44524</v>
      </c>
      <c r="BO1199" s="1">
        <v>4.0880000000000001</v>
      </c>
      <c r="BP1199" s="1">
        <v>44525</v>
      </c>
      <c r="BQ1199" s="1">
        <v>3.8180000000000001</v>
      </c>
      <c r="BR1199" s="1">
        <v>44525</v>
      </c>
      <c r="BS1199" s="1">
        <v>3.63</v>
      </c>
      <c r="BT1199" s="1">
        <v>44525</v>
      </c>
      <c r="BU1199" s="1">
        <v>3.4630000000000001</v>
      </c>
      <c r="BV1199" s="1">
        <v>44525</v>
      </c>
      <c r="BW1199" s="1">
        <v>3.355</v>
      </c>
      <c r="CA1199" s="1">
        <v>44454</v>
      </c>
      <c r="CB1199" s="1">
        <v>1.6</v>
      </c>
      <c r="CC1199" s="1">
        <v>44525</v>
      </c>
      <c r="CD1199" s="1">
        <v>4.1100000000000003</v>
      </c>
      <c r="CE1199" s="1">
        <v>44525</v>
      </c>
      <c r="CF1199" s="1">
        <v>4.38</v>
      </c>
      <c r="CG1199" s="1">
        <v>44525</v>
      </c>
      <c r="CH1199" s="1">
        <v>4.5599999999999996</v>
      </c>
      <c r="CI1199" s="1">
        <v>44525</v>
      </c>
      <c r="CJ1199" s="1">
        <v>4.7</v>
      </c>
      <c r="CK1199" s="1">
        <v>44525</v>
      </c>
      <c r="CL1199" s="1">
        <v>4.62</v>
      </c>
      <c r="CM1199" s="1">
        <v>44517</v>
      </c>
      <c r="CN1199" s="1">
        <v>4.1900000000000004</v>
      </c>
      <c r="CO1199" s="1">
        <v>44509</v>
      </c>
      <c r="CP1199" s="1">
        <v>4.0075000000000003</v>
      </c>
      <c r="CQ1199" s="1">
        <v>44509</v>
      </c>
      <c r="CR1199" s="1">
        <v>4.1325000000000003</v>
      </c>
      <c r="CS1199" s="1">
        <v>44509</v>
      </c>
      <c r="CT1199" s="1">
        <v>4.2074999999999996</v>
      </c>
    </row>
    <row r="1200" spans="31:98" x14ac:dyDescent="0.2">
      <c r="AE1200" s="1">
        <v>44516</v>
      </c>
      <c r="AF1200" s="1">
        <v>1.25</v>
      </c>
      <c r="AG1200" s="1">
        <v>44461</v>
      </c>
      <c r="AH1200" s="1">
        <v>0.24</v>
      </c>
      <c r="AI1200" s="1">
        <v>44524</v>
      </c>
      <c r="AJ1200" s="1">
        <v>2.4620000000000002</v>
      </c>
      <c r="AK1200" s="1">
        <v>44524</v>
      </c>
      <c r="AL1200" s="1">
        <v>2.8849999999999998</v>
      </c>
      <c r="AM1200" s="1">
        <v>44524</v>
      </c>
      <c r="AN1200" s="1">
        <v>3.19</v>
      </c>
      <c r="AO1200" s="1">
        <v>44524</v>
      </c>
      <c r="AP1200" s="1">
        <v>3.5150000000000001</v>
      </c>
      <c r="AQ1200" s="1">
        <v>44524</v>
      </c>
      <c r="AR1200" s="1">
        <v>3.54</v>
      </c>
      <c r="AS1200" s="1">
        <v>44524</v>
      </c>
      <c r="AT1200" s="1">
        <v>3.53</v>
      </c>
      <c r="AU1200" s="1">
        <v>44524</v>
      </c>
      <c r="AV1200" s="1">
        <v>3.46</v>
      </c>
      <c r="AW1200" s="1">
        <v>44524</v>
      </c>
      <c r="AX1200" s="1">
        <v>3.44</v>
      </c>
      <c r="AY1200" s="1">
        <v>44524</v>
      </c>
      <c r="AZ1200" s="1">
        <v>3.43</v>
      </c>
      <c r="BD1200" s="1">
        <v>44459</v>
      </c>
      <c r="BE1200" s="1">
        <v>1.1299999999999999</v>
      </c>
      <c r="BF1200" s="1">
        <v>44524</v>
      </c>
      <c r="BG1200" s="1">
        <v>3.395</v>
      </c>
      <c r="BH1200" s="1">
        <v>44524</v>
      </c>
      <c r="BI1200" s="1">
        <v>3.96</v>
      </c>
      <c r="BJ1200" s="1">
        <v>44524</v>
      </c>
      <c r="BK1200" s="1">
        <v>4.2729999999999997</v>
      </c>
      <c r="BL1200" s="1">
        <v>44524</v>
      </c>
      <c r="BM1200" s="1">
        <v>4.24</v>
      </c>
      <c r="BN1200" s="1">
        <v>44523</v>
      </c>
      <c r="BO1200" s="1">
        <v>4.0999999999999996</v>
      </c>
      <c r="BP1200" s="1">
        <v>44524</v>
      </c>
      <c r="BQ1200" s="1">
        <v>3.7850000000000001</v>
      </c>
      <c r="BR1200" s="1">
        <v>44524</v>
      </c>
      <c r="BS1200" s="1">
        <v>3.6150000000000002</v>
      </c>
      <c r="BT1200" s="1">
        <v>44524</v>
      </c>
      <c r="BU1200" s="1">
        <v>3.45</v>
      </c>
      <c r="BV1200" s="1">
        <v>44524</v>
      </c>
      <c r="BW1200" s="1">
        <v>3.33</v>
      </c>
      <c r="CA1200" s="1">
        <v>44453</v>
      </c>
      <c r="CB1200" s="1">
        <v>1.6</v>
      </c>
      <c r="CC1200" s="1">
        <v>44524</v>
      </c>
      <c r="CD1200" s="1">
        <v>3.76</v>
      </c>
      <c r="CE1200" s="1">
        <v>44524</v>
      </c>
      <c r="CF1200" s="1">
        <v>4.47</v>
      </c>
      <c r="CG1200" s="1">
        <v>44524</v>
      </c>
      <c r="CH1200" s="1">
        <v>4.6900000000000004</v>
      </c>
      <c r="CI1200" s="1">
        <v>44524</v>
      </c>
      <c r="CJ1200" s="1">
        <v>4.8899999999999997</v>
      </c>
      <c r="CK1200" s="1">
        <v>44524</v>
      </c>
      <c r="CL1200" s="1">
        <v>4.9800000000000004</v>
      </c>
      <c r="CM1200" s="1">
        <v>44516</v>
      </c>
      <c r="CN1200" s="1">
        <v>4.1624999999999996</v>
      </c>
      <c r="CO1200" s="1">
        <v>44508</v>
      </c>
      <c r="CP1200" s="1">
        <v>3.9049999999999998</v>
      </c>
      <c r="CQ1200" s="1">
        <v>44508</v>
      </c>
      <c r="CR1200" s="1">
        <v>4.0625</v>
      </c>
      <c r="CS1200" s="1">
        <v>44508</v>
      </c>
      <c r="CT1200" s="1">
        <v>4.1100000000000003</v>
      </c>
    </row>
    <row r="1201" spans="31:98" x14ac:dyDescent="0.2">
      <c r="AE1201" s="1">
        <v>44515</v>
      </c>
      <c r="AF1201" s="1">
        <v>1.25</v>
      </c>
      <c r="AG1201" s="1">
        <v>44460</v>
      </c>
      <c r="AH1201" s="1">
        <v>0.24</v>
      </c>
      <c r="AI1201" s="1">
        <v>44523</v>
      </c>
      <c r="AJ1201" s="1">
        <v>2.4422000000000001</v>
      </c>
      <c r="AK1201" s="1">
        <v>44523</v>
      </c>
      <c r="AL1201" s="1">
        <v>2.85</v>
      </c>
      <c r="AM1201" s="1">
        <v>44523</v>
      </c>
      <c r="AN1201" s="1">
        <v>3.16</v>
      </c>
      <c r="AO1201" s="1">
        <v>44523</v>
      </c>
      <c r="AP1201" s="1">
        <v>3.48</v>
      </c>
      <c r="AQ1201" s="1">
        <v>44523</v>
      </c>
      <c r="AR1201" s="1">
        <v>3.51</v>
      </c>
      <c r="AS1201" s="1">
        <v>44523</v>
      </c>
      <c r="AT1201" s="1">
        <v>3.5049999999999999</v>
      </c>
      <c r="AU1201" s="1">
        <v>44523</v>
      </c>
      <c r="AV1201" s="1">
        <v>3.5049999999999999</v>
      </c>
      <c r="AW1201" s="1">
        <v>44523</v>
      </c>
      <c r="AX1201" s="1">
        <v>3.5049999999999999</v>
      </c>
      <c r="AY1201" s="1">
        <v>44523</v>
      </c>
      <c r="AZ1201" s="1">
        <v>3.5049999999999999</v>
      </c>
      <c r="BD1201" s="1">
        <v>44456</v>
      </c>
      <c r="BE1201" s="1">
        <v>1.1200000000000001</v>
      </c>
      <c r="BF1201" s="1">
        <v>44523</v>
      </c>
      <c r="BG1201" s="1">
        <v>3.4049999999999998</v>
      </c>
      <c r="BH1201" s="1">
        <v>44523</v>
      </c>
      <c r="BI1201" s="1">
        <v>3.96</v>
      </c>
      <c r="BJ1201" s="1">
        <v>44523</v>
      </c>
      <c r="BK1201" s="1">
        <v>4.2699999999999996</v>
      </c>
      <c r="BL1201" s="1">
        <v>44523</v>
      </c>
      <c r="BM1201" s="1">
        <v>4.2480000000000002</v>
      </c>
      <c r="BN1201" s="1">
        <v>44522</v>
      </c>
      <c r="BO1201" s="1">
        <v>3.988</v>
      </c>
      <c r="BP1201" s="1">
        <v>44523</v>
      </c>
      <c r="BQ1201" s="1">
        <v>3.82</v>
      </c>
      <c r="BR1201" s="1">
        <v>44523</v>
      </c>
      <c r="BS1201" s="1">
        <v>3.64</v>
      </c>
      <c r="BT1201" s="1">
        <v>44523</v>
      </c>
      <c r="BU1201" s="1">
        <v>3.4750000000000001</v>
      </c>
      <c r="BV1201" s="1">
        <v>44523</v>
      </c>
      <c r="BW1201" s="1">
        <v>3.355</v>
      </c>
      <c r="CC1201" s="1">
        <v>44523</v>
      </c>
      <c r="CD1201" s="1">
        <v>3.298</v>
      </c>
      <c r="CE1201" s="1">
        <v>44523</v>
      </c>
      <c r="CF1201" s="1">
        <v>4.08</v>
      </c>
      <c r="CG1201" s="1">
        <v>44523</v>
      </c>
      <c r="CH1201" s="1">
        <v>4.68</v>
      </c>
      <c r="CI1201" s="1">
        <v>44523</v>
      </c>
      <c r="CJ1201" s="1">
        <v>4.9400000000000004</v>
      </c>
      <c r="CK1201" s="1">
        <v>44523</v>
      </c>
      <c r="CL1201" s="1">
        <v>5.0350000000000001</v>
      </c>
      <c r="CM1201" s="1">
        <v>44515</v>
      </c>
      <c r="CN1201" s="1">
        <v>4.1749999999999998</v>
      </c>
      <c r="CO1201" s="1">
        <v>44505</v>
      </c>
      <c r="CP1201" s="1">
        <v>3.9575</v>
      </c>
      <c r="CQ1201" s="1">
        <v>44505</v>
      </c>
      <c r="CR1201" s="1">
        <v>4.0650000000000004</v>
      </c>
      <c r="CS1201" s="1">
        <v>44505</v>
      </c>
      <c r="CT1201" s="1">
        <v>4.1524999999999999</v>
      </c>
    </row>
    <row r="1202" spans="31:98" x14ac:dyDescent="0.2">
      <c r="AE1202" s="1">
        <v>44512</v>
      </c>
      <c r="AF1202" s="1">
        <v>1.25</v>
      </c>
      <c r="AG1202" s="1">
        <v>44459</v>
      </c>
      <c r="AH1202" s="1">
        <v>0.24</v>
      </c>
      <c r="AI1202" s="1">
        <v>44522</v>
      </c>
      <c r="AJ1202" s="1">
        <v>2.3782999999999999</v>
      </c>
      <c r="AK1202" s="1">
        <v>44522</v>
      </c>
      <c r="AL1202" s="1">
        <v>2.7725</v>
      </c>
      <c r="AM1202" s="1">
        <v>44522</v>
      </c>
      <c r="AN1202" s="1">
        <v>3.0625</v>
      </c>
      <c r="AO1202" s="1">
        <v>44522</v>
      </c>
      <c r="AP1202" s="1">
        <v>3.3925000000000001</v>
      </c>
      <c r="AQ1202" s="1">
        <v>44522</v>
      </c>
      <c r="AR1202" s="1">
        <v>3.3875000000000002</v>
      </c>
      <c r="AS1202" s="1">
        <v>44522</v>
      </c>
      <c r="AT1202" s="1">
        <v>3.36</v>
      </c>
      <c r="AU1202" s="1">
        <v>44522</v>
      </c>
      <c r="AV1202" s="1">
        <v>3.36</v>
      </c>
      <c r="AW1202" s="1">
        <v>44522</v>
      </c>
      <c r="AX1202" s="1">
        <v>3.36</v>
      </c>
      <c r="AY1202" s="1">
        <v>44522</v>
      </c>
      <c r="AZ1202" s="1">
        <v>3.36</v>
      </c>
      <c r="BD1202" s="1">
        <v>44455</v>
      </c>
      <c r="BE1202" s="1">
        <v>1.1200000000000001</v>
      </c>
      <c r="BF1202" s="1">
        <v>44522</v>
      </c>
      <c r="BG1202" s="1">
        <v>3.4</v>
      </c>
      <c r="BH1202" s="1">
        <v>44522</v>
      </c>
      <c r="BI1202" s="1">
        <v>3.94</v>
      </c>
      <c r="BJ1202" s="1">
        <v>44522</v>
      </c>
      <c r="BK1202" s="1">
        <v>4.21</v>
      </c>
      <c r="BL1202" s="1">
        <v>44522</v>
      </c>
      <c r="BM1202" s="1">
        <v>4.1630000000000003</v>
      </c>
      <c r="BN1202" s="1">
        <v>44519</v>
      </c>
      <c r="BO1202" s="1">
        <v>3.8650000000000002</v>
      </c>
      <c r="BP1202" s="1">
        <v>44522</v>
      </c>
      <c r="BQ1202" s="1">
        <v>3.71</v>
      </c>
      <c r="BR1202" s="1">
        <v>44522</v>
      </c>
      <c r="BS1202" s="1">
        <v>3.5350000000000001</v>
      </c>
      <c r="BT1202" s="1">
        <v>44522</v>
      </c>
      <c r="BU1202" s="1">
        <v>3.37</v>
      </c>
      <c r="BV1202" s="1">
        <v>44522</v>
      </c>
      <c r="BW1202" s="1">
        <v>3.25</v>
      </c>
      <c r="CC1202" s="1">
        <v>44522</v>
      </c>
      <c r="CD1202" s="1">
        <v>3.1320000000000001</v>
      </c>
      <c r="CE1202" s="1">
        <v>44522</v>
      </c>
      <c r="CF1202" s="1">
        <v>3.71</v>
      </c>
      <c r="CG1202" s="1">
        <v>44522</v>
      </c>
      <c r="CH1202" s="1">
        <v>4.07</v>
      </c>
      <c r="CI1202" s="1">
        <v>44522</v>
      </c>
      <c r="CJ1202" s="1">
        <v>4.45</v>
      </c>
      <c r="CK1202" s="1">
        <v>44522</v>
      </c>
      <c r="CL1202" s="1">
        <v>4.6399999999999997</v>
      </c>
      <c r="CM1202" s="1">
        <v>44512</v>
      </c>
      <c r="CN1202" s="1">
        <v>4.2424999999999997</v>
      </c>
      <c r="CO1202" s="1">
        <v>44504</v>
      </c>
      <c r="CP1202" s="1">
        <v>3.9575</v>
      </c>
      <c r="CQ1202" s="1">
        <v>44504</v>
      </c>
      <c r="CR1202" s="1">
        <v>4.0650000000000004</v>
      </c>
      <c r="CS1202" s="1">
        <v>44504</v>
      </c>
      <c r="CT1202" s="1">
        <v>4.1524999999999999</v>
      </c>
    </row>
    <row r="1203" spans="31:98" x14ac:dyDescent="0.2">
      <c r="AE1203" s="1">
        <v>44511</v>
      </c>
      <c r="AF1203" s="1">
        <v>1.25</v>
      </c>
      <c r="AG1203" s="1">
        <v>44456</v>
      </c>
      <c r="AH1203" s="1">
        <v>0.24</v>
      </c>
      <c r="AI1203" s="1">
        <v>44519</v>
      </c>
      <c r="AJ1203" s="1">
        <v>2.3654000000000002</v>
      </c>
      <c r="AK1203" s="1">
        <v>44519</v>
      </c>
      <c r="AL1203" s="1">
        <v>2.6469999999999998</v>
      </c>
      <c r="AM1203" s="1">
        <v>44519</v>
      </c>
      <c r="AN1203" s="1">
        <v>2.97</v>
      </c>
      <c r="AO1203" s="1">
        <v>44519</v>
      </c>
      <c r="AP1203" s="1">
        <v>3.21</v>
      </c>
      <c r="AQ1203" s="1">
        <v>44519</v>
      </c>
      <c r="AR1203" s="1">
        <v>3.2149999999999999</v>
      </c>
      <c r="AS1203" s="1">
        <v>44519</v>
      </c>
      <c r="AT1203" s="1">
        <v>3.1850000000000001</v>
      </c>
      <c r="AU1203" s="1">
        <v>44519</v>
      </c>
      <c r="AV1203" s="1">
        <v>3.18</v>
      </c>
      <c r="AW1203" s="1">
        <v>44519</v>
      </c>
      <c r="AX1203" s="1">
        <v>3.1749999999999998</v>
      </c>
      <c r="AY1203" s="1">
        <v>44519</v>
      </c>
      <c r="AZ1203" s="1">
        <v>3.16</v>
      </c>
      <c r="BD1203" s="1">
        <v>44454</v>
      </c>
      <c r="BE1203" s="1">
        <v>1.1200000000000001</v>
      </c>
      <c r="BF1203" s="1">
        <v>44519</v>
      </c>
      <c r="BG1203" s="1">
        <v>3.371</v>
      </c>
      <c r="BH1203" s="1">
        <v>44519</v>
      </c>
      <c r="BI1203" s="1">
        <v>3.88</v>
      </c>
      <c r="BJ1203" s="1">
        <v>44519</v>
      </c>
      <c r="BK1203" s="1">
        <v>4.1150000000000002</v>
      </c>
      <c r="BL1203" s="1">
        <v>44519</v>
      </c>
      <c r="BM1203" s="1">
        <v>4.05</v>
      </c>
      <c r="BN1203" s="1">
        <v>44518</v>
      </c>
      <c r="BO1203" s="1">
        <v>3.9249999999999998</v>
      </c>
      <c r="BP1203" s="1">
        <v>44519</v>
      </c>
      <c r="BQ1203" s="1">
        <v>3.61</v>
      </c>
      <c r="BR1203" s="1">
        <v>44519</v>
      </c>
      <c r="BS1203" s="1">
        <v>3.4350000000000001</v>
      </c>
      <c r="BT1203" s="1">
        <v>44519</v>
      </c>
      <c r="BU1203" s="1">
        <v>3.28</v>
      </c>
      <c r="BV1203" s="1">
        <v>44519</v>
      </c>
      <c r="BW1203" s="1">
        <v>3.1579999999999999</v>
      </c>
      <c r="CC1203" s="1">
        <v>44519</v>
      </c>
      <c r="CD1203" s="1">
        <v>3.012</v>
      </c>
      <c r="CE1203" s="1">
        <v>44519</v>
      </c>
      <c r="CF1203" s="1">
        <v>3.5150000000000001</v>
      </c>
      <c r="CG1203" s="1">
        <v>44519</v>
      </c>
      <c r="CH1203" s="1">
        <v>3.8650000000000002</v>
      </c>
      <c r="CI1203" s="1">
        <v>44519</v>
      </c>
      <c r="CJ1203" s="1">
        <v>4.2450000000000001</v>
      </c>
      <c r="CK1203" s="1">
        <v>44519</v>
      </c>
      <c r="CL1203" s="1">
        <v>4.3049999999999997</v>
      </c>
      <c r="CM1203" s="1">
        <v>44511</v>
      </c>
      <c r="CN1203" s="1">
        <v>4.2350000000000003</v>
      </c>
      <c r="CO1203" s="1">
        <v>44503</v>
      </c>
      <c r="CP1203" s="1">
        <v>3.8149999999999999</v>
      </c>
      <c r="CQ1203" s="1">
        <v>44503</v>
      </c>
      <c r="CR1203" s="1">
        <v>3.915</v>
      </c>
      <c r="CS1203" s="1">
        <v>44503</v>
      </c>
      <c r="CT1203" s="1">
        <v>4</v>
      </c>
    </row>
    <row r="1204" spans="31:98" x14ac:dyDescent="0.2">
      <c r="AE1204" s="1">
        <v>44510</v>
      </c>
      <c r="AF1204" s="1">
        <v>1.25</v>
      </c>
      <c r="AG1204" s="1">
        <v>44455</v>
      </c>
      <c r="AH1204" s="1">
        <v>0.24</v>
      </c>
      <c r="AI1204" s="1">
        <v>44518</v>
      </c>
      <c r="AJ1204" s="1">
        <v>2.4089999999999998</v>
      </c>
      <c r="AK1204" s="1">
        <v>44518</v>
      </c>
      <c r="AL1204" s="1">
        <v>2.7275</v>
      </c>
      <c r="AM1204" s="1">
        <v>44518</v>
      </c>
      <c r="AN1204" s="1">
        <v>3.02</v>
      </c>
      <c r="AO1204" s="1">
        <v>44518</v>
      </c>
      <c r="AP1204" s="1">
        <v>3.3174999999999999</v>
      </c>
      <c r="AQ1204" s="1">
        <v>44518</v>
      </c>
      <c r="AR1204" s="1">
        <v>3.3525</v>
      </c>
      <c r="AS1204" s="1">
        <v>44518</v>
      </c>
      <c r="AT1204" s="1">
        <v>3.3450000000000002</v>
      </c>
      <c r="AU1204" s="1">
        <v>44518</v>
      </c>
      <c r="AV1204" s="1">
        <v>3.3450000000000002</v>
      </c>
      <c r="AW1204" s="1">
        <v>44518</v>
      </c>
      <c r="AX1204" s="1">
        <v>3.3675000000000002</v>
      </c>
      <c r="AY1204" s="1">
        <v>44518</v>
      </c>
      <c r="AZ1204" s="1">
        <v>3.37</v>
      </c>
      <c r="BD1204" s="1">
        <v>44453</v>
      </c>
      <c r="BE1204" s="1">
        <v>1.1200000000000001</v>
      </c>
      <c r="BF1204" s="1">
        <v>44518</v>
      </c>
      <c r="BG1204" s="1">
        <v>3.383</v>
      </c>
      <c r="BH1204" s="1">
        <v>44518</v>
      </c>
      <c r="BI1204" s="1">
        <v>3.9</v>
      </c>
      <c r="BJ1204" s="1">
        <v>44518</v>
      </c>
      <c r="BK1204" s="1">
        <v>4.13</v>
      </c>
      <c r="BL1204" s="1">
        <v>44518</v>
      </c>
      <c r="BM1204" s="1">
        <v>4.0650000000000004</v>
      </c>
      <c r="BN1204" s="1">
        <v>44517</v>
      </c>
      <c r="BO1204" s="1">
        <v>4</v>
      </c>
      <c r="BP1204" s="1">
        <v>44518</v>
      </c>
      <c r="BQ1204" s="1">
        <v>3.7050000000000001</v>
      </c>
      <c r="BR1204" s="1">
        <v>44518</v>
      </c>
      <c r="BS1204" s="1">
        <v>3.5249999999999999</v>
      </c>
      <c r="BT1204" s="1">
        <v>44518</v>
      </c>
      <c r="BU1204" s="1">
        <v>3.37</v>
      </c>
      <c r="BV1204" s="1">
        <v>44518</v>
      </c>
      <c r="BW1204" s="1">
        <v>3.2330000000000001</v>
      </c>
      <c r="CC1204" s="1">
        <v>44518</v>
      </c>
      <c r="CD1204" s="1">
        <v>2.93</v>
      </c>
      <c r="CE1204" s="1">
        <v>44518</v>
      </c>
      <c r="CF1204" s="1">
        <v>3.47</v>
      </c>
      <c r="CG1204" s="1">
        <v>44518</v>
      </c>
      <c r="CH1204" s="1">
        <v>3.79</v>
      </c>
      <c r="CI1204" s="1">
        <v>44518</v>
      </c>
      <c r="CJ1204" s="1">
        <v>4.1950000000000003</v>
      </c>
      <c r="CK1204" s="1">
        <v>44518</v>
      </c>
      <c r="CL1204" s="1">
        <v>4.4000000000000004</v>
      </c>
      <c r="CM1204" s="1">
        <v>44510</v>
      </c>
      <c r="CN1204" s="1">
        <v>4.0949999999999998</v>
      </c>
      <c r="CO1204" s="1">
        <v>44502</v>
      </c>
      <c r="CP1204" s="1">
        <v>3.8075000000000001</v>
      </c>
      <c r="CQ1204" s="1">
        <v>44502</v>
      </c>
      <c r="CR1204" s="1">
        <v>3.9024999999999999</v>
      </c>
      <c r="CS1204" s="1">
        <v>44502</v>
      </c>
      <c r="CT1204" s="1">
        <v>3.9925000000000002</v>
      </c>
    </row>
    <row r="1205" spans="31:98" x14ac:dyDescent="0.2">
      <c r="AE1205" s="1">
        <v>44509</v>
      </c>
      <c r="AF1205" s="1">
        <v>1.25</v>
      </c>
      <c r="AG1205" s="1">
        <v>44454</v>
      </c>
      <c r="AH1205" s="1">
        <v>0.24</v>
      </c>
      <c r="AI1205" s="1">
        <v>44517</v>
      </c>
      <c r="AJ1205" s="1">
        <v>2.3889999999999998</v>
      </c>
      <c r="AK1205" s="1">
        <v>44517</v>
      </c>
      <c r="AL1205" s="1">
        <v>2.6949999999999998</v>
      </c>
      <c r="AM1205" s="1">
        <v>44517</v>
      </c>
      <c r="AN1205" s="1">
        <v>2.98</v>
      </c>
      <c r="AO1205" s="1">
        <v>44517</v>
      </c>
      <c r="AP1205" s="1">
        <v>3.25</v>
      </c>
      <c r="AQ1205" s="1">
        <v>44517</v>
      </c>
      <c r="AR1205" s="1">
        <v>3.26</v>
      </c>
      <c r="AS1205" s="1">
        <v>44517</v>
      </c>
      <c r="AT1205" s="1">
        <v>3.2650000000000001</v>
      </c>
      <c r="AU1205" s="1">
        <v>44517</v>
      </c>
      <c r="AV1205" s="1">
        <v>3.2749999999999999</v>
      </c>
      <c r="AW1205" s="1">
        <v>44517</v>
      </c>
      <c r="AX1205" s="1">
        <v>3.2850000000000001</v>
      </c>
      <c r="AY1205" s="1">
        <v>44517</v>
      </c>
      <c r="AZ1205" s="1">
        <v>3.29</v>
      </c>
      <c r="BF1205" s="1">
        <v>44517</v>
      </c>
      <c r="BG1205" s="1">
        <v>3.395</v>
      </c>
      <c r="BH1205" s="1">
        <v>44517</v>
      </c>
      <c r="BI1205" s="1">
        <v>3.9350000000000001</v>
      </c>
      <c r="BJ1205" s="1">
        <v>44517</v>
      </c>
      <c r="BK1205" s="1">
        <v>4.1749999999999998</v>
      </c>
      <c r="BL1205" s="1">
        <v>44517</v>
      </c>
      <c r="BM1205" s="1">
        <v>4.1180000000000003</v>
      </c>
      <c r="BN1205" s="1">
        <v>44516</v>
      </c>
      <c r="BO1205" s="1">
        <v>4</v>
      </c>
      <c r="BP1205" s="1">
        <v>44517</v>
      </c>
      <c r="BQ1205" s="1">
        <v>3.7879999999999998</v>
      </c>
      <c r="BR1205" s="1">
        <v>44517</v>
      </c>
      <c r="BS1205" s="1">
        <v>3.6179999999999999</v>
      </c>
      <c r="BT1205" s="1">
        <v>44517</v>
      </c>
      <c r="BU1205" s="1">
        <v>3.468</v>
      </c>
      <c r="BV1205" s="1">
        <v>44517</v>
      </c>
      <c r="BW1205" s="1">
        <v>3.33</v>
      </c>
      <c r="CC1205" s="1">
        <v>44517</v>
      </c>
      <c r="CD1205" s="1">
        <v>2.72</v>
      </c>
      <c r="CE1205" s="1">
        <v>44517</v>
      </c>
      <c r="CF1205" s="1">
        <v>3.1349999999999998</v>
      </c>
      <c r="CG1205" s="1">
        <v>44517</v>
      </c>
      <c r="CH1205" s="1">
        <v>3.4249999999999998</v>
      </c>
      <c r="CI1205" s="1">
        <v>44517</v>
      </c>
      <c r="CJ1205" s="1">
        <v>3.875</v>
      </c>
      <c r="CK1205" s="1">
        <v>44517</v>
      </c>
      <c r="CL1205" s="1">
        <v>4.16</v>
      </c>
      <c r="CM1205" s="1">
        <v>44509</v>
      </c>
      <c r="CN1205" s="1">
        <v>3.855</v>
      </c>
      <c r="CO1205" s="1">
        <v>44498</v>
      </c>
      <c r="CP1205" s="1">
        <v>3.7949999999999999</v>
      </c>
      <c r="CQ1205" s="1">
        <v>44498</v>
      </c>
      <c r="CR1205" s="1">
        <v>3.89</v>
      </c>
      <c r="CS1205" s="1">
        <v>44498</v>
      </c>
      <c r="CT1205" s="1">
        <v>3.98</v>
      </c>
    </row>
    <row r="1206" spans="31:98" x14ac:dyDescent="0.2">
      <c r="AE1206" s="1">
        <v>44508</v>
      </c>
      <c r="AF1206" s="1">
        <v>1.25</v>
      </c>
      <c r="AG1206" s="1">
        <v>44453</v>
      </c>
      <c r="AH1206" s="1">
        <v>0.24</v>
      </c>
      <c r="AI1206" s="1">
        <v>44516</v>
      </c>
      <c r="AJ1206" s="1">
        <v>2.3555000000000001</v>
      </c>
      <c r="AK1206" s="1">
        <v>44516</v>
      </c>
      <c r="AL1206" s="1">
        <v>2.65</v>
      </c>
      <c r="AM1206" s="1">
        <v>44516</v>
      </c>
      <c r="AN1206" s="1">
        <v>2.915</v>
      </c>
      <c r="AO1206" s="1">
        <v>44516</v>
      </c>
      <c r="AP1206" s="1">
        <v>3.2</v>
      </c>
      <c r="AQ1206" s="1">
        <v>44516</v>
      </c>
      <c r="AR1206" s="1">
        <v>3.2149999999999999</v>
      </c>
      <c r="AS1206" s="1">
        <v>44516</v>
      </c>
      <c r="AT1206" s="1">
        <v>3.22</v>
      </c>
      <c r="AU1206" s="1">
        <v>44516</v>
      </c>
      <c r="AV1206" s="1">
        <v>3.22</v>
      </c>
      <c r="AW1206" s="1">
        <v>44516</v>
      </c>
      <c r="AX1206" s="1">
        <v>3.22</v>
      </c>
      <c r="AY1206" s="1">
        <v>44516</v>
      </c>
      <c r="AZ1206" s="1">
        <v>3.22</v>
      </c>
      <c r="BF1206" s="1">
        <v>44516</v>
      </c>
      <c r="BG1206" s="1">
        <v>3.4</v>
      </c>
      <c r="BH1206" s="1">
        <v>44516</v>
      </c>
      <c r="BI1206" s="1">
        <v>3.9350000000000001</v>
      </c>
      <c r="BJ1206" s="1">
        <v>44516</v>
      </c>
      <c r="BK1206" s="1">
        <v>4.1749999999999998</v>
      </c>
      <c r="BL1206" s="1">
        <v>44516</v>
      </c>
      <c r="BM1206" s="1">
        <v>4.1180000000000003</v>
      </c>
      <c r="BN1206" s="1">
        <v>44515</v>
      </c>
      <c r="BO1206" s="1">
        <v>4.0250000000000004</v>
      </c>
      <c r="BP1206" s="1">
        <v>44516</v>
      </c>
      <c r="BQ1206" s="1">
        <v>3.7879999999999998</v>
      </c>
      <c r="BR1206" s="1">
        <v>44516</v>
      </c>
      <c r="BS1206" s="1">
        <v>3.6179999999999999</v>
      </c>
      <c r="BT1206" s="1">
        <v>44516</v>
      </c>
      <c r="BU1206" s="1">
        <v>3.468</v>
      </c>
      <c r="BV1206" s="1">
        <v>44516</v>
      </c>
      <c r="BW1206" s="1">
        <v>3.33</v>
      </c>
      <c r="CC1206" s="1">
        <v>44516</v>
      </c>
      <c r="CD1206" s="1">
        <v>2.8</v>
      </c>
      <c r="CE1206" s="1">
        <v>44516</v>
      </c>
      <c r="CF1206" s="1">
        <v>3.04</v>
      </c>
      <c r="CG1206" s="1">
        <v>44516</v>
      </c>
      <c r="CH1206" s="1">
        <v>3.34</v>
      </c>
      <c r="CI1206" s="1">
        <v>44516</v>
      </c>
      <c r="CJ1206" s="1">
        <v>3.8250000000000002</v>
      </c>
      <c r="CK1206" s="1">
        <v>44516</v>
      </c>
      <c r="CL1206" s="1">
        <v>4.03</v>
      </c>
      <c r="CM1206" s="1">
        <v>44508</v>
      </c>
      <c r="CN1206" s="1">
        <v>3.75</v>
      </c>
      <c r="CO1206" s="1">
        <v>44497</v>
      </c>
      <c r="CP1206" s="1">
        <v>3.72</v>
      </c>
      <c r="CQ1206" s="1">
        <v>44497</v>
      </c>
      <c r="CR1206" s="1">
        <v>3.83</v>
      </c>
      <c r="CS1206" s="1">
        <v>44497</v>
      </c>
      <c r="CT1206" s="1">
        <v>3.915</v>
      </c>
    </row>
    <row r="1207" spans="31:98" x14ac:dyDescent="0.2">
      <c r="AE1207" s="1">
        <v>44505</v>
      </c>
      <c r="AF1207" s="1">
        <v>1.25</v>
      </c>
      <c r="AI1207" s="1">
        <v>44515</v>
      </c>
      <c r="AJ1207" s="1">
        <v>2.4319999999999999</v>
      </c>
      <c r="AK1207" s="1">
        <v>44515</v>
      </c>
      <c r="AL1207" s="1">
        <v>2.81</v>
      </c>
      <c r="AM1207" s="1">
        <v>44515</v>
      </c>
      <c r="AN1207" s="1">
        <v>3.0350000000000001</v>
      </c>
      <c r="AO1207" s="1">
        <v>44515</v>
      </c>
      <c r="AP1207" s="1">
        <v>3.32</v>
      </c>
      <c r="AQ1207" s="1">
        <v>44515</v>
      </c>
      <c r="AR1207" s="1">
        <v>3.32</v>
      </c>
      <c r="AS1207" s="1">
        <v>44515</v>
      </c>
      <c r="AT1207" s="1">
        <v>3.3149999999999999</v>
      </c>
      <c r="AU1207" s="1">
        <v>44515</v>
      </c>
      <c r="AV1207" s="1">
        <v>3.31</v>
      </c>
      <c r="AW1207" s="1">
        <v>44515</v>
      </c>
      <c r="AX1207" s="1">
        <v>3.31</v>
      </c>
      <c r="AY1207" s="1">
        <v>44515</v>
      </c>
      <c r="AZ1207" s="1">
        <v>3.3050000000000002</v>
      </c>
      <c r="BF1207" s="1">
        <v>44515</v>
      </c>
      <c r="BG1207" s="1">
        <v>3.41</v>
      </c>
      <c r="BH1207" s="1">
        <v>44515</v>
      </c>
      <c r="BI1207" s="1">
        <v>3.948</v>
      </c>
      <c r="BJ1207" s="1">
        <v>44515</v>
      </c>
      <c r="BK1207" s="1">
        <v>4.1779999999999999</v>
      </c>
      <c r="BL1207" s="1">
        <v>44515</v>
      </c>
      <c r="BM1207" s="1">
        <v>4.1449999999999996</v>
      </c>
      <c r="BN1207" s="1">
        <v>44512</v>
      </c>
      <c r="BO1207" s="1">
        <v>4.07</v>
      </c>
      <c r="BP1207" s="1">
        <v>44515</v>
      </c>
      <c r="BQ1207" s="1">
        <v>3.8</v>
      </c>
      <c r="BR1207" s="1">
        <v>44515</v>
      </c>
      <c r="BS1207" s="1">
        <v>3.65</v>
      </c>
      <c r="BT1207" s="1">
        <v>44515</v>
      </c>
      <c r="BU1207" s="1">
        <v>3.51</v>
      </c>
      <c r="BV1207" s="1">
        <v>44515</v>
      </c>
      <c r="BW1207" s="1">
        <v>3.3929999999999998</v>
      </c>
      <c r="CC1207" s="1">
        <v>44515</v>
      </c>
      <c r="CD1207" s="1">
        <v>2.87</v>
      </c>
      <c r="CE1207" s="1">
        <v>44515</v>
      </c>
      <c r="CF1207" s="1">
        <v>3.105</v>
      </c>
      <c r="CG1207" s="1">
        <v>44515</v>
      </c>
      <c r="CH1207" s="1">
        <v>3.4424999999999999</v>
      </c>
      <c r="CI1207" s="1">
        <v>44515</v>
      </c>
      <c r="CJ1207" s="1">
        <v>3.8574999999999999</v>
      </c>
      <c r="CK1207" s="1">
        <v>44515</v>
      </c>
      <c r="CL1207" s="1">
        <v>4.12</v>
      </c>
      <c r="CM1207" s="1">
        <v>44505</v>
      </c>
      <c r="CN1207" s="1">
        <v>3.7650000000000001</v>
      </c>
      <c r="CO1207" s="1">
        <v>44496</v>
      </c>
      <c r="CP1207" s="1">
        <v>3.75</v>
      </c>
      <c r="CQ1207" s="1">
        <v>44496</v>
      </c>
      <c r="CR1207" s="1">
        <v>3.87</v>
      </c>
      <c r="CS1207" s="1">
        <v>44496</v>
      </c>
      <c r="CT1207" s="1">
        <v>3.9375</v>
      </c>
    </row>
    <row r="1208" spans="31:98" x14ac:dyDescent="0.2">
      <c r="AE1208" s="1">
        <v>44504</v>
      </c>
      <c r="AF1208" s="1">
        <v>1.25</v>
      </c>
      <c r="AI1208" s="1">
        <v>44512</v>
      </c>
      <c r="AJ1208" s="1">
        <v>2.4434999999999998</v>
      </c>
      <c r="AK1208" s="1">
        <v>44512</v>
      </c>
      <c r="AL1208" s="1">
        <v>2.81</v>
      </c>
      <c r="AM1208" s="1">
        <v>44512</v>
      </c>
      <c r="AN1208" s="1">
        <v>3.0950000000000002</v>
      </c>
      <c r="AO1208" s="1">
        <v>44512</v>
      </c>
      <c r="AP1208" s="1">
        <v>3.43</v>
      </c>
      <c r="AQ1208" s="1">
        <v>44512</v>
      </c>
      <c r="AR1208" s="1">
        <v>3.4</v>
      </c>
      <c r="AS1208" s="1">
        <v>44512</v>
      </c>
      <c r="AT1208" s="1">
        <v>3.42</v>
      </c>
      <c r="AU1208" s="1">
        <v>44512</v>
      </c>
      <c r="AV1208" s="1">
        <v>3.43</v>
      </c>
      <c r="AW1208" s="1">
        <v>44512</v>
      </c>
      <c r="AX1208" s="1">
        <v>3.41</v>
      </c>
      <c r="AY1208" s="1">
        <v>44512</v>
      </c>
      <c r="AZ1208" s="1">
        <v>3.4</v>
      </c>
      <c r="BF1208" s="1">
        <v>44512</v>
      </c>
      <c r="BG1208" s="1">
        <v>3.39</v>
      </c>
      <c r="BH1208" s="1">
        <v>44512</v>
      </c>
      <c r="BI1208" s="1">
        <v>3.92</v>
      </c>
      <c r="BJ1208" s="1">
        <v>44512</v>
      </c>
      <c r="BK1208" s="1">
        <v>4.17</v>
      </c>
      <c r="BL1208" s="1">
        <v>44512</v>
      </c>
      <c r="BM1208" s="1">
        <v>4.16</v>
      </c>
      <c r="BN1208" s="1">
        <v>44511</v>
      </c>
      <c r="BO1208" s="1">
        <v>4.0250000000000004</v>
      </c>
      <c r="BP1208" s="1">
        <v>44512</v>
      </c>
      <c r="BQ1208" s="1">
        <v>3.85</v>
      </c>
      <c r="BR1208" s="1">
        <v>44512</v>
      </c>
      <c r="BS1208" s="1">
        <v>3.7</v>
      </c>
      <c r="BT1208" s="1">
        <v>44512</v>
      </c>
      <c r="BU1208" s="1">
        <v>3.56</v>
      </c>
      <c r="BV1208" s="1">
        <v>44512</v>
      </c>
      <c r="BW1208" s="1">
        <v>3.47</v>
      </c>
      <c r="CC1208" s="1">
        <v>44512</v>
      </c>
      <c r="CD1208" s="1">
        <v>2.625</v>
      </c>
      <c r="CE1208" s="1">
        <v>44512</v>
      </c>
      <c r="CF1208" s="1">
        <v>3.11</v>
      </c>
      <c r="CG1208" s="1">
        <v>44512</v>
      </c>
      <c r="CH1208" s="1">
        <v>3.46</v>
      </c>
      <c r="CI1208" s="1">
        <v>44512</v>
      </c>
      <c r="CJ1208" s="1">
        <v>3.875</v>
      </c>
      <c r="CK1208" s="1">
        <v>44512</v>
      </c>
      <c r="CL1208" s="1">
        <v>4.165</v>
      </c>
      <c r="CM1208" s="1">
        <v>44504</v>
      </c>
      <c r="CN1208" s="1">
        <v>3.7675000000000001</v>
      </c>
      <c r="CO1208" s="1">
        <v>44495</v>
      </c>
      <c r="CP1208" s="1">
        <v>3.7974999999999999</v>
      </c>
      <c r="CQ1208" s="1">
        <v>44495</v>
      </c>
      <c r="CR1208" s="1">
        <v>3.9224999999999999</v>
      </c>
      <c r="CS1208" s="1">
        <v>44495</v>
      </c>
      <c r="CT1208" s="1">
        <v>3.9950000000000001</v>
      </c>
    </row>
    <row r="1209" spans="31:98" x14ac:dyDescent="0.2">
      <c r="AE1209" s="1">
        <v>44503</v>
      </c>
      <c r="AF1209" s="1">
        <v>1.25</v>
      </c>
      <c r="AI1209" s="1">
        <v>44511</v>
      </c>
      <c r="AJ1209" s="1">
        <v>2.278</v>
      </c>
      <c r="AK1209" s="1">
        <v>44511</v>
      </c>
      <c r="AL1209" s="1">
        <v>2.69</v>
      </c>
      <c r="AM1209" s="1">
        <v>44511</v>
      </c>
      <c r="AN1209" s="1">
        <v>2.95</v>
      </c>
      <c r="AO1209" s="1">
        <v>44511</v>
      </c>
      <c r="AP1209" s="1">
        <v>3.2549999999999999</v>
      </c>
      <c r="AQ1209" s="1">
        <v>44511</v>
      </c>
      <c r="AR1209" s="1">
        <v>3.3650000000000002</v>
      </c>
      <c r="AS1209" s="1">
        <v>44511</v>
      </c>
      <c r="AT1209" s="1">
        <v>3.375</v>
      </c>
      <c r="AU1209" s="1">
        <v>44511</v>
      </c>
      <c r="AV1209" s="1">
        <v>3.3525</v>
      </c>
      <c r="AW1209" s="1">
        <v>44511</v>
      </c>
      <c r="AX1209" s="1">
        <v>3.3025000000000002</v>
      </c>
      <c r="AY1209" s="1">
        <v>44511</v>
      </c>
      <c r="AZ1209" s="1">
        <v>3.2374999999999998</v>
      </c>
      <c r="BF1209" s="1">
        <v>44511</v>
      </c>
      <c r="BG1209" s="1">
        <v>3.375</v>
      </c>
      <c r="BH1209" s="1">
        <v>44511</v>
      </c>
      <c r="BI1209" s="1">
        <v>3.9049999999999998</v>
      </c>
      <c r="BJ1209" s="1">
        <v>44511</v>
      </c>
      <c r="BK1209" s="1">
        <v>4.1150000000000002</v>
      </c>
      <c r="BL1209" s="1">
        <v>44511</v>
      </c>
      <c r="BM1209" s="1">
        <v>4.1050000000000004</v>
      </c>
      <c r="BN1209" s="1">
        <v>44510</v>
      </c>
      <c r="BO1209" s="1">
        <v>3.9449999999999998</v>
      </c>
      <c r="BP1209" s="1">
        <v>44511</v>
      </c>
      <c r="BQ1209" s="1">
        <v>3.8250000000000002</v>
      </c>
      <c r="BR1209" s="1">
        <v>44511</v>
      </c>
      <c r="BS1209" s="1">
        <v>3.665</v>
      </c>
      <c r="BT1209" s="1">
        <v>44511</v>
      </c>
      <c r="BU1209" s="1">
        <v>3.528</v>
      </c>
      <c r="BV1209" s="1">
        <v>44511</v>
      </c>
      <c r="BW1209" s="1">
        <v>3.4849999999999999</v>
      </c>
      <c r="CC1209" s="1">
        <v>44511</v>
      </c>
      <c r="CD1209" s="1">
        <v>2.42</v>
      </c>
      <c r="CE1209" s="1">
        <v>44511</v>
      </c>
      <c r="CF1209" s="1">
        <v>3.0274999999999999</v>
      </c>
      <c r="CG1209" s="1">
        <v>44511</v>
      </c>
      <c r="CH1209" s="1">
        <v>3.3774999999999999</v>
      </c>
      <c r="CI1209" s="1">
        <v>44511</v>
      </c>
      <c r="CJ1209" s="1">
        <v>3.8475000000000001</v>
      </c>
      <c r="CK1209" s="1">
        <v>44511</v>
      </c>
      <c r="CL1209" s="1">
        <v>4.16</v>
      </c>
      <c r="CM1209" s="1">
        <v>44503</v>
      </c>
      <c r="CN1209" s="1">
        <v>3.625</v>
      </c>
      <c r="CO1209" s="1">
        <v>44494</v>
      </c>
      <c r="CP1209" s="1">
        <v>3.8424999999999998</v>
      </c>
      <c r="CQ1209" s="1">
        <v>44494</v>
      </c>
      <c r="CR1209" s="1">
        <v>3.9674999999999998</v>
      </c>
      <c r="CS1209" s="1">
        <v>44494</v>
      </c>
      <c r="CT1209" s="1">
        <v>4.04</v>
      </c>
    </row>
    <row r="1210" spans="31:98" x14ac:dyDescent="0.2">
      <c r="AE1210" s="1">
        <v>44502</v>
      </c>
      <c r="AF1210" s="1">
        <v>0.5</v>
      </c>
      <c r="AI1210" s="1">
        <v>44510</v>
      </c>
      <c r="AJ1210" s="1">
        <v>2.2953000000000001</v>
      </c>
      <c r="AK1210" s="1">
        <v>44510</v>
      </c>
      <c r="AL1210" s="1">
        <v>2.69</v>
      </c>
      <c r="AM1210" s="1">
        <v>44510</v>
      </c>
      <c r="AN1210" s="1">
        <v>2.9485999999999999</v>
      </c>
      <c r="AO1210" s="1">
        <v>44510</v>
      </c>
      <c r="AP1210" s="1">
        <v>3.2328999999999999</v>
      </c>
      <c r="AQ1210" s="1">
        <v>44510</v>
      </c>
      <c r="AR1210" s="1">
        <v>3.3372999999999999</v>
      </c>
      <c r="AS1210" s="1">
        <v>44510</v>
      </c>
      <c r="AT1210" s="1">
        <v>3.375</v>
      </c>
      <c r="AU1210" s="1">
        <v>44510</v>
      </c>
      <c r="AV1210" s="1">
        <v>3.3525</v>
      </c>
      <c r="AW1210" s="1">
        <v>44510</v>
      </c>
      <c r="AX1210" s="1">
        <v>3.3025000000000002</v>
      </c>
      <c r="AY1210" s="1">
        <v>44510</v>
      </c>
      <c r="AZ1210" s="1">
        <v>3.2374999999999998</v>
      </c>
      <c r="BF1210" s="1">
        <v>44510</v>
      </c>
      <c r="BG1210" s="1">
        <v>3.37</v>
      </c>
      <c r="BH1210" s="1">
        <v>44510</v>
      </c>
      <c r="BI1210" s="1">
        <v>3.87</v>
      </c>
      <c r="BJ1210" s="1">
        <v>44510</v>
      </c>
      <c r="BK1210" s="1">
        <v>4.08</v>
      </c>
      <c r="BL1210" s="1">
        <v>44510</v>
      </c>
      <c r="BM1210" s="1">
        <v>4.0350000000000001</v>
      </c>
      <c r="BN1210" s="1">
        <v>44509</v>
      </c>
      <c r="BO1210" s="1">
        <v>3.72</v>
      </c>
      <c r="BP1210" s="1">
        <v>44510</v>
      </c>
      <c r="BQ1210" s="1">
        <v>3.7730000000000001</v>
      </c>
      <c r="BR1210" s="1">
        <v>44510</v>
      </c>
      <c r="BS1210" s="1">
        <v>3.61</v>
      </c>
      <c r="BT1210" s="1">
        <v>44510</v>
      </c>
      <c r="BU1210" s="1">
        <v>3.4729999999999999</v>
      </c>
      <c r="BV1210" s="1">
        <v>44510</v>
      </c>
      <c r="BW1210" s="1">
        <v>3.43</v>
      </c>
      <c r="CC1210" s="1">
        <v>44510</v>
      </c>
      <c r="CD1210" s="1">
        <v>2.3820000000000001</v>
      </c>
      <c r="CE1210" s="1">
        <v>44510</v>
      </c>
      <c r="CF1210" s="1">
        <v>2.91</v>
      </c>
      <c r="CG1210" s="1">
        <v>44510</v>
      </c>
      <c r="CH1210" s="1">
        <v>3.18</v>
      </c>
      <c r="CI1210" s="1">
        <v>44510</v>
      </c>
      <c r="CJ1210" s="1">
        <v>3.6324999999999998</v>
      </c>
      <c r="CK1210" s="1">
        <v>44510</v>
      </c>
      <c r="CL1210" s="1">
        <v>4.1550000000000002</v>
      </c>
      <c r="CM1210" s="1">
        <v>44502</v>
      </c>
      <c r="CN1210" s="1">
        <v>3.625</v>
      </c>
      <c r="CO1210" s="1">
        <v>44491</v>
      </c>
      <c r="CP1210" s="1">
        <v>3.77</v>
      </c>
      <c r="CQ1210" s="1">
        <v>44491</v>
      </c>
      <c r="CR1210" s="1">
        <v>3.895</v>
      </c>
      <c r="CS1210" s="1">
        <v>44491</v>
      </c>
      <c r="CT1210" s="1">
        <v>3.9674999999999998</v>
      </c>
    </row>
    <row r="1211" spans="31:98" x14ac:dyDescent="0.2">
      <c r="AE1211" s="1">
        <v>44501</v>
      </c>
      <c r="AF1211" s="1">
        <v>0.5</v>
      </c>
      <c r="AI1211" s="1">
        <v>44509</v>
      </c>
      <c r="AJ1211" s="1">
        <v>2.1960999999999999</v>
      </c>
      <c r="AK1211" s="1">
        <v>44509</v>
      </c>
      <c r="AL1211" s="1">
        <v>2.3650000000000002</v>
      </c>
      <c r="AM1211" s="1">
        <v>44509</v>
      </c>
      <c r="AN1211" s="1">
        <v>2.7250000000000001</v>
      </c>
      <c r="AO1211" s="1">
        <v>44509</v>
      </c>
      <c r="AP1211" s="1">
        <v>3</v>
      </c>
      <c r="AQ1211" s="1">
        <v>44509</v>
      </c>
      <c r="AR1211" s="1">
        <v>3.1</v>
      </c>
      <c r="AS1211" s="1">
        <v>44509</v>
      </c>
      <c r="AT1211" s="1">
        <v>3.145</v>
      </c>
      <c r="AU1211" s="1">
        <v>44509</v>
      </c>
      <c r="AV1211" s="1">
        <v>3.18</v>
      </c>
      <c r="AW1211" s="1">
        <v>44509</v>
      </c>
      <c r="AX1211" s="1">
        <v>3.145</v>
      </c>
      <c r="AY1211" s="1">
        <v>44509</v>
      </c>
      <c r="AZ1211" s="1">
        <v>3.105</v>
      </c>
      <c r="BF1211" s="1">
        <v>44509</v>
      </c>
      <c r="BG1211" s="1">
        <v>3.3050000000000002</v>
      </c>
      <c r="BH1211" s="1">
        <v>44509</v>
      </c>
      <c r="BI1211" s="1">
        <v>3.7450000000000001</v>
      </c>
      <c r="BJ1211" s="1">
        <v>44509</v>
      </c>
      <c r="BK1211" s="1">
        <v>3.9849999999999999</v>
      </c>
      <c r="BL1211" s="1">
        <v>44509</v>
      </c>
      <c r="BM1211" s="1">
        <v>3.84</v>
      </c>
      <c r="BN1211" s="1">
        <v>44508</v>
      </c>
      <c r="BO1211" s="1">
        <v>3.64</v>
      </c>
      <c r="BP1211" s="1">
        <v>44509</v>
      </c>
      <c r="BQ1211" s="1">
        <v>3.573</v>
      </c>
      <c r="BR1211" s="1">
        <v>44509</v>
      </c>
      <c r="BS1211" s="1">
        <v>3.4350000000000001</v>
      </c>
      <c r="BT1211" s="1">
        <v>44509</v>
      </c>
      <c r="BU1211" s="1">
        <v>3.2949999999999999</v>
      </c>
      <c r="BV1211" s="1">
        <v>44509</v>
      </c>
      <c r="BW1211" s="1">
        <v>3.2149999999999999</v>
      </c>
      <c r="CC1211" s="1">
        <v>44509</v>
      </c>
      <c r="CD1211" s="1">
        <v>2.3849999999999998</v>
      </c>
      <c r="CE1211" s="1">
        <v>44509</v>
      </c>
      <c r="CF1211" s="1">
        <v>2.79</v>
      </c>
      <c r="CG1211" s="1">
        <v>44509</v>
      </c>
      <c r="CH1211" s="1">
        <v>3.0150000000000001</v>
      </c>
      <c r="CI1211" s="1">
        <v>44509</v>
      </c>
      <c r="CJ1211" s="1">
        <v>3.4224999999999999</v>
      </c>
      <c r="CK1211" s="1">
        <v>44509</v>
      </c>
      <c r="CL1211" s="1">
        <v>3.78</v>
      </c>
      <c r="CM1211" s="1">
        <v>44498</v>
      </c>
      <c r="CN1211" s="1">
        <v>3.605</v>
      </c>
      <c r="CO1211" s="1">
        <v>44490</v>
      </c>
      <c r="CP1211" s="1">
        <v>3.63</v>
      </c>
      <c r="CQ1211" s="1">
        <v>44490</v>
      </c>
      <c r="CR1211" s="1">
        <v>3.7650000000000001</v>
      </c>
      <c r="CS1211" s="1">
        <v>44490</v>
      </c>
      <c r="CT1211" s="1">
        <v>3.835</v>
      </c>
    </row>
    <row r="1212" spans="31:98" x14ac:dyDescent="0.2">
      <c r="AE1212" s="1">
        <v>44498</v>
      </c>
      <c r="AF1212" s="1">
        <v>0.5</v>
      </c>
      <c r="AI1212" s="1">
        <v>44508</v>
      </c>
      <c r="AJ1212" s="1">
        <v>1.7544999999999999</v>
      </c>
      <c r="AK1212" s="1">
        <v>44508</v>
      </c>
      <c r="AL1212" s="1">
        <v>2.355</v>
      </c>
      <c r="AM1212" s="1">
        <v>44508</v>
      </c>
      <c r="AN1212" s="1">
        <v>2.6349999999999998</v>
      </c>
      <c r="AO1212" s="1">
        <v>44508</v>
      </c>
      <c r="AP1212" s="1">
        <v>2.9449999999999998</v>
      </c>
      <c r="AQ1212" s="1">
        <v>44508</v>
      </c>
      <c r="AR1212" s="1">
        <v>3.07</v>
      </c>
      <c r="AS1212" s="1">
        <v>44508</v>
      </c>
      <c r="AT1212" s="1">
        <v>3.13</v>
      </c>
      <c r="AU1212" s="1">
        <v>44508</v>
      </c>
      <c r="AV1212" s="1">
        <v>3.15</v>
      </c>
      <c r="AW1212" s="1">
        <v>44508</v>
      </c>
      <c r="AX1212" s="1">
        <v>3.1175000000000002</v>
      </c>
      <c r="AY1212" s="1">
        <v>44508</v>
      </c>
      <c r="AZ1212" s="1">
        <v>3.0550000000000002</v>
      </c>
      <c r="BF1212" s="1">
        <v>44508</v>
      </c>
      <c r="BG1212" s="1">
        <v>3.24</v>
      </c>
      <c r="BH1212" s="1">
        <v>44508</v>
      </c>
      <c r="BI1212" s="1">
        <v>3.665</v>
      </c>
      <c r="BJ1212" s="1">
        <v>44508</v>
      </c>
      <c r="BK1212" s="1">
        <v>3.91</v>
      </c>
      <c r="BL1212" s="1">
        <v>44508</v>
      </c>
      <c r="BM1212" s="1">
        <v>3.7850000000000001</v>
      </c>
      <c r="BN1212" s="1">
        <v>44505</v>
      </c>
      <c r="BO1212" s="1">
        <v>3.73</v>
      </c>
      <c r="BP1212" s="1">
        <v>44508</v>
      </c>
      <c r="BQ1212" s="1">
        <v>3.4929999999999999</v>
      </c>
      <c r="BR1212" s="1">
        <v>44508</v>
      </c>
      <c r="BS1212" s="1">
        <v>3.3450000000000002</v>
      </c>
      <c r="BT1212" s="1">
        <v>44508</v>
      </c>
      <c r="BU1212" s="1">
        <v>3.1930000000000001</v>
      </c>
      <c r="BV1212" s="1">
        <v>44508</v>
      </c>
      <c r="BW1212" s="1">
        <v>3.1030000000000002</v>
      </c>
      <c r="CC1212" s="1">
        <v>44508</v>
      </c>
      <c r="CD1212" s="1">
        <v>2.37</v>
      </c>
      <c r="CE1212" s="1">
        <v>44508</v>
      </c>
      <c r="CF1212" s="1">
        <v>2.7349999999999999</v>
      </c>
      <c r="CG1212" s="1">
        <v>44508</v>
      </c>
      <c r="CH1212" s="1">
        <v>2.9550000000000001</v>
      </c>
      <c r="CI1212" s="1">
        <v>44508</v>
      </c>
      <c r="CJ1212" s="1">
        <v>3.35</v>
      </c>
      <c r="CK1212" s="1">
        <v>44508</v>
      </c>
      <c r="CL1212" s="1">
        <v>3.6</v>
      </c>
      <c r="CM1212" s="1">
        <v>44497</v>
      </c>
      <c r="CN1212" s="1">
        <v>3.5350000000000001</v>
      </c>
      <c r="CO1212" s="1">
        <v>44489</v>
      </c>
      <c r="CP1212" s="1">
        <v>3.5425</v>
      </c>
      <c r="CQ1212" s="1">
        <v>44489</v>
      </c>
      <c r="CR1212" s="1">
        <v>3.6850000000000001</v>
      </c>
      <c r="CS1212" s="1">
        <v>44489</v>
      </c>
      <c r="CT1212" s="1">
        <v>3.7625000000000002</v>
      </c>
    </row>
    <row r="1213" spans="31:98" x14ac:dyDescent="0.2">
      <c r="AE1213" s="1">
        <v>44497</v>
      </c>
      <c r="AF1213" s="1">
        <v>0.5</v>
      </c>
      <c r="AI1213" s="1">
        <v>44505</v>
      </c>
      <c r="AJ1213" s="1">
        <v>1.7273000000000001</v>
      </c>
      <c r="AK1213" s="1">
        <v>44505</v>
      </c>
      <c r="AL1213" s="1">
        <v>2.2850000000000001</v>
      </c>
      <c r="AM1213" s="1">
        <v>44505</v>
      </c>
      <c r="AN1213" s="1">
        <v>2.58</v>
      </c>
      <c r="AO1213" s="1">
        <v>44505</v>
      </c>
      <c r="AP1213" s="1">
        <v>2.89</v>
      </c>
      <c r="AQ1213" s="1">
        <v>44505</v>
      </c>
      <c r="AR1213" s="1">
        <v>3.04</v>
      </c>
      <c r="AS1213" s="1">
        <v>44505</v>
      </c>
      <c r="AT1213" s="1">
        <v>3.0724999999999998</v>
      </c>
      <c r="AU1213" s="1">
        <v>44505</v>
      </c>
      <c r="AV1213" s="1">
        <v>3.06</v>
      </c>
      <c r="AW1213" s="1">
        <v>44505</v>
      </c>
      <c r="AX1213" s="1">
        <v>3.01</v>
      </c>
      <c r="AY1213" s="1">
        <v>44505</v>
      </c>
      <c r="AZ1213" s="1">
        <v>2.9449999999999998</v>
      </c>
      <c r="BF1213" s="1">
        <v>44505</v>
      </c>
      <c r="BG1213" s="1">
        <v>3.17</v>
      </c>
      <c r="BH1213" s="1">
        <v>44505</v>
      </c>
      <c r="BI1213" s="1">
        <v>3.6349999999999998</v>
      </c>
      <c r="BJ1213" s="1">
        <v>44505</v>
      </c>
      <c r="BK1213" s="1">
        <v>3.903</v>
      </c>
      <c r="BL1213" s="1">
        <v>44505</v>
      </c>
      <c r="BM1213" s="1">
        <v>3.8149999999999999</v>
      </c>
      <c r="BN1213" s="1">
        <v>44504</v>
      </c>
      <c r="BO1213" s="1">
        <v>3.8580000000000001</v>
      </c>
      <c r="BP1213" s="1">
        <v>44505</v>
      </c>
      <c r="BQ1213" s="1">
        <v>3.62</v>
      </c>
      <c r="BR1213" s="1">
        <v>44505</v>
      </c>
      <c r="BS1213" s="1">
        <v>3.4750000000000001</v>
      </c>
      <c r="BT1213" s="1">
        <v>44505</v>
      </c>
      <c r="BU1213" s="1">
        <v>3.3450000000000002</v>
      </c>
      <c r="BV1213" s="1">
        <v>44505</v>
      </c>
      <c r="BW1213" s="1">
        <v>3.23</v>
      </c>
      <c r="CC1213" s="1">
        <v>44505</v>
      </c>
      <c r="CD1213" s="1">
        <v>2.2469999999999999</v>
      </c>
      <c r="CE1213" s="1">
        <v>44505</v>
      </c>
      <c r="CF1213" s="1">
        <v>2.6749999999999998</v>
      </c>
      <c r="CG1213" s="1">
        <v>44505</v>
      </c>
      <c r="CH1213" s="1">
        <v>2.89</v>
      </c>
      <c r="CI1213" s="1">
        <v>44505</v>
      </c>
      <c r="CJ1213" s="1">
        <v>3.26</v>
      </c>
      <c r="CK1213" s="1">
        <v>44505</v>
      </c>
      <c r="CL1213" s="1">
        <v>3.5775000000000001</v>
      </c>
      <c r="CM1213" s="1">
        <v>44496</v>
      </c>
      <c r="CN1213" s="1">
        <v>3.5325000000000002</v>
      </c>
      <c r="CO1213" s="1">
        <v>44488</v>
      </c>
      <c r="CP1213" s="1">
        <v>3.55</v>
      </c>
      <c r="CQ1213" s="1">
        <v>44488</v>
      </c>
      <c r="CR1213" s="1">
        <v>3.7075</v>
      </c>
      <c r="CS1213" s="1">
        <v>44488</v>
      </c>
      <c r="CT1213" s="1">
        <v>3.85</v>
      </c>
    </row>
    <row r="1214" spans="31:98" x14ac:dyDescent="0.2">
      <c r="AE1214" s="1">
        <v>44496</v>
      </c>
      <c r="AF1214" s="1">
        <v>0.5</v>
      </c>
      <c r="AI1214" s="1">
        <v>44504</v>
      </c>
      <c r="AJ1214" s="1">
        <v>1.772</v>
      </c>
      <c r="AK1214" s="1">
        <v>44504</v>
      </c>
      <c r="AL1214" s="1">
        <v>2.4140000000000001</v>
      </c>
      <c r="AM1214" s="1">
        <v>44504</v>
      </c>
      <c r="AN1214" s="1">
        <v>2.645</v>
      </c>
      <c r="AO1214" s="1">
        <v>44504</v>
      </c>
      <c r="AP1214" s="1">
        <v>3.0350000000000001</v>
      </c>
      <c r="AQ1214" s="1">
        <v>44504</v>
      </c>
      <c r="AR1214" s="1">
        <v>3.25</v>
      </c>
      <c r="AS1214" s="1">
        <v>44504</v>
      </c>
      <c r="AT1214" s="1">
        <v>3.2450000000000001</v>
      </c>
      <c r="AU1214" s="1">
        <v>44504</v>
      </c>
      <c r="AV1214" s="1">
        <v>3.1949999999999998</v>
      </c>
      <c r="AW1214" s="1">
        <v>44504</v>
      </c>
      <c r="AX1214" s="1">
        <v>3.1549999999999998</v>
      </c>
      <c r="AY1214" s="1">
        <v>44504</v>
      </c>
      <c r="AZ1214" s="1">
        <v>3.1150000000000002</v>
      </c>
      <c r="BF1214" s="1">
        <v>44504</v>
      </c>
      <c r="BG1214" s="1">
        <v>3.1989999999999998</v>
      </c>
      <c r="BH1214" s="1">
        <v>44504</v>
      </c>
      <c r="BI1214" s="1">
        <v>3.4609999999999999</v>
      </c>
      <c r="BJ1214" s="1">
        <v>44504</v>
      </c>
      <c r="BK1214" s="1">
        <v>3.84</v>
      </c>
      <c r="BL1214" s="1">
        <v>44504</v>
      </c>
      <c r="BM1214" s="1">
        <v>3.89</v>
      </c>
      <c r="BN1214" s="1">
        <v>44503</v>
      </c>
      <c r="BO1214" s="1">
        <v>3.585</v>
      </c>
      <c r="BP1214" s="1">
        <v>44504</v>
      </c>
      <c r="BQ1214" s="1">
        <v>3.74</v>
      </c>
      <c r="BR1214" s="1">
        <v>44504</v>
      </c>
      <c r="BS1214" s="1">
        <v>3.5880000000000001</v>
      </c>
      <c r="BT1214" s="1">
        <v>44504</v>
      </c>
      <c r="BU1214" s="1">
        <v>3.4780000000000002</v>
      </c>
      <c r="BV1214" s="1">
        <v>44504</v>
      </c>
      <c r="BW1214" s="1">
        <v>3.3879999999999999</v>
      </c>
      <c r="CC1214" s="1">
        <v>44504</v>
      </c>
      <c r="CD1214" s="1">
        <v>2.2400000000000002</v>
      </c>
      <c r="CE1214" s="1">
        <v>44504</v>
      </c>
      <c r="CF1214" s="1">
        <v>2.6970000000000001</v>
      </c>
      <c r="CG1214" s="1">
        <v>44504</v>
      </c>
      <c r="CH1214" s="1">
        <v>2.89</v>
      </c>
      <c r="CI1214" s="1">
        <v>44504</v>
      </c>
      <c r="CJ1214" s="1">
        <v>3.26</v>
      </c>
      <c r="CK1214" s="1">
        <v>44504</v>
      </c>
      <c r="CL1214" s="1">
        <v>3.59</v>
      </c>
      <c r="CM1214" s="1">
        <v>44495</v>
      </c>
      <c r="CN1214" s="1">
        <v>3.5750000000000002</v>
      </c>
      <c r="CO1214" s="1">
        <v>44487</v>
      </c>
      <c r="CP1214" s="1">
        <v>3.54</v>
      </c>
      <c r="CQ1214" s="1">
        <v>44487</v>
      </c>
      <c r="CR1214" s="1">
        <v>3.7124999999999999</v>
      </c>
      <c r="CS1214" s="1">
        <v>44487</v>
      </c>
      <c r="CT1214" s="1">
        <v>3.8624999999999998</v>
      </c>
    </row>
    <row r="1215" spans="31:98" x14ac:dyDescent="0.2">
      <c r="AE1215" s="1">
        <v>44495</v>
      </c>
      <c r="AF1215" s="1">
        <v>0.5</v>
      </c>
      <c r="AI1215" s="1">
        <v>44503</v>
      </c>
      <c r="AJ1215" s="1">
        <v>1.581</v>
      </c>
      <c r="AK1215" s="1">
        <v>44503</v>
      </c>
      <c r="AL1215" s="1">
        <v>2.2250000000000001</v>
      </c>
      <c r="AM1215" s="1">
        <v>44503</v>
      </c>
      <c r="AN1215" s="1">
        <v>2.4552</v>
      </c>
      <c r="AO1215" s="1">
        <v>44503</v>
      </c>
      <c r="AP1215" s="1">
        <v>2.8698000000000001</v>
      </c>
      <c r="AQ1215" s="1">
        <v>44503</v>
      </c>
      <c r="AR1215" s="1">
        <v>3.1023999999999998</v>
      </c>
      <c r="AS1215" s="1">
        <v>44503</v>
      </c>
      <c r="AT1215" s="1">
        <v>3.15</v>
      </c>
      <c r="AU1215" s="1">
        <v>44503</v>
      </c>
      <c r="AV1215" s="1">
        <v>3.1524999999999999</v>
      </c>
      <c r="AW1215" s="1">
        <v>44503</v>
      </c>
      <c r="AX1215" s="1">
        <v>3.1549999999999998</v>
      </c>
      <c r="AY1215" s="1">
        <v>44503</v>
      </c>
      <c r="AZ1215" s="1">
        <v>3.16</v>
      </c>
      <c r="BF1215" s="1">
        <v>44503</v>
      </c>
      <c r="BG1215" s="1">
        <v>2.9</v>
      </c>
      <c r="BH1215" s="1">
        <v>44503</v>
      </c>
      <c r="BI1215" s="1">
        <v>3.2850000000000001</v>
      </c>
      <c r="BJ1215" s="1">
        <v>44503</v>
      </c>
      <c r="BK1215" s="1">
        <v>3.4950000000000001</v>
      </c>
      <c r="BL1215" s="1">
        <v>44503</v>
      </c>
      <c r="BM1215" s="1">
        <v>3.6150000000000002</v>
      </c>
      <c r="BN1215" s="1">
        <v>44502</v>
      </c>
      <c r="BO1215" s="1">
        <v>3.5379999999999998</v>
      </c>
      <c r="BP1215" s="1">
        <v>44503</v>
      </c>
      <c r="BQ1215" s="1">
        <v>3.5449999999999999</v>
      </c>
      <c r="BR1215" s="1">
        <v>44503</v>
      </c>
      <c r="BS1215" s="1">
        <v>3.42</v>
      </c>
      <c r="BT1215" s="1">
        <v>44503</v>
      </c>
      <c r="BU1215" s="1">
        <v>3.31</v>
      </c>
      <c r="BV1215" s="1">
        <v>44503</v>
      </c>
      <c r="BW1215" s="1">
        <v>3.1949999999999998</v>
      </c>
      <c r="CC1215" s="1">
        <v>44503</v>
      </c>
      <c r="CD1215" s="1">
        <v>2.35</v>
      </c>
      <c r="CE1215" s="1">
        <v>44503</v>
      </c>
      <c r="CF1215" s="1">
        <v>2.645</v>
      </c>
      <c r="CG1215" s="1">
        <v>44503</v>
      </c>
      <c r="CH1215" s="1">
        <v>2.8250000000000002</v>
      </c>
      <c r="CI1215" s="1">
        <v>44503</v>
      </c>
      <c r="CJ1215" s="1">
        <v>3.165</v>
      </c>
      <c r="CK1215" s="1">
        <v>44503</v>
      </c>
      <c r="CL1215" s="1">
        <v>3.41</v>
      </c>
      <c r="CM1215" s="1">
        <v>44494</v>
      </c>
      <c r="CN1215" s="1">
        <v>3.62</v>
      </c>
      <c r="CO1215" s="1">
        <v>44484</v>
      </c>
      <c r="CP1215" s="1">
        <v>3.3624999999999998</v>
      </c>
      <c r="CQ1215" s="1">
        <v>44484</v>
      </c>
      <c r="CR1215" s="1">
        <v>3.53</v>
      </c>
      <c r="CS1215" s="1">
        <v>44484</v>
      </c>
      <c r="CT1215" s="1">
        <v>3.6875</v>
      </c>
    </row>
    <row r="1216" spans="31:98" x14ac:dyDescent="0.2">
      <c r="AE1216" s="1">
        <v>44494</v>
      </c>
      <c r="AF1216" s="1">
        <v>0.5</v>
      </c>
      <c r="AI1216" s="1">
        <v>44502</v>
      </c>
      <c r="AJ1216" s="1">
        <v>1.4065000000000001</v>
      </c>
      <c r="AK1216" s="1">
        <v>44502</v>
      </c>
      <c r="AL1216" s="1">
        <v>1.925</v>
      </c>
      <c r="AM1216" s="1">
        <v>44502</v>
      </c>
      <c r="AN1216" s="1">
        <v>2.1109</v>
      </c>
      <c r="AO1216" s="1">
        <v>44502</v>
      </c>
      <c r="AP1216" s="1">
        <v>2.5198</v>
      </c>
      <c r="AQ1216" s="1">
        <v>44502</v>
      </c>
      <c r="AR1216" s="1">
        <v>2.8902999999999999</v>
      </c>
      <c r="AS1216" s="1">
        <v>44502</v>
      </c>
      <c r="AT1216" s="1">
        <v>2.9</v>
      </c>
      <c r="AU1216" s="1">
        <v>44502</v>
      </c>
      <c r="AV1216" s="1">
        <v>2.9550000000000001</v>
      </c>
      <c r="AW1216" s="1">
        <v>44502</v>
      </c>
      <c r="AX1216" s="1">
        <v>2.95</v>
      </c>
      <c r="AY1216" s="1">
        <v>44502</v>
      </c>
      <c r="AZ1216" s="1">
        <v>2.9550000000000001</v>
      </c>
      <c r="BF1216" s="1">
        <v>44502</v>
      </c>
      <c r="BG1216" s="1">
        <v>2.883</v>
      </c>
      <c r="BH1216" s="1">
        <v>44502</v>
      </c>
      <c r="BI1216" s="1">
        <v>3.2629999999999999</v>
      </c>
      <c r="BJ1216" s="1">
        <v>44502</v>
      </c>
      <c r="BK1216" s="1">
        <v>3.448</v>
      </c>
      <c r="BL1216" s="1">
        <v>44502</v>
      </c>
      <c r="BM1216" s="1">
        <v>3.57</v>
      </c>
      <c r="BN1216" s="1">
        <v>44501</v>
      </c>
      <c r="BO1216" s="1">
        <v>3.5880000000000001</v>
      </c>
      <c r="BP1216" s="1">
        <v>44502</v>
      </c>
      <c r="BQ1216" s="1">
        <v>3.5</v>
      </c>
      <c r="BR1216" s="1">
        <v>44502</v>
      </c>
      <c r="BS1216" s="1">
        <v>3.375</v>
      </c>
      <c r="BT1216" s="1">
        <v>44502</v>
      </c>
      <c r="BU1216" s="1">
        <v>3.258</v>
      </c>
      <c r="BV1216" s="1">
        <v>44502</v>
      </c>
      <c r="BW1216" s="1">
        <v>3.1480000000000001</v>
      </c>
      <c r="CC1216" s="1">
        <v>44502</v>
      </c>
      <c r="CD1216" s="1">
        <v>2.2589999999999999</v>
      </c>
      <c r="CE1216" s="1">
        <v>44502</v>
      </c>
      <c r="CF1216" s="1">
        <v>2.66</v>
      </c>
      <c r="CG1216" s="1">
        <v>44502</v>
      </c>
      <c r="CH1216" s="1">
        <v>2.835</v>
      </c>
      <c r="CI1216" s="1">
        <v>44502</v>
      </c>
      <c r="CJ1216" s="1">
        <v>3.165</v>
      </c>
      <c r="CK1216" s="1">
        <v>44502</v>
      </c>
      <c r="CL1216" s="1">
        <v>3.4</v>
      </c>
      <c r="CM1216" s="1">
        <v>44491</v>
      </c>
      <c r="CN1216" s="1">
        <v>3.5449999999999999</v>
      </c>
      <c r="CO1216" s="1">
        <v>44483</v>
      </c>
      <c r="CP1216" s="1">
        <v>3.335</v>
      </c>
      <c r="CQ1216" s="1">
        <v>44483</v>
      </c>
      <c r="CR1216" s="1">
        <v>3.5024999999999999</v>
      </c>
      <c r="CS1216" s="1">
        <v>44483</v>
      </c>
      <c r="CT1216" s="1">
        <v>3.6625000000000001</v>
      </c>
    </row>
    <row r="1217" spans="31:98" x14ac:dyDescent="0.2">
      <c r="AE1217" s="1">
        <v>44491</v>
      </c>
      <c r="AF1217" s="1">
        <v>0.5</v>
      </c>
      <c r="AI1217" s="1">
        <v>44501</v>
      </c>
      <c r="AJ1217" s="1">
        <v>1.3089999999999999</v>
      </c>
      <c r="AK1217" s="1">
        <v>44501</v>
      </c>
      <c r="AL1217" s="1">
        <v>1.7549999999999999</v>
      </c>
      <c r="AM1217" s="1">
        <v>44501</v>
      </c>
      <c r="AN1217" s="1">
        <v>1.95</v>
      </c>
      <c r="AO1217" s="1">
        <v>44501</v>
      </c>
      <c r="AP1217" s="1">
        <v>2.4049999999999998</v>
      </c>
      <c r="AQ1217" s="1">
        <v>44501</v>
      </c>
      <c r="AR1217" s="1">
        <v>2.71</v>
      </c>
      <c r="AS1217" s="1">
        <v>44501</v>
      </c>
      <c r="AT1217" s="1">
        <v>2.8</v>
      </c>
      <c r="AU1217" s="1">
        <v>44501</v>
      </c>
      <c r="AV1217" s="1">
        <v>2.8325</v>
      </c>
      <c r="AW1217" s="1">
        <v>44501</v>
      </c>
      <c r="AX1217" s="1">
        <v>2.8374999999999999</v>
      </c>
      <c r="AY1217" s="1">
        <v>44501</v>
      </c>
      <c r="AZ1217" s="1">
        <v>2.8424999999999998</v>
      </c>
      <c r="BF1217" s="1">
        <v>44501</v>
      </c>
      <c r="BG1217" s="1">
        <v>2.84</v>
      </c>
      <c r="BH1217" s="1">
        <v>44501</v>
      </c>
      <c r="BI1217" s="1">
        <v>3.29</v>
      </c>
      <c r="BJ1217" s="1">
        <v>44501</v>
      </c>
      <c r="BK1217" s="1">
        <v>3.48</v>
      </c>
      <c r="BL1217" s="1">
        <v>44501</v>
      </c>
      <c r="BM1217" s="1">
        <v>3.6080000000000001</v>
      </c>
      <c r="BN1217" s="1">
        <v>44498</v>
      </c>
      <c r="BO1217" s="1">
        <v>3.6150000000000002</v>
      </c>
      <c r="BP1217" s="1">
        <v>44501</v>
      </c>
      <c r="BQ1217" s="1">
        <v>3.5579999999999998</v>
      </c>
      <c r="BR1217" s="1">
        <v>44501</v>
      </c>
      <c r="BS1217" s="1">
        <v>3.423</v>
      </c>
      <c r="BT1217" s="1">
        <v>44501</v>
      </c>
      <c r="BU1217" s="1">
        <v>3.3</v>
      </c>
      <c r="BV1217" s="1">
        <v>44501</v>
      </c>
      <c r="BW1217" s="1">
        <v>3.19</v>
      </c>
      <c r="CC1217" s="1">
        <v>44501</v>
      </c>
      <c r="CD1217" s="1">
        <v>2.2440000000000002</v>
      </c>
      <c r="CE1217" s="1">
        <v>44501</v>
      </c>
      <c r="CF1217" s="1">
        <v>2.64</v>
      </c>
      <c r="CG1217" s="1">
        <v>44501</v>
      </c>
      <c r="CH1217" s="1">
        <v>2.85</v>
      </c>
      <c r="CI1217" s="1">
        <v>44501</v>
      </c>
      <c r="CJ1217" s="1">
        <v>3.18</v>
      </c>
      <c r="CK1217" s="1">
        <v>44501</v>
      </c>
      <c r="CL1217" s="1">
        <v>3.415</v>
      </c>
      <c r="CM1217" s="1">
        <v>44490</v>
      </c>
      <c r="CN1217" s="1">
        <v>3.44</v>
      </c>
      <c r="CO1217" s="1">
        <v>44482</v>
      </c>
      <c r="CP1217" s="1">
        <v>3.4275000000000002</v>
      </c>
      <c r="CQ1217" s="1">
        <v>44482</v>
      </c>
      <c r="CR1217" s="1">
        <v>3.605</v>
      </c>
      <c r="CS1217" s="1">
        <v>44482</v>
      </c>
      <c r="CT1217" s="1">
        <v>3.7774999999999999</v>
      </c>
    </row>
    <row r="1218" spans="31:98" x14ac:dyDescent="0.2">
      <c r="AE1218" s="1">
        <v>44490</v>
      </c>
      <c r="AF1218" s="1">
        <v>0.5</v>
      </c>
      <c r="AI1218" s="1">
        <v>44498</v>
      </c>
      <c r="AJ1218" s="1">
        <v>1.3185</v>
      </c>
      <c r="AK1218" s="1">
        <v>44498</v>
      </c>
      <c r="AL1218" s="1">
        <v>1.7549999999999999</v>
      </c>
      <c r="AM1218" s="1">
        <v>44498</v>
      </c>
      <c r="AN1218" s="1">
        <v>1.95</v>
      </c>
      <c r="AO1218" s="1">
        <v>44498</v>
      </c>
      <c r="AP1218" s="1">
        <v>2.4049999999999998</v>
      </c>
      <c r="AQ1218" s="1">
        <v>44498</v>
      </c>
      <c r="AR1218" s="1">
        <v>2.71</v>
      </c>
      <c r="AS1218" s="1">
        <v>44498</v>
      </c>
      <c r="AT1218" s="1">
        <v>2.8</v>
      </c>
      <c r="AU1218" s="1">
        <v>44498</v>
      </c>
      <c r="AV1218" s="1">
        <v>2.8325</v>
      </c>
      <c r="AW1218" s="1">
        <v>44498</v>
      </c>
      <c r="AX1218" s="1">
        <v>2.8374999999999999</v>
      </c>
      <c r="AY1218" s="1">
        <v>44498</v>
      </c>
      <c r="AZ1218" s="1">
        <v>2.8424999999999998</v>
      </c>
      <c r="BF1218" s="1">
        <v>44498</v>
      </c>
      <c r="BG1218" s="1">
        <v>2.835</v>
      </c>
      <c r="BH1218" s="1">
        <v>44498</v>
      </c>
      <c r="BI1218" s="1">
        <v>3.3010000000000002</v>
      </c>
      <c r="BJ1218" s="1">
        <v>44498</v>
      </c>
      <c r="BK1218" s="1">
        <v>3.4750000000000001</v>
      </c>
      <c r="BL1218" s="1">
        <v>44498</v>
      </c>
      <c r="BM1218" s="1">
        <v>3.62</v>
      </c>
      <c r="BN1218" s="1">
        <v>44497</v>
      </c>
      <c r="BO1218" s="1">
        <v>3.57</v>
      </c>
      <c r="BP1218" s="1">
        <v>44498</v>
      </c>
      <c r="BQ1218" s="1">
        <v>3.57</v>
      </c>
      <c r="BR1218" s="1">
        <v>44498</v>
      </c>
      <c r="BS1218" s="1">
        <v>3.4329999999999998</v>
      </c>
      <c r="BT1218" s="1">
        <v>44498</v>
      </c>
      <c r="BU1218" s="1">
        <v>3.31</v>
      </c>
      <c r="BV1218" s="1">
        <v>44498</v>
      </c>
      <c r="BW1218" s="1">
        <v>3.2</v>
      </c>
      <c r="CC1218" s="1">
        <v>44498</v>
      </c>
      <c r="CD1218" s="1">
        <v>2.2440000000000002</v>
      </c>
      <c r="CE1218" s="1">
        <v>44498</v>
      </c>
      <c r="CF1218" s="1">
        <v>2.625</v>
      </c>
      <c r="CG1218" s="1">
        <v>44498</v>
      </c>
      <c r="CH1218" s="1">
        <v>2.85</v>
      </c>
      <c r="CI1218" s="1">
        <v>44498</v>
      </c>
      <c r="CJ1218" s="1">
        <v>3.1549999999999998</v>
      </c>
      <c r="CK1218" s="1">
        <v>44498</v>
      </c>
      <c r="CL1218" s="1">
        <v>3.415</v>
      </c>
      <c r="CM1218" s="1">
        <v>44489</v>
      </c>
      <c r="CN1218" s="1">
        <v>3.34</v>
      </c>
      <c r="CO1218" s="1">
        <v>44481</v>
      </c>
      <c r="CP1218" s="1">
        <v>3.3525</v>
      </c>
      <c r="CQ1218" s="1">
        <v>44481</v>
      </c>
      <c r="CR1218" s="1">
        <v>3.52</v>
      </c>
      <c r="CS1218" s="1">
        <v>44481</v>
      </c>
      <c r="CT1218" s="1">
        <v>3.6724999999999999</v>
      </c>
    </row>
    <row r="1219" spans="31:98" x14ac:dyDescent="0.2">
      <c r="AE1219" s="1">
        <v>44489</v>
      </c>
      <c r="AF1219" s="1">
        <v>0.5</v>
      </c>
      <c r="AI1219" s="1">
        <v>44497</v>
      </c>
      <c r="AJ1219" s="1">
        <v>1.2130000000000001</v>
      </c>
      <c r="AK1219" s="1">
        <v>44497</v>
      </c>
      <c r="AL1219" s="1">
        <v>1.5249999999999999</v>
      </c>
      <c r="AM1219" s="1">
        <v>44497</v>
      </c>
      <c r="AN1219" s="1">
        <v>1.7649999999999999</v>
      </c>
      <c r="AO1219" s="1">
        <v>44497</v>
      </c>
      <c r="AP1219" s="1">
        <v>2.17</v>
      </c>
      <c r="AQ1219" s="1">
        <v>44497</v>
      </c>
      <c r="AR1219" s="1">
        <v>2.5950000000000002</v>
      </c>
      <c r="AS1219" s="1">
        <v>44497</v>
      </c>
      <c r="AT1219" s="1">
        <v>2.7450000000000001</v>
      </c>
      <c r="AU1219" s="1">
        <v>44497</v>
      </c>
      <c r="AV1219" s="1">
        <v>2.8075000000000001</v>
      </c>
      <c r="AW1219" s="1">
        <v>44497</v>
      </c>
      <c r="AX1219" s="1">
        <v>2.8125</v>
      </c>
      <c r="AY1219" s="1">
        <v>44497</v>
      </c>
      <c r="AZ1219" s="1">
        <v>2.8174999999999999</v>
      </c>
      <c r="BF1219" s="1">
        <v>44497</v>
      </c>
      <c r="BG1219" s="1">
        <v>2.8450000000000002</v>
      </c>
      <c r="BH1219" s="1">
        <v>44497</v>
      </c>
      <c r="BI1219" s="1">
        <v>3.2450000000000001</v>
      </c>
      <c r="BJ1219" s="1">
        <v>44497</v>
      </c>
      <c r="BK1219" s="1">
        <v>3.45</v>
      </c>
      <c r="BL1219" s="1">
        <v>44497</v>
      </c>
      <c r="BM1219" s="1">
        <v>3.58</v>
      </c>
      <c r="BN1219" s="1">
        <v>44496</v>
      </c>
      <c r="BO1219" s="1">
        <v>3.57</v>
      </c>
      <c r="BP1219" s="1">
        <v>44497</v>
      </c>
      <c r="BQ1219" s="1">
        <v>3.5430000000000001</v>
      </c>
      <c r="BR1219" s="1">
        <v>44497</v>
      </c>
      <c r="BS1219" s="1">
        <v>3.4079999999999999</v>
      </c>
      <c r="BT1219" s="1">
        <v>44497</v>
      </c>
      <c r="BU1219" s="1">
        <v>3.2879999999999998</v>
      </c>
      <c r="BV1219" s="1">
        <v>44497</v>
      </c>
      <c r="BW1219" s="1">
        <v>3.1829999999999998</v>
      </c>
      <c r="CC1219" s="1">
        <v>44497</v>
      </c>
      <c r="CD1219" s="1">
        <v>2.1875</v>
      </c>
      <c r="CE1219" s="1">
        <v>44497</v>
      </c>
      <c r="CF1219" s="1">
        <v>2.5499999999999998</v>
      </c>
      <c r="CG1219" s="1">
        <v>44497</v>
      </c>
      <c r="CH1219" s="1">
        <v>2.7850000000000001</v>
      </c>
      <c r="CI1219" s="1">
        <v>44497</v>
      </c>
      <c r="CJ1219" s="1">
        <v>3.09</v>
      </c>
      <c r="CK1219" s="1">
        <v>44497</v>
      </c>
      <c r="CL1219" s="1">
        <v>3.355</v>
      </c>
      <c r="CM1219" s="1">
        <v>44488</v>
      </c>
      <c r="CN1219" s="1">
        <v>3.37</v>
      </c>
      <c r="CO1219" s="1">
        <v>44480</v>
      </c>
      <c r="CP1219" s="1">
        <v>3.33</v>
      </c>
      <c r="CQ1219" s="1">
        <v>44480</v>
      </c>
      <c r="CR1219" s="1">
        <v>3.4925000000000002</v>
      </c>
      <c r="CS1219" s="1">
        <v>44480</v>
      </c>
      <c r="CT1219" s="1">
        <v>3.6425000000000001</v>
      </c>
    </row>
    <row r="1220" spans="31:98" x14ac:dyDescent="0.2">
      <c r="AE1220" s="1">
        <v>44488</v>
      </c>
      <c r="AF1220" s="1">
        <v>0.5</v>
      </c>
      <c r="AI1220" s="1">
        <v>44496</v>
      </c>
      <c r="AJ1220" s="1">
        <v>1.1365000000000001</v>
      </c>
      <c r="AK1220" s="1">
        <v>44496</v>
      </c>
      <c r="AL1220" s="1">
        <v>1.45</v>
      </c>
      <c r="AM1220" s="1">
        <v>44496</v>
      </c>
      <c r="AN1220" s="1">
        <v>1.645</v>
      </c>
      <c r="AO1220" s="1">
        <v>44496</v>
      </c>
      <c r="AP1220" s="1">
        <v>2.085</v>
      </c>
      <c r="AQ1220" s="1">
        <v>44496</v>
      </c>
      <c r="AR1220" s="1">
        <v>2.46</v>
      </c>
      <c r="AS1220" s="1">
        <v>44496</v>
      </c>
      <c r="AT1220" s="1">
        <v>2.52</v>
      </c>
      <c r="AU1220" s="1">
        <v>44496</v>
      </c>
      <c r="AV1220" s="1">
        <v>2.5649999999999999</v>
      </c>
      <c r="AW1220" s="1">
        <v>44496</v>
      </c>
      <c r="AX1220" s="1">
        <v>2.59</v>
      </c>
      <c r="AY1220" s="1">
        <v>44496</v>
      </c>
      <c r="AZ1220" s="1">
        <v>2.605</v>
      </c>
      <c r="BF1220" s="1">
        <v>44496</v>
      </c>
      <c r="BG1220" s="1">
        <v>2.8</v>
      </c>
      <c r="BH1220" s="1">
        <v>44496</v>
      </c>
      <c r="BI1220" s="1">
        <v>3.24</v>
      </c>
      <c r="BJ1220" s="1">
        <v>44496</v>
      </c>
      <c r="BK1220" s="1">
        <v>3.45</v>
      </c>
      <c r="BL1220" s="1">
        <v>44496</v>
      </c>
      <c r="BM1220" s="1">
        <v>3.58</v>
      </c>
      <c r="BN1220" s="1">
        <v>44495</v>
      </c>
      <c r="BO1220" s="1">
        <v>3.57</v>
      </c>
      <c r="BP1220" s="1">
        <v>44496</v>
      </c>
      <c r="BQ1220" s="1">
        <v>3.5430000000000001</v>
      </c>
      <c r="BR1220" s="1">
        <v>44496</v>
      </c>
      <c r="BS1220" s="1">
        <v>3.4079999999999999</v>
      </c>
      <c r="BT1220" s="1">
        <v>44496</v>
      </c>
      <c r="BU1220" s="1">
        <v>3.2879999999999998</v>
      </c>
      <c r="BV1220" s="1">
        <v>44496</v>
      </c>
      <c r="BW1220" s="1">
        <v>3.1829999999999998</v>
      </c>
      <c r="CC1220" s="1">
        <v>44496</v>
      </c>
      <c r="CD1220" s="1">
        <v>2.1875</v>
      </c>
      <c r="CE1220" s="1">
        <v>44496</v>
      </c>
      <c r="CF1220" s="1">
        <v>2.5649999999999999</v>
      </c>
      <c r="CG1220" s="1">
        <v>44496</v>
      </c>
      <c r="CH1220" s="1">
        <v>2.7549999999999999</v>
      </c>
      <c r="CI1220" s="1">
        <v>44496</v>
      </c>
      <c r="CJ1220" s="1">
        <v>3.07</v>
      </c>
      <c r="CK1220" s="1">
        <v>44496</v>
      </c>
      <c r="CL1220" s="1">
        <v>3.31</v>
      </c>
      <c r="CM1220" s="1">
        <v>44487</v>
      </c>
      <c r="CN1220" s="1">
        <v>3.3574999999999999</v>
      </c>
      <c r="CO1220" s="1">
        <v>44477</v>
      </c>
      <c r="CP1220" s="1">
        <v>3.2625000000000002</v>
      </c>
      <c r="CQ1220" s="1">
        <v>44477</v>
      </c>
      <c r="CR1220" s="1">
        <v>3.44</v>
      </c>
      <c r="CS1220" s="1">
        <v>44477</v>
      </c>
      <c r="CT1220" s="1">
        <v>3.5924999999999998</v>
      </c>
    </row>
    <row r="1221" spans="31:98" x14ac:dyDescent="0.2">
      <c r="AE1221" s="1">
        <v>44487</v>
      </c>
      <c r="AF1221" s="1">
        <v>0.5</v>
      </c>
      <c r="AI1221" s="1">
        <v>44495</v>
      </c>
      <c r="AJ1221" s="1">
        <v>1.1624000000000001</v>
      </c>
      <c r="AK1221" s="1">
        <v>44495</v>
      </c>
      <c r="AL1221" s="1">
        <v>1.42</v>
      </c>
      <c r="AM1221" s="1">
        <v>44495</v>
      </c>
      <c r="AN1221" s="1">
        <v>1.655</v>
      </c>
      <c r="AO1221" s="1">
        <v>44495</v>
      </c>
      <c r="AP1221" s="1">
        <v>2.0750000000000002</v>
      </c>
      <c r="AQ1221" s="1">
        <v>44495</v>
      </c>
      <c r="AR1221" s="1">
        <v>2.4500000000000002</v>
      </c>
      <c r="AS1221" s="1">
        <v>44495</v>
      </c>
      <c r="AT1221" s="1">
        <v>2.6375000000000002</v>
      </c>
      <c r="AU1221" s="1">
        <v>44495</v>
      </c>
      <c r="AV1221" s="1">
        <v>2.6825000000000001</v>
      </c>
      <c r="AW1221" s="1">
        <v>44495</v>
      </c>
      <c r="AX1221" s="1">
        <v>2.7025000000000001</v>
      </c>
      <c r="AY1221" s="1">
        <v>44495</v>
      </c>
      <c r="AZ1221" s="1">
        <v>2.7174999999999998</v>
      </c>
      <c r="BF1221" s="1">
        <v>44495</v>
      </c>
      <c r="BG1221" s="1">
        <v>2.8</v>
      </c>
      <c r="BH1221" s="1">
        <v>44495</v>
      </c>
      <c r="BI1221" s="1">
        <v>3.198</v>
      </c>
      <c r="BJ1221" s="1">
        <v>44495</v>
      </c>
      <c r="BK1221" s="1">
        <v>3.395</v>
      </c>
      <c r="BL1221" s="1">
        <v>44495</v>
      </c>
      <c r="BM1221" s="1">
        <v>3.5550000000000002</v>
      </c>
      <c r="BN1221" s="1">
        <v>44494</v>
      </c>
      <c r="BO1221" s="1">
        <v>3.6349999999999998</v>
      </c>
      <c r="BP1221" s="1">
        <v>44495</v>
      </c>
      <c r="BQ1221" s="1">
        <v>3.5449999999999999</v>
      </c>
      <c r="BR1221" s="1">
        <v>44495</v>
      </c>
      <c r="BS1221" s="1">
        <v>3.4</v>
      </c>
      <c r="BT1221" s="1">
        <v>44495</v>
      </c>
      <c r="BU1221" s="1">
        <v>3.27</v>
      </c>
      <c r="BV1221" s="1">
        <v>44495</v>
      </c>
      <c r="BW1221" s="1">
        <v>3.16</v>
      </c>
      <c r="CC1221" s="1">
        <v>44495</v>
      </c>
      <c r="CD1221" s="1">
        <v>2.1875</v>
      </c>
      <c r="CE1221" s="1">
        <v>44495</v>
      </c>
      <c r="CF1221" s="1">
        <v>2.4925000000000002</v>
      </c>
      <c r="CG1221" s="1">
        <v>44495</v>
      </c>
      <c r="CH1221" s="1">
        <v>2.7850000000000001</v>
      </c>
      <c r="CI1221" s="1">
        <v>44495</v>
      </c>
      <c r="CJ1221" s="1">
        <v>3.08</v>
      </c>
      <c r="CK1221" s="1">
        <v>44495</v>
      </c>
      <c r="CL1221" s="1">
        <v>3.36</v>
      </c>
      <c r="CM1221" s="1">
        <v>44484</v>
      </c>
      <c r="CN1221" s="1">
        <v>3.1875</v>
      </c>
      <c r="CO1221" s="1">
        <v>44476</v>
      </c>
      <c r="CP1221" s="1">
        <v>3.2174999999999998</v>
      </c>
      <c r="CQ1221" s="1">
        <v>44476</v>
      </c>
      <c r="CR1221" s="1">
        <v>3.3774999999999999</v>
      </c>
      <c r="CS1221" s="1">
        <v>44476</v>
      </c>
      <c r="CT1221" s="1">
        <v>3.5274999999999999</v>
      </c>
    </row>
    <row r="1222" spans="31:98" x14ac:dyDescent="0.2">
      <c r="AE1222" s="1">
        <v>44484</v>
      </c>
      <c r="AF1222" s="1">
        <v>0.5</v>
      </c>
      <c r="AI1222" s="1">
        <v>44494</v>
      </c>
      <c r="AJ1222" s="1">
        <v>1.147</v>
      </c>
      <c r="AK1222" s="1">
        <v>44494</v>
      </c>
      <c r="AL1222" s="1">
        <v>1.415</v>
      </c>
      <c r="AM1222" s="1">
        <v>44494</v>
      </c>
      <c r="AN1222" s="1">
        <v>1.65</v>
      </c>
      <c r="AO1222" s="1">
        <v>44494</v>
      </c>
      <c r="AP1222" s="1">
        <v>2.0699999999999998</v>
      </c>
      <c r="AQ1222" s="1">
        <v>44494</v>
      </c>
      <c r="AR1222" s="1">
        <v>2.4325000000000001</v>
      </c>
      <c r="AS1222" s="1">
        <v>44494</v>
      </c>
      <c r="AT1222" s="1">
        <v>2.63</v>
      </c>
      <c r="AU1222" s="1">
        <v>44494</v>
      </c>
      <c r="AV1222" s="1">
        <v>2.6875</v>
      </c>
      <c r="AW1222" s="1">
        <v>44494</v>
      </c>
      <c r="AX1222" s="1">
        <v>2.7225000000000001</v>
      </c>
      <c r="AY1222" s="1">
        <v>44494</v>
      </c>
      <c r="AZ1222" s="1">
        <v>2.7524999999999999</v>
      </c>
      <c r="BF1222" s="1">
        <v>44494</v>
      </c>
      <c r="BG1222" s="1">
        <v>2.7890000000000001</v>
      </c>
      <c r="BH1222" s="1">
        <v>44494</v>
      </c>
      <c r="BI1222" s="1">
        <v>2.9849999999999999</v>
      </c>
      <c r="BJ1222" s="1">
        <v>44494</v>
      </c>
      <c r="BK1222" s="1">
        <v>3.3849999999999998</v>
      </c>
      <c r="BL1222" s="1">
        <v>44494</v>
      </c>
      <c r="BM1222" s="1">
        <v>3.5950000000000002</v>
      </c>
      <c r="BN1222" s="1">
        <v>44491</v>
      </c>
      <c r="BO1222" s="1">
        <v>3.57</v>
      </c>
      <c r="BP1222" s="1">
        <v>44494</v>
      </c>
      <c r="BQ1222" s="1">
        <v>3.6</v>
      </c>
      <c r="BR1222" s="1">
        <v>44494</v>
      </c>
      <c r="BS1222" s="1">
        <v>3.4350000000000001</v>
      </c>
      <c r="BT1222" s="1">
        <v>44494</v>
      </c>
      <c r="BU1222" s="1">
        <v>3.2949999999999999</v>
      </c>
      <c r="BV1222" s="1">
        <v>44494</v>
      </c>
      <c r="BW1222" s="1">
        <v>3.17</v>
      </c>
      <c r="CC1222" s="1">
        <v>44494</v>
      </c>
      <c r="CD1222" s="1">
        <v>2.2799999999999998</v>
      </c>
      <c r="CE1222" s="1">
        <v>44494</v>
      </c>
      <c r="CF1222" s="1">
        <v>2.5325000000000002</v>
      </c>
      <c r="CG1222" s="1">
        <v>44494</v>
      </c>
      <c r="CH1222" s="1">
        <v>2.7324999999999999</v>
      </c>
      <c r="CI1222" s="1">
        <v>44494</v>
      </c>
      <c r="CJ1222" s="1">
        <v>3.1225000000000001</v>
      </c>
      <c r="CK1222" s="1">
        <v>44494</v>
      </c>
      <c r="CL1222" s="1">
        <v>3.43</v>
      </c>
      <c r="CM1222" s="1">
        <v>44483</v>
      </c>
      <c r="CN1222" s="1">
        <v>3.16</v>
      </c>
      <c r="CO1222" s="1">
        <v>44475</v>
      </c>
      <c r="CP1222" s="1">
        <v>3.25</v>
      </c>
      <c r="CQ1222" s="1">
        <v>44475</v>
      </c>
      <c r="CR1222" s="1">
        <v>3.4075000000000002</v>
      </c>
      <c r="CS1222" s="1">
        <v>44475</v>
      </c>
      <c r="CT1222" s="1">
        <v>3.53</v>
      </c>
    </row>
    <row r="1223" spans="31:98" x14ac:dyDescent="0.2">
      <c r="AE1223" s="1">
        <v>44483</v>
      </c>
      <c r="AF1223" s="1">
        <v>0.5</v>
      </c>
      <c r="AI1223" s="1">
        <v>44491</v>
      </c>
      <c r="AJ1223" s="1">
        <v>1.1527000000000001</v>
      </c>
      <c r="AK1223" s="1">
        <v>44491</v>
      </c>
      <c r="AL1223" s="1">
        <v>1.4</v>
      </c>
      <c r="AM1223" s="1">
        <v>44491</v>
      </c>
      <c r="AN1223" s="1">
        <v>1.5916999999999999</v>
      </c>
      <c r="AO1223" s="1">
        <v>44491</v>
      </c>
      <c r="AP1223" s="1">
        <v>2.0203000000000002</v>
      </c>
      <c r="AQ1223" s="1">
        <v>44491</v>
      </c>
      <c r="AR1223" s="1">
        <v>2.3904999999999998</v>
      </c>
      <c r="AS1223" s="1">
        <v>44491</v>
      </c>
      <c r="AT1223" s="1">
        <v>2.5625</v>
      </c>
      <c r="AU1223" s="1">
        <v>44491</v>
      </c>
      <c r="AV1223" s="1">
        <v>2.605</v>
      </c>
      <c r="AW1223" s="1">
        <v>44491</v>
      </c>
      <c r="AX1223" s="1">
        <v>2.6549999999999998</v>
      </c>
      <c r="AY1223" s="1">
        <v>44491</v>
      </c>
      <c r="AZ1223" s="1">
        <v>2.6749999999999998</v>
      </c>
      <c r="BF1223" s="1">
        <v>44491</v>
      </c>
      <c r="BG1223" s="1">
        <v>2.75</v>
      </c>
      <c r="BH1223" s="1">
        <v>44491</v>
      </c>
      <c r="BI1223" s="1">
        <v>2.9590000000000001</v>
      </c>
      <c r="BJ1223" s="1">
        <v>44491</v>
      </c>
      <c r="BK1223" s="1">
        <v>3.33</v>
      </c>
      <c r="BL1223" s="1">
        <v>44491</v>
      </c>
      <c r="BM1223" s="1">
        <v>3.5350000000000001</v>
      </c>
      <c r="BN1223" s="1">
        <v>44490</v>
      </c>
      <c r="BO1223" s="1">
        <v>3.56</v>
      </c>
      <c r="BP1223" s="1">
        <v>44491</v>
      </c>
      <c r="BQ1223" s="1">
        <v>3.5449999999999999</v>
      </c>
      <c r="BR1223" s="1">
        <v>44491</v>
      </c>
      <c r="BS1223" s="1">
        <v>3.3730000000000002</v>
      </c>
      <c r="BT1223" s="1">
        <v>44491</v>
      </c>
      <c r="BU1223" s="1">
        <v>3.238</v>
      </c>
      <c r="BV1223" s="1">
        <v>44491</v>
      </c>
      <c r="BW1223" s="1">
        <v>3.125</v>
      </c>
      <c r="CC1223" s="1">
        <v>44491</v>
      </c>
      <c r="CD1223" s="1">
        <v>2.1579999999999999</v>
      </c>
      <c r="CE1223" s="1">
        <v>44491</v>
      </c>
      <c r="CF1223" s="1">
        <v>2.4900000000000002</v>
      </c>
      <c r="CG1223" s="1">
        <v>44491</v>
      </c>
      <c r="CH1223" s="1">
        <v>2.65</v>
      </c>
      <c r="CI1223" s="1">
        <v>44491</v>
      </c>
      <c r="CJ1223" s="1">
        <v>3.0525000000000002</v>
      </c>
      <c r="CK1223" s="1">
        <v>44491</v>
      </c>
      <c r="CL1223" s="1">
        <v>3.2774999999999999</v>
      </c>
      <c r="CM1223" s="1">
        <v>44482</v>
      </c>
      <c r="CN1223" s="1">
        <v>3.2225000000000001</v>
      </c>
      <c r="CO1223" s="1">
        <v>44474</v>
      </c>
      <c r="CP1223" s="1">
        <v>3.16</v>
      </c>
      <c r="CQ1223" s="1">
        <v>44474</v>
      </c>
      <c r="CR1223" s="1">
        <v>3.3224999999999998</v>
      </c>
      <c r="CS1223" s="1">
        <v>44474</v>
      </c>
      <c r="CT1223" s="1">
        <v>3.4750000000000001</v>
      </c>
    </row>
    <row r="1224" spans="31:98" x14ac:dyDescent="0.2">
      <c r="AE1224" s="1">
        <v>44482</v>
      </c>
      <c r="AF1224" s="1">
        <v>0.5</v>
      </c>
      <c r="AI1224" s="1">
        <v>44490</v>
      </c>
      <c r="AJ1224" s="1">
        <v>1.101</v>
      </c>
      <c r="AK1224" s="1">
        <v>44490</v>
      </c>
      <c r="AL1224" s="1">
        <v>1.37</v>
      </c>
      <c r="AM1224" s="1">
        <v>44490</v>
      </c>
      <c r="AN1224" s="1">
        <v>1.59</v>
      </c>
      <c r="AO1224" s="1">
        <v>44490</v>
      </c>
      <c r="AP1224" s="1">
        <v>1.97</v>
      </c>
      <c r="AQ1224" s="1">
        <v>44490</v>
      </c>
      <c r="AR1224" s="1">
        <v>2.3149999999999999</v>
      </c>
      <c r="AS1224" s="1">
        <v>44490</v>
      </c>
      <c r="AT1224" s="1">
        <v>2.5350000000000001</v>
      </c>
      <c r="AU1224" s="1">
        <v>44490</v>
      </c>
      <c r="AV1224" s="1">
        <v>2.59</v>
      </c>
      <c r="AW1224" s="1">
        <v>44490</v>
      </c>
      <c r="AX1224" s="1">
        <v>2.645</v>
      </c>
      <c r="AY1224" s="1">
        <v>44490</v>
      </c>
      <c r="AZ1224" s="1">
        <v>2.67</v>
      </c>
      <c r="BF1224" s="1">
        <v>44490</v>
      </c>
      <c r="BG1224" s="1">
        <v>2.68</v>
      </c>
      <c r="BH1224" s="1">
        <v>44490</v>
      </c>
      <c r="BI1224" s="1">
        <v>2.8740000000000001</v>
      </c>
      <c r="BJ1224" s="1">
        <v>44490</v>
      </c>
      <c r="BK1224" s="1">
        <v>3.2440000000000002</v>
      </c>
      <c r="BL1224" s="1">
        <v>44490</v>
      </c>
      <c r="BM1224" s="1">
        <v>3.4950000000000001</v>
      </c>
      <c r="BN1224" s="1">
        <v>44489</v>
      </c>
      <c r="BO1224" s="1">
        <v>3.53</v>
      </c>
      <c r="BP1224" s="1">
        <v>44490</v>
      </c>
      <c r="BQ1224" s="1">
        <v>3.49</v>
      </c>
      <c r="BR1224" s="1">
        <v>44490</v>
      </c>
      <c r="BS1224" s="1">
        <v>3.3650000000000002</v>
      </c>
      <c r="BT1224" s="1">
        <v>44490</v>
      </c>
      <c r="BU1224" s="1">
        <v>3.2450000000000001</v>
      </c>
      <c r="BV1224" s="1">
        <v>44490</v>
      </c>
      <c r="BW1224" s="1">
        <v>3.145</v>
      </c>
      <c r="CC1224" s="1">
        <v>44490</v>
      </c>
      <c r="CD1224" s="1">
        <v>2.12</v>
      </c>
      <c r="CE1224" s="1">
        <v>44490</v>
      </c>
      <c r="CF1224" s="1">
        <v>2.41</v>
      </c>
      <c r="CG1224" s="1">
        <v>44490</v>
      </c>
      <c r="CH1224" s="1">
        <v>2.5750000000000002</v>
      </c>
      <c r="CI1224" s="1">
        <v>44490</v>
      </c>
      <c r="CJ1224" s="1">
        <v>2.97</v>
      </c>
      <c r="CK1224" s="1">
        <v>44490</v>
      </c>
      <c r="CL1224" s="1">
        <v>3.23</v>
      </c>
      <c r="CM1224" s="1">
        <v>44481</v>
      </c>
      <c r="CN1224" s="1">
        <v>3.1675</v>
      </c>
      <c r="CO1224" s="1">
        <v>44473</v>
      </c>
      <c r="CP1224" s="1">
        <v>3.3149999999999999</v>
      </c>
      <c r="CQ1224" s="1">
        <v>44473</v>
      </c>
      <c r="CR1224" s="1">
        <v>3.5150000000000001</v>
      </c>
      <c r="CS1224" s="1">
        <v>44473</v>
      </c>
      <c r="CT1224" s="1">
        <v>3.6349999999999998</v>
      </c>
    </row>
    <row r="1225" spans="31:98" x14ac:dyDescent="0.2">
      <c r="AE1225" s="1">
        <v>44481</v>
      </c>
      <c r="AF1225" s="1">
        <v>0.5</v>
      </c>
      <c r="AI1225" s="1">
        <v>44489</v>
      </c>
      <c r="AJ1225" s="1">
        <v>1.0967</v>
      </c>
      <c r="AK1225" s="1">
        <v>44489</v>
      </c>
      <c r="AL1225" s="1">
        <v>1.3396999999999999</v>
      </c>
      <c r="AM1225" s="1">
        <v>44489</v>
      </c>
      <c r="AN1225" s="1">
        <v>1.5512999999999999</v>
      </c>
      <c r="AO1225" s="1">
        <v>44489</v>
      </c>
      <c r="AP1225" s="1">
        <v>1.9532</v>
      </c>
      <c r="AQ1225" s="1">
        <v>44489</v>
      </c>
      <c r="AR1225" s="1">
        <v>2.3245</v>
      </c>
      <c r="AS1225" s="1">
        <v>44489</v>
      </c>
      <c r="AT1225" s="1">
        <v>2.44</v>
      </c>
      <c r="AU1225" s="1">
        <v>44489</v>
      </c>
      <c r="AV1225" s="1">
        <v>2.5499999999999998</v>
      </c>
      <c r="AW1225" s="1">
        <v>44489</v>
      </c>
      <c r="AX1225" s="1">
        <v>2.61</v>
      </c>
      <c r="AY1225" s="1">
        <v>44489</v>
      </c>
      <c r="AZ1225" s="1">
        <v>2.645</v>
      </c>
      <c r="BF1225" s="1">
        <v>44489</v>
      </c>
      <c r="BG1225" s="1">
        <v>2.67</v>
      </c>
      <c r="BH1225" s="1">
        <v>44489</v>
      </c>
      <c r="BI1225" s="1">
        <v>2.8260000000000001</v>
      </c>
      <c r="BJ1225" s="1">
        <v>44489</v>
      </c>
      <c r="BK1225" s="1">
        <v>3.2130000000000001</v>
      </c>
      <c r="BL1225" s="1">
        <v>44489</v>
      </c>
      <c r="BM1225" s="1">
        <v>3.44</v>
      </c>
      <c r="BN1225" s="1">
        <v>44488</v>
      </c>
      <c r="BO1225" s="1">
        <v>3.53</v>
      </c>
      <c r="BP1225" s="1">
        <v>44489</v>
      </c>
      <c r="BQ1225" s="1">
        <v>3.468</v>
      </c>
      <c r="BR1225" s="1">
        <v>44489</v>
      </c>
      <c r="BS1225" s="1">
        <v>3.343</v>
      </c>
      <c r="BT1225" s="1">
        <v>44489</v>
      </c>
      <c r="BU1225" s="1">
        <v>3.2349999999999999</v>
      </c>
      <c r="BV1225" s="1">
        <v>44489</v>
      </c>
      <c r="BW1225" s="1">
        <v>3.1629999999999998</v>
      </c>
      <c r="CC1225" s="1">
        <v>44489</v>
      </c>
      <c r="CD1225" s="1">
        <v>2.0979999999999999</v>
      </c>
      <c r="CE1225" s="1">
        <v>44489</v>
      </c>
      <c r="CF1225" s="1">
        <v>2.33</v>
      </c>
      <c r="CG1225" s="1">
        <v>44489</v>
      </c>
      <c r="CH1225" s="1">
        <v>2.4500000000000002</v>
      </c>
      <c r="CI1225" s="1">
        <v>44489</v>
      </c>
      <c r="CJ1225" s="1">
        <v>2.8250000000000002</v>
      </c>
      <c r="CK1225" s="1">
        <v>44489</v>
      </c>
      <c r="CL1225" s="1">
        <v>3.13</v>
      </c>
      <c r="CM1225" s="1">
        <v>44480</v>
      </c>
      <c r="CN1225" s="1">
        <v>3.15</v>
      </c>
      <c r="CO1225" s="1">
        <v>44470</v>
      </c>
      <c r="CP1225" s="1">
        <v>3.0874999999999999</v>
      </c>
      <c r="CQ1225" s="1">
        <v>44470</v>
      </c>
      <c r="CR1225" s="1">
        <v>3.2425000000000002</v>
      </c>
      <c r="CS1225" s="1">
        <v>44470</v>
      </c>
      <c r="CT1225" s="1">
        <v>3.35</v>
      </c>
    </row>
    <row r="1226" spans="31:98" x14ac:dyDescent="0.2">
      <c r="AE1226" s="1">
        <v>44480</v>
      </c>
      <c r="AF1226" s="1">
        <v>0.5</v>
      </c>
      <c r="AI1226" s="1">
        <v>44488</v>
      </c>
      <c r="AJ1226" s="1">
        <v>1.117</v>
      </c>
      <c r="AK1226" s="1">
        <v>44488</v>
      </c>
      <c r="AL1226" s="1">
        <v>1.355</v>
      </c>
      <c r="AM1226" s="1">
        <v>44488</v>
      </c>
      <c r="AN1226" s="1">
        <v>1.59</v>
      </c>
      <c r="AO1226" s="1">
        <v>44488</v>
      </c>
      <c r="AP1226" s="1">
        <v>2.02</v>
      </c>
      <c r="AQ1226" s="1">
        <v>44488</v>
      </c>
      <c r="AR1226" s="1">
        <v>2.3875000000000002</v>
      </c>
      <c r="AS1226" s="1">
        <v>44488</v>
      </c>
      <c r="AT1226" s="1">
        <v>2.5299999999999998</v>
      </c>
      <c r="AU1226" s="1">
        <v>44488</v>
      </c>
      <c r="AV1226" s="1">
        <v>2.6349999999999998</v>
      </c>
      <c r="AW1226" s="1">
        <v>44488</v>
      </c>
      <c r="AX1226" s="1">
        <v>2.6850000000000001</v>
      </c>
      <c r="AY1226" s="1">
        <v>44488</v>
      </c>
      <c r="AZ1226" s="1">
        <v>2.7050000000000001</v>
      </c>
      <c r="BF1226" s="1">
        <v>44488</v>
      </c>
      <c r="BG1226" s="1">
        <v>2.6949999999999998</v>
      </c>
      <c r="BH1226" s="1">
        <v>44488</v>
      </c>
      <c r="BI1226" s="1">
        <v>2.8279999999999998</v>
      </c>
      <c r="BJ1226" s="1">
        <v>44488</v>
      </c>
      <c r="BK1226" s="1">
        <v>3.1930000000000001</v>
      </c>
      <c r="BL1226" s="1">
        <v>44488</v>
      </c>
      <c r="BM1226" s="1">
        <v>3.4350000000000001</v>
      </c>
      <c r="BN1226" s="1">
        <v>44487</v>
      </c>
      <c r="BO1226" s="1">
        <v>3.5550000000000002</v>
      </c>
      <c r="BP1226" s="1">
        <v>44488</v>
      </c>
      <c r="BQ1226" s="1">
        <v>3.4750000000000001</v>
      </c>
      <c r="BR1226" s="1">
        <v>44488</v>
      </c>
      <c r="BS1226" s="1">
        <v>3.35</v>
      </c>
      <c r="BT1226" s="1">
        <v>44488</v>
      </c>
      <c r="BU1226" s="1">
        <v>3.24</v>
      </c>
      <c r="BV1226" s="1">
        <v>44488</v>
      </c>
      <c r="BW1226" s="1">
        <v>3.165</v>
      </c>
      <c r="CC1226" s="1">
        <v>44488</v>
      </c>
      <c r="CD1226" s="1">
        <v>2.1120000000000001</v>
      </c>
      <c r="CE1226" s="1">
        <v>44488</v>
      </c>
      <c r="CF1226" s="1">
        <v>2.4300000000000002</v>
      </c>
      <c r="CG1226" s="1">
        <v>44488</v>
      </c>
      <c r="CH1226" s="1">
        <v>2.5550000000000002</v>
      </c>
      <c r="CI1226" s="1">
        <v>44488</v>
      </c>
      <c r="CJ1226" s="1">
        <v>2.94</v>
      </c>
      <c r="CK1226" s="1">
        <v>44488</v>
      </c>
      <c r="CL1226" s="1">
        <v>3.17</v>
      </c>
      <c r="CM1226" s="1">
        <v>44477</v>
      </c>
      <c r="CN1226" s="1">
        <v>3.0775000000000001</v>
      </c>
      <c r="CO1226" s="1">
        <v>44469</v>
      </c>
      <c r="CP1226" s="1">
        <v>2.8875000000000002</v>
      </c>
      <c r="CQ1226" s="1">
        <v>44469</v>
      </c>
      <c r="CR1226" s="1">
        <v>3.0225</v>
      </c>
      <c r="CS1226" s="1">
        <v>44469</v>
      </c>
      <c r="CT1226" s="1">
        <v>3.1274999999999999</v>
      </c>
    </row>
    <row r="1227" spans="31:98" x14ac:dyDescent="0.2">
      <c r="AE1227" s="1">
        <v>44477</v>
      </c>
      <c r="AF1227" s="1">
        <v>0.5</v>
      </c>
      <c r="AI1227" s="1">
        <v>44487</v>
      </c>
      <c r="AJ1227" s="1">
        <v>1.131</v>
      </c>
      <c r="AK1227" s="1">
        <v>44487</v>
      </c>
      <c r="AL1227" s="1">
        <v>1.361</v>
      </c>
      <c r="AM1227" s="1">
        <v>44487</v>
      </c>
      <c r="AN1227" s="1">
        <v>1.59</v>
      </c>
      <c r="AO1227" s="1">
        <v>44487</v>
      </c>
      <c r="AP1227" s="1">
        <v>2.0125000000000002</v>
      </c>
      <c r="AQ1227" s="1">
        <v>44487</v>
      </c>
      <c r="AR1227" s="1">
        <v>2.3574999999999999</v>
      </c>
      <c r="AS1227" s="1">
        <v>44487</v>
      </c>
      <c r="AT1227" s="1">
        <v>2.5350000000000001</v>
      </c>
      <c r="AU1227" s="1">
        <v>44487</v>
      </c>
      <c r="AV1227" s="1">
        <v>2.64</v>
      </c>
      <c r="AW1227" s="1">
        <v>44487</v>
      </c>
      <c r="AX1227" s="1">
        <v>2.68</v>
      </c>
      <c r="AY1227" s="1">
        <v>44487</v>
      </c>
      <c r="AZ1227" s="1">
        <v>2.6949999999999998</v>
      </c>
      <c r="BF1227" s="1">
        <v>44487</v>
      </c>
      <c r="BG1227" s="1">
        <v>2.7149999999999999</v>
      </c>
      <c r="BH1227" s="1">
        <v>44487</v>
      </c>
      <c r="BI1227" s="1">
        <v>2.843</v>
      </c>
      <c r="BJ1227" s="1">
        <v>44487</v>
      </c>
      <c r="BK1227" s="1">
        <v>3.198</v>
      </c>
      <c r="BL1227" s="1">
        <v>44487</v>
      </c>
      <c r="BM1227" s="1">
        <v>3.46</v>
      </c>
      <c r="BN1227" s="1">
        <v>44484</v>
      </c>
      <c r="BO1227" s="1">
        <v>3.47</v>
      </c>
      <c r="BP1227" s="1">
        <v>44487</v>
      </c>
      <c r="BQ1227" s="1">
        <v>3.5030000000000001</v>
      </c>
      <c r="BR1227" s="1">
        <v>44487</v>
      </c>
      <c r="BS1227" s="1">
        <v>3.3730000000000002</v>
      </c>
      <c r="BT1227" s="1">
        <v>44487</v>
      </c>
      <c r="BU1227" s="1">
        <v>3.25</v>
      </c>
      <c r="BV1227" s="1">
        <v>44487</v>
      </c>
      <c r="BW1227" s="1">
        <v>3.17</v>
      </c>
      <c r="CC1227" s="1">
        <v>44487</v>
      </c>
      <c r="CD1227" s="1">
        <v>2.1800000000000002</v>
      </c>
      <c r="CE1227" s="1">
        <v>44487</v>
      </c>
      <c r="CF1227" s="1">
        <v>2.4900000000000002</v>
      </c>
      <c r="CG1227" s="1">
        <v>44487</v>
      </c>
      <c r="CH1227" s="1">
        <v>2.5950000000000002</v>
      </c>
      <c r="CI1227" s="1">
        <v>44487</v>
      </c>
      <c r="CJ1227" s="1">
        <v>2.96</v>
      </c>
      <c r="CK1227" s="1">
        <v>44487</v>
      </c>
      <c r="CL1227" s="1">
        <v>3.24</v>
      </c>
      <c r="CM1227" s="1">
        <v>44476</v>
      </c>
      <c r="CN1227" s="1">
        <v>3.0474999999999999</v>
      </c>
      <c r="CO1227" s="1">
        <v>44468</v>
      </c>
      <c r="CP1227" s="1">
        <v>2.8075000000000001</v>
      </c>
      <c r="CQ1227" s="1">
        <v>44468</v>
      </c>
      <c r="CR1227" s="1">
        <v>2.9275000000000002</v>
      </c>
      <c r="CS1227" s="1">
        <v>44468</v>
      </c>
      <c r="CT1227" s="1">
        <v>3.0225</v>
      </c>
    </row>
    <row r="1228" spans="31:98" x14ac:dyDescent="0.2">
      <c r="AE1228" s="1">
        <v>44476</v>
      </c>
      <c r="AF1228" s="1">
        <v>0.5</v>
      </c>
      <c r="AI1228" s="1">
        <v>44484</v>
      </c>
      <c r="AJ1228" s="1">
        <v>1.1180000000000001</v>
      </c>
      <c r="AK1228" s="1">
        <v>44484</v>
      </c>
      <c r="AL1228" s="1">
        <v>1.33</v>
      </c>
      <c r="AM1228" s="1">
        <v>44484</v>
      </c>
      <c r="AN1228" s="1">
        <v>1.5149999999999999</v>
      </c>
      <c r="AO1228" s="1">
        <v>44484</v>
      </c>
      <c r="AP1228" s="1">
        <v>1.89</v>
      </c>
      <c r="AQ1228" s="1">
        <v>44484</v>
      </c>
      <c r="AR1228" s="1">
        <v>2.23</v>
      </c>
      <c r="AS1228" s="1">
        <v>44484</v>
      </c>
      <c r="AT1228" s="1">
        <v>2.3650000000000002</v>
      </c>
      <c r="AU1228" s="1">
        <v>44484</v>
      </c>
      <c r="AV1228" s="1">
        <v>2.4350000000000001</v>
      </c>
      <c r="AW1228" s="1">
        <v>44484</v>
      </c>
      <c r="AX1228" s="1">
        <v>2.4500000000000002</v>
      </c>
      <c r="AY1228" s="1">
        <v>44484</v>
      </c>
      <c r="AZ1228" s="1">
        <v>2.4500000000000002</v>
      </c>
      <c r="BF1228" s="1">
        <v>44484</v>
      </c>
      <c r="BG1228" s="1">
        <v>2.66</v>
      </c>
      <c r="BH1228" s="1">
        <v>44484</v>
      </c>
      <c r="BI1228" s="1">
        <v>2.8290000000000002</v>
      </c>
      <c r="BJ1228" s="1">
        <v>44484</v>
      </c>
      <c r="BK1228" s="1">
        <v>3.16</v>
      </c>
      <c r="BL1228" s="1">
        <v>44484</v>
      </c>
      <c r="BM1228" s="1">
        <v>3.38</v>
      </c>
      <c r="BN1228" s="1">
        <v>44483</v>
      </c>
      <c r="BO1228" s="1">
        <v>3.3650000000000002</v>
      </c>
      <c r="BP1228" s="1">
        <v>44484</v>
      </c>
      <c r="BQ1228" s="1">
        <v>3.403</v>
      </c>
      <c r="BR1228" s="1">
        <v>44484</v>
      </c>
      <c r="BS1228" s="1">
        <v>3.2730000000000001</v>
      </c>
      <c r="BT1228" s="1">
        <v>44484</v>
      </c>
      <c r="BU1228" s="1">
        <v>3.1579999999999999</v>
      </c>
      <c r="BV1228" s="1">
        <v>44484</v>
      </c>
      <c r="BW1228" s="1">
        <v>3.0779999999999998</v>
      </c>
      <c r="CC1228" s="1">
        <v>44484</v>
      </c>
      <c r="CD1228" s="1">
        <v>2.2000000000000002</v>
      </c>
      <c r="CE1228" s="1">
        <v>44484</v>
      </c>
      <c r="CF1228" s="1">
        <v>2.37</v>
      </c>
      <c r="CG1228" s="1">
        <v>44484</v>
      </c>
      <c r="CH1228" s="1">
        <v>2.44</v>
      </c>
      <c r="CI1228" s="1">
        <v>44484</v>
      </c>
      <c r="CJ1228" s="1">
        <v>2.7825000000000002</v>
      </c>
      <c r="CK1228" s="1">
        <v>44484</v>
      </c>
      <c r="CL1228" s="1">
        <v>3.0150000000000001</v>
      </c>
      <c r="CM1228" s="1">
        <v>44475</v>
      </c>
      <c r="CN1228" s="1">
        <v>3.0750000000000002</v>
      </c>
      <c r="CO1228" s="1">
        <v>44467</v>
      </c>
      <c r="CP1228" s="1">
        <v>2.8424999999999998</v>
      </c>
      <c r="CQ1228" s="1">
        <v>44467</v>
      </c>
      <c r="CR1228" s="1">
        <v>2.9649999999999999</v>
      </c>
      <c r="CS1228" s="1">
        <v>44467</v>
      </c>
      <c r="CT1228" s="1">
        <v>3.0350000000000001</v>
      </c>
    </row>
    <row r="1229" spans="31:98" x14ac:dyDescent="0.2">
      <c r="AE1229" s="1">
        <v>44475</v>
      </c>
      <c r="AF1229" s="1">
        <v>0.5</v>
      </c>
      <c r="AI1229" s="1">
        <v>44483</v>
      </c>
      <c r="AJ1229" s="1">
        <v>1.054</v>
      </c>
      <c r="AK1229" s="1">
        <v>44483</v>
      </c>
      <c r="AL1229" s="1">
        <v>1.2749999999999999</v>
      </c>
      <c r="AM1229" s="1">
        <v>44483</v>
      </c>
      <c r="AN1229" s="1">
        <v>1.4650000000000001</v>
      </c>
      <c r="AO1229" s="1">
        <v>44483</v>
      </c>
      <c r="AP1229" s="1">
        <v>1.835</v>
      </c>
      <c r="AQ1229" s="1">
        <v>44483</v>
      </c>
      <c r="AR1229" s="1">
        <v>2.13</v>
      </c>
      <c r="AS1229" s="1">
        <v>44483</v>
      </c>
      <c r="AT1229" s="1">
        <v>2.2549999999999999</v>
      </c>
      <c r="AU1229" s="1">
        <v>44483</v>
      </c>
      <c r="AV1229" s="1">
        <v>2.3650000000000002</v>
      </c>
      <c r="AW1229" s="1">
        <v>44483</v>
      </c>
      <c r="AX1229" s="1">
        <v>2.415</v>
      </c>
      <c r="AY1229" s="1">
        <v>44483</v>
      </c>
      <c r="AZ1229" s="1">
        <v>2.415</v>
      </c>
      <c r="BF1229" s="1">
        <v>44483</v>
      </c>
      <c r="BG1229" s="1">
        <v>2.625</v>
      </c>
      <c r="BH1229" s="1">
        <v>44483</v>
      </c>
      <c r="BI1229" s="1">
        <v>2.7629999999999999</v>
      </c>
      <c r="BJ1229" s="1">
        <v>44483</v>
      </c>
      <c r="BK1229" s="1">
        <v>3.0649999999999999</v>
      </c>
      <c r="BL1229" s="1">
        <v>44483</v>
      </c>
      <c r="BM1229" s="1">
        <v>3.2829999999999999</v>
      </c>
      <c r="BN1229" s="1">
        <v>44482</v>
      </c>
      <c r="BO1229" s="1">
        <v>3.4</v>
      </c>
      <c r="BP1229" s="1">
        <v>44483</v>
      </c>
      <c r="BQ1229" s="1">
        <v>3.323</v>
      </c>
      <c r="BR1229" s="1">
        <v>44483</v>
      </c>
      <c r="BS1229" s="1">
        <v>3.1880000000000002</v>
      </c>
      <c r="BT1229" s="1">
        <v>44483</v>
      </c>
      <c r="BU1229" s="1">
        <v>3.08</v>
      </c>
      <c r="BV1229" s="1">
        <v>44483</v>
      </c>
      <c r="BW1229" s="1">
        <v>2.9950000000000001</v>
      </c>
      <c r="CC1229" s="1">
        <v>44483</v>
      </c>
      <c r="CD1229" s="1">
        <v>2.0699999999999998</v>
      </c>
      <c r="CE1229" s="1">
        <v>44483</v>
      </c>
      <c r="CF1229" s="1">
        <v>2.35</v>
      </c>
      <c r="CG1229" s="1">
        <v>44483</v>
      </c>
      <c r="CH1229" s="1">
        <v>2.42</v>
      </c>
      <c r="CI1229" s="1">
        <v>44483</v>
      </c>
      <c r="CJ1229" s="1">
        <v>2.76</v>
      </c>
      <c r="CK1229" s="1">
        <v>44483</v>
      </c>
      <c r="CL1229" s="1">
        <v>2.97</v>
      </c>
      <c r="CM1229" s="1">
        <v>44474</v>
      </c>
      <c r="CN1229" s="1">
        <v>2.9950000000000001</v>
      </c>
      <c r="CO1229" s="1">
        <v>44466</v>
      </c>
      <c r="CP1229" s="1">
        <v>2.7475000000000001</v>
      </c>
      <c r="CQ1229" s="1">
        <v>44466</v>
      </c>
      <c r="CR1229" s="1">
        <v>2.8675000000000002</v>
      </c>
      <c r="CS1229" s="1">
        <v>44466</v>
      </c>
      <c r="CT1229" s="1">
        <v>2.9350000000000001</v>
      </c>
    </row>
    <row r="1230" spans="31:98" x14ac:dyDescent="0.2">
      <c r="AE1230" s="1">
        <v>44474</v>
      </c>
      <c r="AF1230" s="1">
        <v>0.1</v>
      </c>
      <c r="AI1230" s="1">
        <v>44482</v>
      </c>
      <c r="AJ1230" s="1">
        <v>1.0960000000000001</v>
      </c>
      <c r="AK1230" s="1">
        <v>44482</v>
      </c>
      <c r="AL1230" s="1">
        <v>1.32</v>
      </c>
      <c r="AM1230" s="1">
        <v>44482</v>
      </c>
      <c r="AN1230" s="1">
        <v>1.5149999999999999</v>
      </c>
      <c r="AO1230" s="1">
        <v>44482</v>
      </c>
      <c r="AP1230" s="1">
        <v>1.895</v>
      </c>
      <c r="AQ1230" s="1">
        <v>44482</v>
      </c>
      <c r="AR1230" s="1">
        <v>2.2549999999999999</v>
      </c>
      <c r="AS1230" s="1">
        <v>44482</v>
      </c>
      <c r="AT1230" s="1">
        <v>2.37</v>
      </c>
      <c r="AU1230" s="1">
        <v>44482</v>
      </c>
      <c r="AV1230" s="1">
        <v>2.44</v>
      </c>
      <c r="AW1230" s="1">
        <v>44482</v>
      </c>
      <c r="AX1230" s="1">
        <v>2.4900000000000002</v>
      </c>
      <c r="AY1230" s="1">
        <v>44482</v>
      </c>
      <c r="AZ1230" s="1">
        <v>2.4950000000000001</v>
      </c>
      <c r="BF1230" s="1">
        <v>44482</v>
      </c>
      <c r="BG1230" s="1">
        <v>2.645</v>
      </c>
      <c r="BH1230" s="1">
        <v>44482</v>
      </c>
      <c r="BI1230" s="1">
        <v>2.77</v>
      </c>
      <c r="BJ1230" s="1">
        <v>44482</v>
      </c>
      <c r="BK1230" s="1">
        <v>3.09</v>
      </c>
      <c r="BL1230" s="1">
        <v>44482</v>
      </c>
      <c r="BM1230" s="1">
        <v>3.3250000000000002</v>
      </c>
      <c r="BN1230" s="1">
        <v>44481</v>
      </c>
      <c r="BO1230" s="1">
        <v>3.4449999999999998</v>
      </c>
      <c r="BP1230" s="1">
        <v>44482</v>
      </c>
      <c r="BQ1230" s="1">
        <v>3.37</v>
      </c>
      <c r="BR1230" s="1">
        <v>44482</v>
      </c>
      <c r="BS1230" s="1">
        <v>3.238</v>
      </c>
      <c r="BT1230" s="1">
        <v>44482</v>
      </c>
      <c r="BU1230" s="1">
        <v>3.13</v>
      </c>
      <c r="BV1230" s="1">
        <v>44482</v>
      </c>
      <c r="BW1230" s="1">
        <v>3.048</v>
      </c>
      <c r="CC1230" s="1">
        <v>44482</v>
      </c>
      <c r="CD1230" s="1">
        <v>2.0375000000000001</v>
      </c>
      <c r="CE1230" s="1">
        <v>44482</v>
      </c>
      <c r="CF1230" s="1">
        <v>2.2174999999999998</v>
      </c>
      <c r="CG1230" s="1">
        <v>44482</v>
      </c>
      <c r="CH1230" s="1">
        <v>2.3774999999999999</v>
      </c>
      <c r="CI1230" s="1">
        <v>44482</v>
      </c>
      <c r="CJ1230" s="1">
        <v>2.7725</v>
      </c>
      <c r="CK1230" s="1">
        <v>44482</v>
      </c>
      <c r="CL1230" s="1">
        <v>3</v>
      </c>
      <c r="CM1230" s="1">
        <v>44473</v>
      </c>
      <c r="CN1230" s="1">
        <v>3.1175000000000002</v>
      </c>
      <c r="CO1230" s="1">
        <v>44463</v>
      </c>
      <c r="CP1230" s="1">
        <v>2.74</v>
      </c>
      <c r="CQ1230" s="1">
        <v>44463</v>
      </c>
      <c r="CR1230" s="1">
        <v>2.86</v>
      </c>
      <c r="CS1230" s="1">
        <v>44463</v>
      </c>
      <c r="CT1230" s="1">
        <v>2.9424999999999999</v>
      </c>
    </row>
    <row r="1231" spans="31:98" x14ac:dyDescent="0.2">
      <c r="AE1231" s="1">
        <v>44473</v>
      </c>
      <c r="AF1231" s="1">
        <v>0.1</v>
      </c>
      <c r="AI1231" s="1">
        <v>44481</v>
      </c>
      <c r="AJ1231" s="1">
        <v>1.091</v>
      </c>
      <c r="AK1231" s="1">
        <v>44481</v>
      </c>
      <c r="AL1231" s="1">
        <v>1.3320000000000001</v>
      </c>
      <c r="AM1231" s="1">
        <v>44481</v>
      </c>
      <c r="AN1231" s="1">
        <v>1.4650000000000001</v>
      </c>
      <c r="AO1231" s="1">
        <v>44481</v>
      </c>
      <c r="AP1231" s="1">
        <v>1.915</v>
      </c>
      <c r="AQ1231" s="1">
        <v>44481</v>
      </c>
      <c r="AR1231" s="1">
        <v>2.2799999999999998</v>
      </c>
      <c r="AS1231" s="1">
        <v>44481</v>
      </c>
      <c r="AT1231" s="1">
        <v>2.4249999999999998</v>
      </c>
      <c r="AU1231" s="1">
        <v>44481</v>
      </c>
      <c r="AV1231" s="1">
        <v>2.48</v>
      </c>
      <c r="AW1231" s="1">
        <v>44481</v>
      </c>
      <c r="AX1231" s="1">
        <v>2.5150000000000001</v>
      </c>
      <c r="AY1231" s="1">
        <v>44481</v>
      </c>
      <c r="AZ1231" s="1">
        <v>2.52</v>
      </c>
      <c r="BF1231" s="1">
        <v>44481</v>
      </c>
      <c r="BG1231" s="1">
        <v>2.65</v>
      </c>
      <c r="BH1231" s="1">
        <v>44481</v>
      </c>
      <c r="BI1231" s="1">
        <v>2.7509999999999999</v>
      </c>
      <c r="BJ1231" s="1">
        <v>44481</v>
      </c>
      <c r="BK1231" s="1">
        <v>3.04</v>
      </c>
      <c r="BL1231" s="1">
        <v>44481</v>
      </c>
      <c r="BM1231" s="1">
        <v>3.3450000000000002</v>
      </c>
      <c r="BN1231" s="1">
        <v>44480</v>
      </c>
      <c r="BO1231" s="1">
        <v>3.42</v>
      </c>
      <c r="BP1231" s="1">
        <v>44481</v>
      </c>
      <c r="BQ1231" s="1">
        <v>3.415</v>
      </c>
      <c r="BR1231" s="1">
        <v>44481</v>
      </c>
      <c r="BS1231" s="1">
        <v>3.28</v>
      </c>
      <c r="BT1231" s="1">
        <v>44481</v>
      </c>
      <c r="BU1231" s="1">
        <v>3.1629999999999998</v>
      </c>
      <c r="BV1231" s="1">
        <v>44481</v>
      </c>
      <c r="BW1231" s="1">
        <v>3.0649999999999999</v>
      </c>
      <c r="CC1231" s="1">
        <v>44481</v>
      </c>
      <c r="CD1231" s="1">
        <v>2.0550000000000002</v>
      </c>
      <c r="CE1231" s="1">
        <v>44481</v>
      </c>
      <c r="CF1231" s="1">
        <v>2.17</v>
      </c>
      <c r="CG1231" s="1">
        <v>44481</v>
      </c>
      <c r="CH1231" s="1">
        <v>2.35</v>
      </c>
      <c r="CI1231" s="1">
        <v>44481</v>
      </c>
      <c r="CJ1231" s="1">
        <v>2.74</v>
      </c>
      <c r="CK1231" s="1">
        <v>44481</v>
      </c>
      <c r="CL1231" s="1">
        <v>2.99</v>
      </c>
      <c r="CM1231" s="1">
        <v>44470</v>
      </c>
      <c r="CN1231" s="1">
        <v>2.9224999999999999</v>
      </c>
      <c r="CO1231" s="1">
        <v>44462</v>
      </c>
      <c r="CP1231" s="1">
        <v>2.665</v>
      </c>
      <c r="CQ1231" s="1">
        <v>44462</v>
      </c>
      <c r="CR1231" s="1">
        <v>2.7774999999999999</v>
      </c>
      <c r="CS1231" s="1">
        <v>44462</v>
      </c>
      <c r="CT1231" s="1">
        <v>2.8650000000000002</v>
      </c>
    </row>
    <row r="1232" spans="31:98" x14ac:dyDescent="0.2">
      <c r="AE1232" s="1">
        <v>44470</v>
      </c>
      <c r="AF1232" s="1">
        <v>0.1</v>
      </c>
      <c r="AI1232" s="1">
        <v>44480</v>
      </c>
      <c r="AJ1232" s="1">
        <v>1.0549999999999999</v>
      </c>
      <c r="AK1232" s="1">
        <v>44480</v>
      </c>
      <c r="AL1232" s="1">
        <v>1.2250000000000001</v>
      </c>
      <c r="AM1232" s="1">
        <v>44480</v>
      </c>
      <c r="AN1232" s="1">
        <v>1.3049999999999999</v>
      </c>
      <c r="AO1232" s="1">
        <v>44480</v>
      </c>
      <c r="AP1232" s="1">
        <v>1.8425</v>
      </c>
      <c r="AQ1232" s="1">
        <v>44480</v>
      </c>
      <c r="AR1232" s="1">
        <v>2.23</v>
      </c>
      <c r="AS1232" s="1">
        <v>44480</v>
      </c>
      <c r="AT1232" s="1">
        <v>2.37</v>
      </c>
      <c r="AU1232" s="1">
        <v>44480</v>
      </c>
      <c r="AV1232" s="1">
        <v>2.4300000000000002</v>
      </c>
      <c r="AW1232" s="1">
        <v>44480</v>
      </c>
      <c r="AX1232" s="1">
        <v>2.4674999999999998</v>
      </c>
      <c r="AY1232" s="1">
        <v>44480</v>
      </c>
      <c r="AZ1232" s="1">
        <v>2.4275000000000002</v>
      </c>
      <c r="BF1232" s="1">
        <v>44480</v>
      </c>
      <c r="BG1232" s="1">
        <v>2.6</v>
      </c>
      <c r="BH1232" s="1">
        <v>44480</v>
      </c>
      <c r="BI1232" s="1">
        <v>2.69</v>
      </c>
      <c r="BJ1232" s="1">
        <v>44480</v>
      </c>
      <c r="BK1232" s="1">
        <v>3</v>
      </c>
      <c r="BL1232" s="1">
        <v>44480</v>
      </c>
      <c r="BM1232" s="1">
        <v>3.3</v>
      </c>
      <c r="BN1232" s="1">
        <v>44477</v>
      </c>
      <c r="BO1232" s="1">
        <v>3.19</v>
      </c>
      <c r="BP1232" s="1">
        <v>44480</v>
      </c>
      <c r="BQ1232" s="1">
        <v>3.355</v>
      </c>
      <c r="BR1232" s="1">
        <v>44480</v>
      </c>
      <c r="BS1232" s="1">
        <v>3.1930000000000001</v>
      </c>
      <c r="BT1232" s="1">
        <v>44480</v>
      </c>
      <c r="BU1232" s="1">
        <v>3.085</v>
      </c>
      <c r="BV1232" s="1">
        <v>44480</v>
      </c>
      <c r="BW1232" s="1">
        <v>2.99</v>
      </c>
      <c r="CC1232" s="1">
        <v>44480</v>
      </c>
      <c r="CD1232" s="1">
        <v>2.0225</v>
      </c>
      <c r="CE1232" s="1">
        <v>44480</v>
      </c>
      <c r="CF1232" s="1">
        <v>2.1575000000000002</v>
      </c>
      <c r="CG1232" s="1">
        <v>44480</v>
      </c>
      <c r="CH1232" s="1">
        <v>2.3325</v>
      </c>
      <c r="CI1232" s="1">
        <v>44480</v>
      </c>
      <c r="CJ1232" s="1">
        <v>2.7225000000000001</v>
      </c>
      <c r="CK1232" s="1">
        <v>44480</v>
      </c>
      <c r="CL1232" s="1">
        <v>2.96</v>
      </c>
      <c r="CM1232" s="1">
        <v>44469</v>
      </c>
      <c r="CN1232" s="1">
        <v>2.7450000000000001</v>
      </c>
      <c r="CO1232" s="1">
        <v>44461</v>
      </c>
      <c r="CP1232" s="1">
        <v>2.5625</v>
      </c>
      <c r="CQ1232" s="1">
        <v>44461</v>
      </c>
      <c r="CR1232" s="1">
        <v>2.66</v>
      </c>
      <c r="CS1232" s="1">
        <v>44461</v>
      </c>
      <c r="CT1232" s="1">
        <v>2.73</v>
      </c>
    </row>
    <row r="1233" spans="31:98" x14ac:dyDescent="0.2">
      <c r="AE1233" s="1">
        <v>44469</v>
      </c>
      <c r="AF1233" s="1">
        <v>0.1</v>
      </c>
      <c r="AI1233" s="1">
        <v>44477</v>
      </c>
      <c r="AJ1233" s="1">
        <v>1.004</v>
      </c>
      <c r="AK1233" s="1">
        <v>44477</v>
      </c>
      <c r="AL1233" s="1">
        <v>1.1100000000000001</v>
      </c>
      <c r="AM1233" s="1">
        <v>44477</v>
      </c>
      <c r="AN1233" s="1">
        <v>1.3</v>
      </c>
      <c r="AO1233" s="1">
        <v>44477</v>
      </c>
      <c r="AP1233" s="1">
        <v>1.8149999999999999</v>
      </c>
      <c r="AQ1233" s="1">
        <v>44477</v>
      </c>
      <c r="AR1233" s="1">
        <v>2.19</v>
      </c>
      <c r="AS1233" s="1">
        <v>44477</v>
      </c>
      <c r="AT1233" s="1">
        <v>2.2650000000000001</v>
      </c>
      <c r="AU1233" s="1">
        <v>44477</v>
      </c>
      <c r="AV1233" s="1">
        <v>2.355</v>
      </c>
      <c r="AW1233" s="1">
        <v>44477</v>
      </c>
      <c r="AX1233" s="1">
        <v>2.375</v>
      </c>
      <c r="AY1233" s="1">
        <v>44477</v>
      </c>
      <c r="AZ1233" s="1">
        <v>2.335</v>
      </c>
      <c r="BF1233" s="1">
        <v>44477</v>
      </c>
      <c r="BG1233" s="1">
        <v>2.464</v>
      </c>
      <c r="BH1233" s="1">
        <v>44477</v>
      </c>
      <c r="BI1233" s="1">
        <v>2.5499999999999998</v>
      </c>
      <c r="BJ1233" s="1">
        <v>44477</v>
      </c>
      <c r="BK1233" s="1">
        <v>2.7949999999999999</v>
      </c>
      <c r="BL1233" s="1">
        <v>44477</v>
      </c>
      <c r="BM1233" s="1">
        <v>3.0830000000000002</v>
      </c>
      <c r="BN1233" s="1">
        <v>44476</v>
      </c>
      <c r="BO1233" s="1">
        <v>3.1549999999999998</v>
      </c>
      <c r="BP1233" s="1">
        <v>44477</v>
      </c>
      <c r="BQ1233" s="1">
        <v>3.1680000000000001</v>
      </c>
      <c r="BR1233" s="1">
        <v>44477</v>
      </c>
      <c r="BS1233" s="1">
        <v>3.008</v>
      </c>
      <c r="BT1233" s="1">
        <v>44477</v>
      </c>
      <c r="BU1233" s="1">
        <v>2.9079999999999999</v>
      </c>
      <c r="BV1233" s="1">
        <v>44477</v>
      </c>
      <c r="BW1233" s="1">
        <v>2.83</v>
      </c>
      <c r="CC1233" s="1">
        <v>44477</v>
      </c>
      <c r="CD1233" s="1">
        <v>2.0699999999999998</v>
      </c>
      <c r="CE1233" s="1">
        <v>44477</v>
      </c>
      <c r="CF1233" s="1">
        <v>2.145</v>
      </c>
      <c r="CG1233" s="1">
        <v>44477</v>
      </c>
      <c r="CH1233" s="1">
        <v>2.3125</v>
      </c>
      <c r="CI1233" s="1">
        <v>44477</v>
      </c>
      <c r="CJ1233" s="1">
        <v>2.6524999999999999</v>
      </c>
      <c r="CK1233" s="1">
        <v>44477</v>
      </c>
      <c r="CL1233" s="1">
        <v>2.88</v>
      </c>
      <c r="CM1233" s="1">
        <v>44468</v>
      </c>
      <c r="CN1233" s="1">
        <v>2.6850000000000001</v>
      </c>
      <c r="CO1233" s="1">
        <v>44460</v>
      </c>
      <c r="CP1233" s="1">
        <v>2.5975000000000001</v>
      </c>
      <c r="CQ1233" s="1">
        <v>44460</v>
      </c>
      <c r="CR1233" s="1">
        <v>2.6850000000000001</v>
      </c>
      <c r="CS1233" s="1">
        <v>44460</v>
      </c>
      <c r="CT1233" s="1">
        <v>2.7725</v>
      </c>
    </row>
    <row r="1234" spans="31:98" x14ac:dyDescent="0.2">
      <c r="AE1234" s="1">
        <v>44468</v>
      </c>
      <c r="AF1234" s="1">
        <v>0.1</v>
      </c>
      <c r="AI1234" s="1">
        <v>44476</v>
      </c>
      <c r="AJ1234" s="1">
        <v>1.0049999999999999</v>
      </c>
      <c r="AK1234" s="1">
        <v>44476</v>
      </c>
      <c r="AL1234" s="1">
        <v>1.1399999999999999</v>
      </c>
      <c r="AM1234" s="1">
        <v>44476</v>
      </c>
      <c r="AN1234" s="1">
        <v>1.3</v>
      </c>
      <c r="AO1234" s="1">
        <v>44476</v>
      </c>
      <c r="AP1234" s="1">
        <v>1.875</v>
      </c>
      <c r="AQ1234" s="1">
        <v>44476</v>
      </c>
      <c r="AR1234" s="1">
        <v>2.2799999999999998</v>
      </c>
      <c r="AS1234" s="1">
        <v>44476</v>
      </c>
      <c r="AT1234" s="1">
        <v>2.375</v>
      </c>
      <c r="AU1234" s="1">
        <v>44476</v>
      </c>
      <c r="AV1234" s="1">
        <v>2.44</v>
      </c>
      <c r="AW1234" s="1">
        <v>44476</v>
      </c>
      <c r="AX1234" s="1">
        <v>2.4449999999999998</v>
      </c>
      <c r="AY1234" s="1">
        <v>44476</v>
      </c>
      <c r="AZ1234" s="1">
        <v>2.4300000000000002</v>
      </c>
      <c r="BF1234" s="1">
        <v>44476</v>
      </c>
      <c r="BG1234" s="1">
        <v>2.4</v>
      </c>
      <c r="BH1234" s="1">
        <v>44476</v>
      </c>
      <c r="BI1234" s="1">
        <v>2.5049999999999999</v>
      </c>
      <c r="BJ1234" s="1">
        <v>44476</v>
      </c>
      <c r="BK1234" s="1">
        <v>2.77</v>
      </c>
      <c r="BL1234" s="1">
        <v>44476</v>
      </c>
      <c r="BM1234" s="1">
        <v>3.048</v>
      </c>
      <c r="BN1234" s="1">
        <v>44475</v>
      </c>
      <c r="BO1234" s="1">
        <v>3.13</v>
      </c>
      <c r="BP1234" s="1">
        <v>44476</v>
      </c>
      <c r="BQ1234" s="1">
        <v>3.125</v>
      </c>
      <c r="BR1234" s="1">
        <v>44476</v>
      </c>
      <c r="BS1234" s="1">
        <v>2.968</v>
      </c>
      <c r="BT1234" s="1">
        <v>44476</v>
      </c>
      <c r="BU1234" s="1">
        <v>2.8679999999999999</v>
      </c>
      <c r="BV1234" s="1">
        <v>44476</v>
      </c>
      <c r="BW1234" s="1">
        <v>2.778</v>
      </c>
      <c r="CC1234" s="1">
        <v>44476</v>
      </c>
      <c r="CD1234" s="1">
        <v>1.9930000000000001</v>
      </c>
      <c r="CE1234" s="1">
        <v>44476</v>
      </c>
      <c r="CF1234" s="1">
        <v>2.1324999999999998</v>
      </c>
      <c r="CG1234" s="1">
        <v>44476</v>
      </c>
      <c r="CH1234" s="1">
        <v>2.2999999999999998</v>
      </c>
      <c r="CI1234" s="1">
        <v>44476</v>
      </c>
      <c r="CJ1234" s="1">
        <v>2.64</v>
      </c>
      <c r="CK1234" s="1">
        <v>44476</v>
      </c>
      <c r="CL1234" s="1">
        <v>2.875</v>
      </c>
      <c r="CM1234" s="1">
        <v>44467</v>
      </c>
      <c r="CN1234" s="1">
        <v>2.7149999999999999</v>
      </c>
      <c r="CO1234" s="1">
        <v>44459</v>
      </c>
      <c r="CP1234" s="1">
        <v>2.835</v>
      </c>
      <c r="CQ1234" s="1">
        <v>44459</v>
      </c>
      <c r="CR1234" s="1">
        <v>2.9125000000000001</v>
      </c>
      <c r="CS1234" s="1">
        <v>44459</v>
      </c>
      <c r="CT1234" s="1">
        <v>2.95</v>
      </c>
    </row>
    <row r="1235" spans="31:98" x14ac:dyDescent="0.2">
      <c r="AE1235" s="1">
        <v>44467</v>
      </c>
      <c r="AF1235" s="1">
        <v>0.1</v>
      </c>
      <c r="AI1235" s="1">
        <v>44475</v>
      </c>
      <c r="AJ1235" s="1">
        <v>0.91</v>
      </c>
      <c r="AK1235" s="1">
        <v>44475</v>
      </c>
      <c r="AL1235" s="1">
        <v>0.94199999999999995</v>
      </c>
      <c r="AM1235" s="1">
        <v>44475</v>
      </c>
      <c r="AN1235" s="1">
        <v>1.2024999999999999</v>
      </c>
      <c r="AO1235" s="1">
        <v>44475</v>
      </c>
      <c r="AP1235" s="1">
        <v>1.67</v>
      </c>
      <c r="AQ1235" s="1">
        <v>44475</v>
      </c>
      <c r="AR1235" s="1">
        <v>1.9775</v>
      </c>
      <c r="AS1235" s="1">
        <v>44475</v>
      </c>
      <c r="AT1235" s="1">
        <v>2.0499999999999998</v>
      </c>
      <c r="AU1235" s="1">
        <v>44475</v>
      </c>
      <c r="AV1235" s="1">
        <v>2.15</v>
      </c>
      <c r="AW1235" s="1">
        <v>44475</v>
      </c>
      <c r="AX1235" s="1">
        <v>2.2050000000000001</v>
      </c>
      <c r="AY1235" s="1">
        <v>44475</v>
      </c>
      <c r="AZ1235" s="1">
        <v>2.2850000000000001</v>
      </c>
      <c r="BF1235" s="1">
        <v>44475</v>
      </c>
      <c r="BG1235" s="1">
        <v>2.12</v>
      </c>
      <c r="BH1235" s="1">
        <v>44475</v>
      </c>
      <c r="BI1235" s="1">
        <v>2.4569999999999999</v>
      </c>
      <c r="BJ1235" s="1">
        <v>44475</v>
      </c>
      <c r="BK1235" s="1">
        <v>2.7480000000000002</v>
      </c>
      <c r="BL1235" s="1">
        <v>44475</v>
      </c>
      <c r="BM1235" s="1">
        <v>2.988</v>
      </c>
      <c r="BN1235" s="1">
        <v>44474</v>
      </c>
      <c r="BO1235" s="1">
        <v>3.15</v>
      </c>
      <c r="BP1235" s="1">
        <v>44475</v>
      </c>
      <c r="BQ1235" s="1">
        <v>3.1179999999999999</v>
      </c>
      <c r="BR1235" s="1">
        <v>44475</v>
      </c>
      <c r="BS1235" s="1">
        <v>2.96</v>
      </c>
      <c r="BT1235" s="1">
        <v>44475</v>
      </c>
      <c r="BU1235" s="1">
        <v>2.86</v>
      </c>
      <c r="BV1235" s="1">
        <v>44475</v>
      </c>
      <c r="BW1235" s="1">
        <v>2.77</v>
      </c>
      <c r="CC1235" s="1">
        <v>44475</v>
      </c>
      <c r="CD1235" s="1">
        <v>1.9930000000000001</v>
      </c>
      <c r="CE1235" s="1">
        <v>44475</v>
      </c>
      <c r="CF1235" s="1">
        <v>2.1375000000000002</v>
      </c>
      <c r="CG1235" s="1">
        <v>44475</v>
      </c>
      <c r="CH1235" s="1">
        <v>2.31</v>
      </c>
      <c r="CI1235" s="1">
        <v>44475</v>
      </c>
      <c r="CJ1235" s="1">
        <v>2.65</v>
      </c>
      <c r="CK1235" s="1">
        <v>44475</v>
      </c>
      <c r="CL1235" s="1">
        <v>2.88</v>
      </c>
      <c r="CM1235" s="1">
        <v>44466</v>
      </c>
      <c r="CN1235" s="1">
        <v>2.6175000000000002</v>
      </c>
      <c r="CO1235" s="1">
        <v>44456</v>
      </c>
      <c r="CP1235" s="1">
        <v>2.82</v>
      </c>
      <c r="CQ1235" s="1">
        <v>44456</v>
      </c>
      <c r="CR1235" s="1">
        <v>2.8975</v>
      </c>
      <c r="CS1235" s="1">
        <v>44456</v>
      </c>
      <c r="CT1235" s="1">
        <v>2.9350000000000001</v>
      </c>
    </row>
    <row r="1236" spans="31:98" x14ac:dyDescent="0.2">
      <c r="AE1236" s="1">
        <v>44466</v>
      </c>
      <c r="AF1236" s="1">
        <v>0.1</v>
      </c>
      <c r="AI1236" s="1">
        <v>44474</v>
      </c>
      <c r="AJ1236" s="1">
        <v>0.54500000000000004</v>
      </c>
      <c r="AK1236" s="1">
        <v>44474</v>
      </c>
      <c r="AL1236" s="1">
        <v>0.57999999999999996</v>
      </c>
      <c r="AM1236" s="1">
        <v>44474</v>
      </c>
      <c r="AN1236" s="1">
        <v>0.75</v>
      </c>
      <c r="AO1236" s="1">
        <v>44474</v>
      </c>
      <c r="AP1236" s="1">
        <v>1.17</v>
      </c>
      <c r="AQ1236" s="1">
        <v>44474</v>
      </c>
      <c r="AR1236" s="1">
        <v>1.5</v>
      </c>
      <c r="AS1236" s="1">
        <v>44474</v>
      </c>
      <c r="AT1236" s="1">
        <v>1.77</v>
      </c>
      <c r="AU1236" s="1">
        <v>44474</v>
      </c>
      <c r="AV1236" s="1">
        <v>1.92</v>
      </c>
      <c r="AW1236" s="1">
        <v>44474</v>
      </c>
      <c r="AX1236" s="1">
        <v>2.0150000000000001</v>
      </c>
      <c r="AY1236" s="1">
        <v>44474</v>
      </c>
      <c r="AZ1236" s="1">
        <v>2.125</v>
      </c>
      <c r="BF1236" s="1">
        <v>44474</v>
      </c>
      <c r="BG1236" s="1">
        <v>2.1150000000000002</v>
      </c>
      <c r="BH1236" s="1">
        <v>44474</v>
      </c>
      <c r="BI1236" s="1">
        <v>2.4449999999999998</v>
      </c>
      <c r="BJ1236" s="1">
        <v>44474</v>
      </c>
      <c r="BK1236" s="1">
        <v>2.74</v>
      </c>
      <c r="BL1236" s="1">
        <v>44474</v>
      </c>
      <c r="BM1236" s="1">
        <v>3</v>
      </c>
      <c r="BN1236" s="1">
        <v>44473</v>
      </c>
      <c r="BO1236" s="1">
        <v>3.085</v>
      </c>
      <c r="BP1236" s="1">
        <v>44474</v>
      </c>
      <c r="BQ1236" s="1">
        <v>3.1280000000000001</v>
      </c>
      <c r="BR1236" s="1">
        <v>44474</v>
      </c>
      <c r="BS1236" s="1">
        <v>2.9750000000000001</v>
      </c>
      <c r="BT1236" s="1">
        <v>44474</v>
      </c>
      <c r="BU1236" s="1">
        <v>2.88</v>
      </c>
      <c r="BV1236" s="1">
        <v>44474</v>
      </c>
      <c r="BW1236" s="1">
        <v>2.8149999999999999</v>
      </c>
      <c r="CC1236" s="1">
        <v>44474</v>
      </c>
      <c r="CD1236" s="1">
        <v>2.0150000000000001</v>
      </c>
      <c r="CE1236" s="1">
        <v>44474</v>
      </c>
      <c r="CF1236" s="1">
        <v>2.1</v>
      </c>
      <c r="CG1236" s="1">
        <v>44474</v>
      </c>
      <c r="CH1236" s="1">
        <v>2.2625000000000002</v>
      </c>
      <c r="CI1236" s="1">
        <v>44474</v>
      </c>
      <c r="CJ1236" s="1">
        <v>2.59</v>
      </c>
      <c r="CK1236" s="1">
        <v>44474</v>
      </c>
      <c r="CL1236" s="1">
        <v>2.84</v>
      </c>
      <c r="CM1236" s="1">
        <v>44463</v>
      </c>
      <c r="CN1236" s="1">
        <v>2.61</v>
      </c>
      <c r="CO1236" s="1">
        <v>44455</v>
      </c>
      <c r="CP1236" s="1">
        <v>2.82</v>
      </c>
      <c r="CQ1236" s="1">
        <v>44455</v>
      </c>
      <c r="CR1236" s="1">
        <v>2.8975</v>
      </c>
      <c r="CS1236" s="1">
        <v>44455</v>
      </c>
      <c r="CT1236" s="1">
        <v>2.9350000000000001</v>
      </c>
    </row>
    <row r="1237" spans="31:98" x14ac:dyDescent="0.2">
      <c r="AE1237" s="1">
        <v>44463</v>
      </c>
      <c r="AF1237" s="1">
        <v>0.1</v>
      </c>
      <c r="AI1237" s="1">
        <v>44473</v>
      </c>
      <c r="AJ1237" s="1">
        <v>0.5</v>
      </c>
      <c r="AK1237" s="1">
        <v>44473</v>
      </c>
      <c r="AL1237" s="1">
        <v>0.55000000000000004</v>
      </c>
      <c r="AM1237" s="1">
        <v>44473</v>
      </c>
      <c r="AN1237" s="1">
        <v>0.71</v>
      </c>
      <c r="AO1237" s="1">
        <v>44473</v>
      </c>
      <c r="AP1237" s="1">
        <v>1.1575</v>
      </c>
      <c r="AQ1237" s="1">
        <v>44473</v>
      </c>
      <c r="AR1237" s="1">
        <v>1.48</v>
      </c>
      <c r="AS1237" s="1">
        <v>44473</v>
      </c>
      <c r="AT1237" s="1">
        <v>1.75</v>
      </c>
      <c r="AU1237" s="1">
        <v>44473</v>
      </c>
      <c r="AV1237" s="1">
        <v>1.93</v>
      </c>
      <c r="AW1237" s="1">
        <v>44473</v>
      </c>
      <c r="AX1237" s="1">
        <v>2.0249999999999999</v>
      </c>
      <c r="AY1237" s="1">
        <v>44473</v>
      </c>
      <c r="AZ1237" s="1">
        <v>2.125</v>
      </c>
      <c r="BF1237" s="1">
        <v>44473</v>
      </c>
      <c r="BG1237" s="1">
        <v>2.0030000000000001</v>
      </c>
      <c r="BH1237" s="1">
        <v>44473</v>
      </c>
      <c r="BI1237" s="1">
        <v>2.4009999999999998</v>
      </c>
      <c r="BJ1237" s="1">
        <v>44473</v>
      </c>
      <c r="BK1237" s="1">
        <v>2.7029999999999998</v>
      </c>
      <c r="BL1237" s="1">
        <v>44473</v>
      </c>
      <c r="BM1237" s="1">
        <v>2.9550000000000001</v>
      </c>
      <c r="BN1237" s="1">
        <v>44470</v>
      </c>
      <c r="BO1237" s="1">
        <v>3.09</v>
      </c>
      <c r="BP1237" s="1">
        <v>44473</v>
      </c>
      <c r="BQ1237" s="1">
        <v>3.0950000000000002</v>
      </c>
      <c r="BR1237" s="1">
        <v>44473</v>
      </c>
      <c r="BS1237" s="1">
        <v>2.9550000000000001</v>
      </c>
      <c r="BT1237" s="1">
        <v>44473</v>
      </c>
      <c r="BU1237" s="1">
        <v>2.87</v>
      </c>
      <c r="BV1237" s="1">
        <v>44473</v>
      </c>
      <c r="BW1237" s="1">
        <v>2.76</v>
      </c>
      <c r="CC1237" s="1">
        <v>44473</v>
      </c>
      <c r="CD1237" s="1">
        <v>2.0299999999999998</v>
      </c>
      <c r="CE1237" s="1">
        <v>44473</v>
      </c>
      <c r="CF1237" s="1">
        <v>2.12</v>
      </c>
      <c r="CG1237" s="1">
        <v>44473</v>
      </c>
      <c r="CH1237" s="1">
        <v>2.3025000000000002</v>
      </c>
      <c r="CI1237" s="1">
        <v>44473</v>
      </c>
      <c r="CJ1237" s="1">
        <v>2.66</v>
      </c>
      <c r="CK1237" s="1">
        <v>44473</v>
      </c>
      <c r="CL1237" s="1">
        <v>2.88</v>
      </c>
      <c r="CM1237" s="1">
        <v>44462</v>
      </c>
      <c r="CN1237" s="1">
        <v>2.5550000000000002</v>
      </c>
      <c r="CO1237" s="1">
        <v>44454</v>
      </c>
      <c r="CP1237" s="1">
        <v>2.77</v>
      </c>
      <c r="CQ1237" s="1">
        <v>44454</v>
      </c>
      <c r="CR1237" s="1">
        <v>2.8450000000000002</v>
      </c>
      <c r="CS1237" s="1">
        <v>44454</v>
      </c>
      <c r="CT1237" s="1">
        <v>2.8774999999999999</v>
      </c>
    </row>
    <row r="1238" spans="31:98" x14ac:dyDescent="0.2">
      <c r="AE1238" s="1">
        <v>44462</v>
      </c>
      <c r="AF1238" s="1">
        <v>0.1</v>
      </c>
      <c r="AI1238" s="1">
        <v>44470</v>
      </c>
      <c r="AJ1238" s="1">
        <v>0.38150000000000001</v>
      </c>
      <c r="AK1238" s="1">
        <v>44470</v>
      </c>
      <c r="AL1238" s="1">
        <v>0.5</v>
      </c>
      <c r="AM1238" s="1">
        <v>44470</v>
      </c>
      <c r="AN1238" s="1">
        <v>0.65500000000000003</v>
      </c>
      <c r="AO1238" s="1">
        <v>44470</v>
      </c>
      <c r="AP1238" s="1">
        <v>1.0225</v>
      </c>
      <c r="AQ1238" s="1">
        <v>44470</v>
      </c>
      <c r="AR1238" s="1">
        <v>1.335</v>
      </c>
      <c r="AS1238" s="1">
        <v>44470</v>
      </c>
      <c r="AT1238" s="1">
        <v>1.645</v>
      </c>
      <c r="AU1238" s="1">
        <v>44470</v>
      </c>
      <c r="AV1238" s="1">
        <v>1.83</v>
      </c>
      <c r="AW1238" s="1">
        <v>44470</v>
      </c>
      <c r="AX1238" s="1">
        <v>1.98</v>
      </c>
      <c r="AY1238" s="1">
        <v>44470</v>
      </c>
      <c r="AZ1238" s="1">
        <v>2.11</v>
      </c>
      <c r="BF1238" s="1">
        <v>44470</v>
      </c>
      <c r="BG1238" s="1">
        <v>1.998</v>
      </c>
      <c r="BH1238" s="1">
        <v>44470</v>
      </c>
      <c r="BI1238" s="1">
        <v>2.38</v>
      </c>
      <c r="BJ1238" s="1">
        <v>44470</v>
      </c>
      <c r="BK1238" s="1">
        <v>2.645</v>
      </c>
      <c r="BL1238" s="1">
        <v>44470</v>
      </c>
      <c r="BM1238" s="1">
        <v>2.92</v>
      </c>
      <c r="BN1238" s="1">
        <v>44469</v>
      </c>
      <c r="BO1238" s="1">
        <v>3.08</v>
      </c>
      <c r="BP1238" s="1">
        <v>44470</v>
      </c>
      <c r="BQ1238" s="1">
        <v>3.08</v>
      </c>
      <c r="BR1238" s="1">
        <v>44470</v>
      </c>
      <c r="BS1238" s="1">
        <v>2.96</v>
      </c>
      <c r="BT1238" s="1">
        <v>44470</v>
      </c>
      <c r="BU1238" s="1">
        <v>2.87</v>
      </c>
      <c r="BV1238" s="1">
        <v>44470</v>
      </c>
      <c r="BW1238" s="1">
        <v>2.758</v>
      </c>
      <c r="CC1238" s="1">
        <v>44470</v>
      </c>
      <c r="CD1238" s="1">
        <v>2</v>
      </c>
      <c r="CE1238" s="1">
        <v>44470</v>
      </c>
      <c r="CF1238" s="1">
        <v>2.085</v>
      </c>
      <c r="CG1238" s="1">
        <v>44470</v>
      </c>
      <c r="CH1238" s="1">
        <v>2.2200000000000002</v>
      </c>
      <c r="CI1238" s="1">
        <v>44470</v>
      </c>
      <c r="CJ1238" s="1">
        <v>2.4874999999999998</v>
      </c>
      <c r="CK1238" s="1">
        <v>44470</v>
      </c>
      <c r="CL1238" s="1">
        <v>2.7149999999999999</v>
      </c>
      <c r="CM1238" s="1">
        <v>44461</v>
      </c>
      <c r="CN1238" s="1">
        <v>2.46</v>
      </c>
      <c r="CO1238" s="1">
        <v>44453</v>
      </c>
      <c r="CP1238" s="1">
        <v>2.56</v>
      </c>
      <c r="CQ1238" s="1">
        <v>44453</v>
      </c>
      <c r="CR1238" s="1">
        <v>2.6425000000000001</v>
      </c>
      <c r="CS1238" s="1">
        <v>44453</v>
      </c>
      <c r="CT1238" s="1">
        <v>2.7225000000000001</v>
      </c>
    </row>
    <row r="1239" spans="31:98" x14ac:dyDescent="0.2">
      <c r="AE1239" s="1">
        <v>44461</v>
      </c>
      <c r="AF1239" s="1">
        <v>0.1</v>
      </c>
      <c r="AI1239" s="1">
        <v>44469</v>
      </c>
      <c r="AJ1239" s="1">
        <v>0.34100000000000003</v>
      </c>
      <c r="AK1239" s="1">
        <v>44469</v>
      </c>
      <c r="AL1239" s="1">
        <v>0.46700000000000003</v>
      </c>
      <c r="AM1239" s="1">
        <v>44469</v>
      </c>
      <c r="AN1239" s="1">
        <v>0.6</v>
      </c>
      <c r="AO1239" s="1">
        <v>44469</v>
      </c>
      <c r="AP1239" s="1">
        <v>0.86750000000000005</v>
      </c>
      <c r="AQ1239" s="1">
        <v>44469</v>
      </c>
      <c r="AR1239" s="1">
        <v>1.1675</v>
      </c>
      <c r="AS1239" s="1">
        <v>44469</v>
      </c>
      <c r="AT1239" s="1">
        <v>1.4325000000000001</v>
      </c>
      <c r="AU1239" s="1">
        <v>44469</v>
      </c>
      <c r="AV1239" s="1">
        <v>1.6525000000000001</v>
      </c>
      <c r="AW1239" s="1">
        <v>44469</v>
      </c>
      <c r="AX1239" s="1">
        <v>1.8225</v>
      </c>
      <c r="AY1239" s="1">
        <v>44469</v>
      </c>
      <c r="AZ1239" s="1">
        <v>1.9524999999999999</v>
      </c>
      <c r="BF1239" s="1">
        <v>44469</v>
      </c>
      <c r="BG1239" s="1">
        <v>1.91</v>
      </c>
      <c r="BH1239" s="1">
        <v>44469</v>
      </c>
      <c r="BI1239" s="1">
        <v>2.202</v>
      </c>
      <c r="BJ1239" s="1">
        <v>44469</v>
      </c>
      <c r="BK1239" s="1">
        <v>2.5449999999999999</v>
      </c>
      <c r="BL1239" s="1">
        <v>44469</v>
      </c>
      <c r="BM1239" s="1">
        <v>2.8730000000000002</v>
      </c>
      <c r="BN1239" s="1">
        <v>44468</v>
      </c>
      <c r="BO1239" s="1">
        <v>2.7629999999999999</v>
      </c>
      <c r="BP1239" s="1">
        <v>44469</v>
      </c>
      <c r="BQ1239" s="1">
        <v>3.0979999999999999</v>
      </c>
      <c r="BR1239" s="1">
        <v>44469</v>
      </c>
      <c r="BS1239" s="1">
        <v>3.0430000000000001</v>
      </c>
      <c r="BT1239" s="1">
        <v>44469</v>
      </c>
      <c r="BU1239" s="1">
        <v>2.9649999999999999</v>
      </c>
      <c r="BV1239" s="1">
        <v>44469</v>
      </c>
      <c r="BW1239" s="1">
        <v>2.83</v>
      </c>
      <c r="CC1239" s="1">
        <v>44469</v>
      </c>
      <c r="CD1239" s="1">
        <v>1.9624999999999999</v>
      </c>
      <c r="CE1239" s="1">
        <v>44469</v>
      </c>
      <c r="CF1239" s="1">
        <v>2.0950000000000002</v>
      </c>
      <c r="CG1239" s="1">
        <v>44469</v>
      </c>
      <c r="CH1239" s="1">
        <v>2.2425000000000002</v>
      </c>
      <c r="CI1239" s="1">
        <v>44469</v>
      </c>
      <c r="CJ1239" s="1">
        <v>2.44</v>
      </c>
      <c r="CK1239" s="1">
        <v>44469</v>
      </c>
      <c r="CL1239" s="1">
        <v>2.5950000000000002</v>
      </c>
      <c r="CM1239" s="1">
        <v>44460</v>
      </c>
      <c r="CN1239" s="1">
        <v>2.5074999999999998</v>
      </c>
    </row>
    <row r="1240" spans="31:98" x14ac:dyDescent="0.2">
      <c r="AE1240" s="1">
        <v>44460</v>
      </c>
      <c r="AF1240" s="1">
        <v>0.1</v>
      </c>
      <c r="AI1240" s="1">
        <v>44468</v>
      </c>
      <c r="AJ1240" s="1">
        <v>0.318</v>
      </c>
      <c r="AK1240" s="1">
        <v>44468</v>
      </c>
      <c r="AL1240" s="1">
        <v>0.43</v>
      </c>
      <c r="AM1240" s="1">
        <v>44468</v>
      </c>
      <c r="AN1240" s="1">
        <v>0.505</v>
      </c>
      <c r="AO1240" s="1">
        <v>44468</v>
      </c>
      <c r="AP1240" s="1">
        <v>0.80500000000000005</v>
      </c>
      <c r="AQ1240" s="1">
        <v>44468</v>
      </c>
      <c r="AR1240" s="1">
        <v>1.075</v>
      </c>
      <c r="AS1240" s="1">
        <v>44468</v>
      </c>
      <c r="AT1240" s="1">
        <v>1.3075000000000001</v>
      </c>
      <c r="AU1240" s="1">
        <v>44468</v>
      </c>
      <c r="AV1240" s="1">
        <v>1.5049999999999999</v>
      </c>
      <c r="AW1240" s="1">
        <v>44468</v>
      </c>
      <c r="AX1240" s="1">
        <v>1.6775</v>
      </c>
      <c r="AY1240" s="1">
        <v>44468</v>
      </c>
      <c r="AZ1240" s="1">
        <v>1.8049999999999999</v>
      </c>
      <c r="BF1240" s="1">
        <v>44468</v>
      </c>
      <c r="BG1240" s="1">
        <v>1.58</v>
      </c>
      <c r="BH1240" s="1">
        <v>44468</v>
      </c>
      <c r="BI1240" s="1">
        <v>1.901</v>
      </c>
      <c r="BJ1240" s="1">
        <v>44468</v>
      </c>
      <c r="BK1240" s="1">
        <v>2.19</v>
      </c>
      <c r="BL1240" s="1">
        <v>44468</v>
      </c>
      <c r="BM1240" s="1">
        <v>2.5099999999999998</v>
      </c>
      <c r="BN1240" s="1">
        <v>44467</v>
      </c>
      <c r="BO1240" s="1">
        <v>2.798</v>
      </c>
      <c r="BP1240" s="1">
        <v>44468</v>
      </c>
      <c r="BQ1240" s="1">
        <v>2.77</v>
      </c>
      <c r="BR1240" s="1">
        <v>44468</v>
      </c>
      <c r="BS1240" s="1">
        <v>2.7349999999999999</v>
      </c>
      <c r="BT1240" s="1">
        <v>44468</v>
      </c>
      <c r="BU1240" s="1">
        <v>2.6829999999999998</v>
      </c>
      <c r="BV1240" s="1">
        <v>44468</v>
      </c>
      <c r="BW1240" s="1">
        <v>2.605</v>
      </c>
      <c r="CC1240" s="1">
        <v>44468</v>
      </c>
      <c r="CD1240" s="1">
        <v>1.9624999999999999</v>
      </c>
      <c r="CE1240" s="1">
        <v>44468</v>
      </c>
      <c r="CF1240" s="1">
        <v>2.08</v>
      </c>
      <c r="CG1240" s="1">
        <v>44468</v>
      </c>
      <c r="CH1240" s="1">
        <v>2.2200000000000002</v>
      </c>
      <c r="CI1240" s="1">
        <v>44468</v>
      </c>
      <c r="CJ1240" s="1">
        <v>2.41</v>
      </c>
      <c r="CK1240" s="1">
        <v>44468</v>
      </c>
      <c r="CL1240" s="1">
        <v>2.5350000000000001</v>
      </c>
      <c r="CM1240" s="1">
        <v>44459</v>
      </c>
      <c r="CN1240" s="1">
        <v>2.73</v>
      </c>
    </row>
    <row r="1241" spans="31:98" x14ac:dyDescent="0.2">
      <c r="AE1241" s="1">
        <v>44459</v>
      </c>
      <c r="AF1241" s="1">
        <v>0.1</v>
      </c>
      <c r="AI1241" s="1">
        <v>44467</v>
      </c>
      <c r="AJ1241" s="1">
        <v>0.32079999999999997</v>
      </c>
      <c r="AK1241" s="1">
        <v>44467</v>
      </c>
      <c r="AL1241" s="1">
        <v>0.44</v>
      </c>
      <c r="AM1241" s="1">
        <v>44467</v>
      </c>
      <c r="AN1241" s="1">
        <v>0.51500000000000001</v>
      </c>
      <c r="AO1241" s="1">
        <v>44467</v>
      </c>
      <c r="AP1241" s="1">
        <v>0.81499999999999995</v>
      </c>
      <c r="AQ1241" s="1">
        <v>44467</v>
      </c>
      <c r="AR1241" s="1">
        <v>1.095</v>
      </c>
      <c r="AS1241" s="1">
        <v>44467</v>
      </c>
      <c r="AT1241" s="1">
        <v>1.34</v>
      </c>
      <c r="AU1241" s="1">
        <v>44467</v>
      </c>
      <c r="AV1241" s="1">
        <v>1.55</v>
      </c>
      <c r="AW1241" s="1">
        <v>44467</v>
      </c>
      <c r="AX1241" s="1">
        <v>1.7350000000000001</v>
      </c>
      <c r="AY1241" s="1">
        <v>44467</v>
      </c>
      <c r="AZ1241" s="1">
        <v>1.87</v>
      </c>
      <c r="BF1241" s="1">
        <v>44467</v>
      </c>
      <c r="BG1241" s="1">
        <v>1.57</v>
      </c>
      <c r="BH1241" s="1">
        <v>44467</v>
      </c>
      <c r="BI1241" s="1">
        <v>1.913</v>
      </c>
      <c r="BJ1241" s="1">
        <v>44467</v>
      </c>
      <c r="BK1241" s="1">
        <v>2.19</v>
      </c>
      <c r="BL1241" s="1">
        <v>44467</v>
      </c>
      <c r="BM1241" s="1">
        <v>2.5430000000000001</v>
      </c>
      <c r="BN1241" s="1">
        <v>44466</v>
      </c>
      <c r="BO1241" s="1">
        <v>2.8</v>
      </c>
      <c r="BP1241" s="1">
        <v>44467</v>
      </c>
      <c r="BQ1241" s="1">
        <v>2.7949999999999999</v>
      </c>
      <c r="BR1241" s="1">
        <v>44467</v>
      </c>
      <c r="BS1241" s="1">
        <v>2.75</v>
      </c>
      <c r="BT1241" s="1">
        <v>44467</v>
      </c>
      <c r="BU1241" s="1">
        <v>2.68</v>
      </c>
      <c r="BV1241" s="1">
        <v>44467</v>
      </c>
      <c r="BW1241" s="1">
        <v>2.593</v>
      </c>
      <c r="CC1241" s="1">
        <v>44467</v>
      </c>
      <c r="CD1241" s="1">
        <v>1.9624999999999999</v>
      </c>
      <c r="CE1241" s="1">
        <v>44467</v>
      </c>
      <c r="CF1241" s="1">
        <v>2.0950000000000002</v>
      </c>
      <c r="CG1241" s="1">
        <v>44467</v>
      </c>
      <c r="CH1241" s="1">
        <v>2.2349999999999999</v>
      </c>
      <c r="CI1241" s="1">
        <v>44467</v>
      </c>
      <c r="CJ1241" s="1">
        <v>2.4350000000000001</v>
      </c>
      <c r="CK1241" s="1">
        <v>44467</v>
      </c>
      <c r="CL1241" s="1">
        <v>2.5350000000000001</v>
      </c>
      <c r="CM1241" s="1">
        <v>44456</v>
      </c>
      <c r="CN1241" s="1">
        <v>2.72</v>
      </c>
    </row>
    <row r="1242" spans="31:98" x14ac:dyDescent="0.2">
      <c r="AE1242" s="1">
        <v>44456</v>
      </c>
      <c r="AF1242" s="1">
        <v>0.1</v>
      </c>
      <c r="AI1242" s="1">
        <v>44466</v>
      </c>
      <c r="AJ1242" s="1">
        <v>0.32300000000000001</v>
      </c>
      <c r="AK1242" s="1">
        <v>44466</v>
      </c>
      <c r="AL1242" s="1">
        <v>0.42499999999999999</v>
      </c>
      <c r="AM1242" s="1">
        <v>44466</v>
      </c>
      <c r="AN1242" s="1">
        <v>0.505</v>
      </c>
      <c r="AO1242" s="1">
        <v>44466</v>
      </c>
      <c r="AP1242" s="1">
        <v>0.79</v>
      </c>
      <c r="AQ1242" s="1">
        <v>44466</v>
      </c>
      <c r="AR1242" s="1">
        <v>1.07</v>
      </c>
      <c r="AS1242" s="1">
        <v>44466</v>
      </c>
      <c r="AT1242" s="1">
        <v>1.3149999999999999</v>
      </c>
      <c r="AU1242" s="1">
        <v>44466</v>
      </c>
      <c r="AV1242" s="1">
        <v>1.5225</v>
      </c>
      <c r="AW1242" s="1">
        <v>44466</v>
      </c>
      <c r="AX1242" s="1">
        <v>1.7050000000000001</v>
      </c>
      <c r="AY1242" s="1">
        <v>44466</v>
      </c>
      <c r="AZ1242" s="1">
        <v>1.8374999999999999</v>
      </c>
      <c r="BF1242" s="1">
        <v>44466</v>
      </c>
      <c r="BG1242" s="1">
        <v>1.57</v>
      </c>
      <c r="BH1242" s="1">
        <v>44466</v>
      </c>
      <c r="BI1242" s="1">
        <v>1.9119999999999999</v>
      </c>
      <c r="BJ1242" s="1">
        <v>44466</v>
      </c>
      <c r="BK1242" s="1">
        <v>2.19</v>
      </c>
      <c r="BL1242" s="1">
        <v>44466</v>
      </c>
      <c r="BM1242" s="1">
        <v>2.5430000000000001</v>
      </c>
      <c r="BN1242" s="1">
        <v>44463</v>
      </c>
      <c r="BO1242" s="1">
        <v>2.7650000000000001</v>
      </c>
      <c r="BP1242" s="1">
        <v>44466</v>
      </c>
      <c r="BQ1242" s="1">
        <v>2.7949999999999999</v>
      </c>
      <c r="BR1242" s="1">
        <v>44466</v>
      </c>
      <c r="BS1242" s="1">
        <v>2.75</v>
      </c>
      <c r="BT1242" s="1">
        <v>44466</v>
      </c>
      <c r="BU1242" s="1">
        <v>2.68</v>
      </c>
      <c r="BV1242" s="1">
        <v>44466</v>
      </c>
      <c r="BW1242" s="1">
        <v>2.593</v>
      </c>
      <c r="CC1242" s="1">
        <v>44466</v>
      </c>
      <c r="CD1242" s="1">
        <v>1.9375</v>
      </c>
      <c r="CE1242" s="1">
        <v>44466</v>
      </c>
      <c r="CF1242" s="1">
        <v>2.0525000000000002</v>
      </c>
      <c r="CG1242" s="1">
        <v>44466</v>
      </c>
      <c r="CH1242" s="1">
        <v>2.2025000000000001</v>
      </c>
      <c r="CI1242" s="1">
        <v>44466</v>
      </c>
      <c r="CJ1242" s="1">
        <v>2.3525</v>
      </c>
      <c r="CK1242" s="1">
        <v>44466</v>
      </c>
      <c r="CL1242" s="1">
        <v>2.4900000000000002</v>
      </c>
      <c r="CM1242" s="1">
        <v>44455</v>
      </c>
      <c r="CN1242" s="1">
        <v>2.72</v>
      </c>
    </row>
    <row r="1243" spans="31:98" x14ac:dyDescent="0.2">
      <c r="AE1243" s="1">
        <v>44455</v>
      </c>
      <c r="AF1243" s="1">
        <v>0.1</v>
      </c>
      <c r="AI1243" s="1">
        <v>44463</v>
      </c>
      <c r="AJ1243" s="1">
        <v>0.311</v>
      </c>
      <c r="AK1243" s="1">
        <v>44463</v>
      </c>
      <c r="AL1243" s="1">
        <v>0.41499999999999998</v>
      </c>
      <c r="AM1243" s="1">
        <v>44463</v>
      </c>
      <c r="AN1243" s="1">
        <v>0.48499999999999999</v>
      </c>
      <c r="AO1243" s="1">
        <v>44463</v>
      </c>
      <c r="AP1243" s="1">
        <v>0.74750000000000005</v>
      </c>
      <c r="AQ1243" s="1">
        <v>44463</v>
      </c>
      <c r="AR1243" s="1">
        <v>1.03</v>
      </c>
      <c r="AS1243" s="1">
        <v>44463</v>
      </c>
      <c r="AT1243" s="1">
        <v>1.27</v>
      </c>
      <c r="AU1243" s="1">
        <v>44463</v>
      </c>
      <c r="AV1243" s="1">
        <v>1.4724999999999999</v>
      </c>
      <c r="AW1243" s="1">
        <v>44463</v>
      </c>
      <c r="AX1243" s="1">
        <v>1.65</v>
      </c>
      <c r="AY1243" s="1">
        <v>44463</v>
      </c>
      <c r="AZ1243" s="1">
        <v>1.7725</v>
      </c>
      <c r="BF1243" s="1">
        <v>44463</v>
      </c>
      <c r="BG1243" s="1">
        <v>1.5549999999999999</v>
      </c>
      <c r="BH1243" s="1">
        <v>44463</v>
      </c>
      <c r="BI1243" s="1">
        <v>1.8979999999999999</v>
      </c>
      <c r="BJ1243" s="1">
        <v>44463</v>
      </c>
      <c r="BK1243" s="1">
        <v>2.1739999999999999</v>
      </c>
      <c r="BL1243" s="1">
        <v>44463</v>
      </c>
      <c r="BM1243" s="1">
        <v>2.52</v>
      </c>
      <c r="BN1243" s="1">
        <v>44462</v>
      </c>
      <c r="BO1243" s="1">
        <v>2.76</v>
      </c>
      <c r="BP1243" s="1">
        <v>44463</v>
      </c>
      <c r="BQ1243" s="1">
        <v>2.75</v>
      </c>
      <c r="BR1243" s="1">
        <v>44463</v>
      </c>
      <c r="BS1243" s="1">
        <v>2.7050000000000001</v>
      </c>
      <c r="BT1243" s="1">
        <v>44463</v>
      </c>
      <c r="BU1243" s="1">
        <v>2.6349999999999998</v>
      </c>
      <c r="BV1243" s="1">
        <v>44463</v>
      </c>
      <c r="BW1243" s="1">
        <v>2.548</v>
      </c>
      <c r="CC1243" s="1">
        <v>44463</v>
      </c>
      <c r="CD1243" s="1">
        <v>1.97</v>
      </c>
      <c r="CE1243" s="1">
        <v>44463</v>
      </c>
      <c r="CF1243" s="1">
        <v>2.0449999999999999</v>
      </c>
      <c r="CG1243" s="1">
        <v>44463</v>
      </c>
      <c r="CH1243" s="1">
        <v>2.1949999999999998</v>
      </c>
      <c r="CI1243" s="1">
        <v>44463</v>
      </c>
      <c r="CJ1243" s="1">
        <v>2.3450000000000002</v>
      </c>
      <c r="CK1243" s="1">
        <v>44463</v>
      </c>
      <c r="CL1243" s="1">
        <v>2.4550000000000001</v>
      </c>
      <c r="CM1243" s="1">
        <v>44454</v>
      </c>
      <c r="CN1243" s="1">
        <v>2.6724999999999999</v>
      </c>
    </row>
    <row r="1244" spans="31:98" x14ac:dyDescent="0.2">
      <c r="AE1244" s="1">
        <v>44454</v>
      </c>
      <c r="AF1244" s="1">
        <v>0.1</v>
      </c>
      <c r="AI1244" s="1">
        <v>44462</v>
      </c>
      <c r="AJ1244" s="1">
        <v>0.2984</v>
      </c>
      <c r="AK1244" s="1">
        <v>44462</v>
      </c>
      <c r="AL1244" s="1">
        <v>0.36499999999999999</v>
      </c>
      <c r="AM1244" s="1">
        <v>44462</v>
      </c>
      <c r="AN1244" s="1">
        <v>0.42499999999999999</v>
      </c>
      <c r="AO1244" s="1">
        <v>44462</v>
      </c>
      <c r="AP1244" s="1">
        <v>0.68500000000000005</v>
      </c>
      <c r="AQ1244" s="1">
        <v>44462</v>
      </c>
      <c r="AR1244" s="1">
        <v>0.95499999999999996</v>
      </c>
      <c r="AS1244" s="1">
        <v>44462</v>
      </c>
      <c r="AT1244" s="1">
        <v>1.1850000000000001</v>
      </c>
      <c r="AU1244" s="1">
        <v>44462</v>
      </c>
      <c r="AV1244" s="1">
        <v>1.385</v>
      </c>
      <c r="AW1244" s="1">
        <v>44462</v>
      </c>
      <c r="AX1244" s="1">
        <v>1.56</v>
      </c>
      <c r="AY1244" s="1">
        <v>44462</v>
      </c>
      <c r="AZ1244" s="1">
        <v>1.68</v>
      </c>
      <c r="BF1244" s="1">
        <v>44462</v>
      </c>
      <c r="BG1244" s="1">
        <v>1.55</v>
      </c>
      <c r="BH1244" s="1">
        <v>44462</v>
      </c>
      <c r="BI1244" s="1">
        <v>1.881</v>
      </c>
      <c r="BJ1244" s="1">
        <v>44462</v>
      </c>
      <c r="BK1244" s="1">
        <v>2.028</v>
      </c>
      <c r="BL1244" s="1">
        <v>44462</v>
      </c>
      <c r="BM1244" s="1">
        <v>2.508</v>
      </c>
      <c r="BN1244" s="1">
        <v>44461</v>
      </c>
      <c r="BO1244" s="1">
        <v>2.7149999999999999</v>
      </c>
      <c r="BP1244" s="1">
        <v>44462</v>
      </c>
      <c r="BQ1244" s="1">
        <v>2.7450000000000001</v>
      </c>
      <c r="BR1244" s="1">
        <v>44462</v>
      </c>
      <c r="BS1244" s="1">
        <v>2.7</v>
      </c>
      <c r="BT1244" s="1">
        <v>44462</v>
      </c>
      <c r="BU1244" s="1">
        <v>2.63</v>
      </c>
      <c r="BV1244" s="1">
        <v>44462</v>
      </c>
      <c r="BW1244" s="1">
        <v>2.5430000000000001</v>
      </c>
      <c r="CC1244" s="1">
        <v>44462</v>
      </c>
      <c r="CD1244" s="1">
        <v>1.9950000000000001</v>
      </c>
      <c r="CE1244" s="1">
        <v>44462</v>
      </c>
      <c r="CF1244" s="1">
        <v>1.9950000000000001</v>
      </c>
      <c r="CG1244" s="1">
        <v>44462</v>
      </c>
      <c r="CH1244" s="1">
        <v>2.145</v>
      </c>
      <c r="CI1244" s="1">
        <v>44462</v>
      </c>
      <c r="CJ1244" s="1">
        <v>2.3075000000000001</v>
      </c>
      <c r="CK1244" s="1">
        <v>44462</v>
      </c>
      <c r="CL1244" s="1">
        <v>2.4300000000000002</v>
      </c>
      <c r="CM1244" s="1">
        <v>44453</v>
      </c>
      <c r="CN1244" s="1">
        <v>2.4725000000000001</v>
      </c>
    </row>
    <row r="1245" spans="31:98" x14ac:dyDescent="0.2">
      <c r="AE1245" s="1">
        <v>44453</v>
      </c>
      <c r="AF1245" s="1">
        <v>0.1</v>
      </c>
      <c r="AI1245" s="1">
        <v>44461</v>
      </c>
      <c r="AJ1245" s="1">
        <v>0.27100000000000002</v>
      </c>
      <c r="AK1245" s="1">
        <v>44461</v>
      </c>
      <c r="AL1245" s="1">
        <v>0.36</v>
      </c>
      <c r="AM1245" s="1">
        <v>44461</v>
      </c>
      <c r="AN1245" s="1">
        <v>0.41499999999999998</v>
      </c>
      <c r="AO1245" s="1">
        <v>44461</v>
      </c>
      <c r="AP1245" s="1">
        <v>0.66</v>
      </c>
      <c r="AQ1245" s="1">
        <v>44461</v>
      </c>
      <c r="AR1245" s="1">
        <v>0.91500000000000004</v>
      </c>
      <c r="AS1245" s="1">
        <v>44461</v>
      </c>
      <c r="AT1245" s="1">
        <v>1.135</v>
      </c>
      <c r="AU1245" s="1">
        <v>44461</v>
      </c>
      <c r="AV1245" s="1">
        <v>1.32</v>
      </c>
      <c r="AW1245" s="1">
        <v>44461</v>
      </c>
      <c r="AX1245" s="1">
        <v>1.49</v>
      </c>
      <c r="AY1245" s="1">
        <v>44461</v>
      </c>
      <c r="AZ1245" s="1">
        <v>1.605</v>
      </c>
      <c r="BF1245" s="1">
        <v>44461</v>
      </c>
      <c r="BG1245" s="1">
        <v>1.52</v>
      </c>
      <c r="BH1245" s="1">
        <v>44461</v>
      </c>
      <c r="BI1245" s="1">
        <v>1.869</v>
      </c>
      <c r="BJ1245" s="1">
        <v>44461</v>
      </c>
      <c r="BK1245" s="1">
        <v>2.0030000000000001</v>
      </c>
      <c r="BL1245" s="1">
        <v>44461</v>
      </c>
      <c r="BM1245" s="1">
        <v>2.4500000000000002</v>
      </c>
      <c r="BN1245" s="1">
        <v>44460</v>
      </c>
      <c r="BO1245" s="1">
        <v>2.7050000000000001</v>
      </c>
      <c r="BP1245" s="1">
        <v>44461</v>
      </c>
      <c r="BQ1245" s="1">
        <v>2.73</v>
      </c>
      <c r="BR1245" s="1">
        <v>44461</v>
      </c>
      <c r="BS1245" s="1">
        <v>2.6829999999999998</v>
      </c>
      <c r="BT1245" s="1">
        <v>44461</v>
      </c>
      <c r="BU1245" s="1">
        <v>2.633</v>
      </c>
      <c r="BV1245" s="1">
        <v>44461</v>
      </c>
      <c r="BW1245" s="1">
        <v>2.5350000000000001</v>
      </c>
      <c r="CC1245" s="1">
        <v>44461</v>
      </c>
      <c r="CD1245" s="1">
        <v>1.8480000000000001</v>
      </c>
      <c r="CE1245" s="1">
        <v>44461</v>
      </c>
      <c r="CF1245" s="1">
        <v>1.95</v>
      </c>
      <c r="CG1245" s="1">
        <v>44461</v>
      </c>
      <c r="CH1245" s="1">
        <v>2.0950000000000002</v>
      </c>
      <c r="CI1245" s="1">
        <v>44461</v>
      </c>
      <c r="CJ1245" s="1">
        <v>2.2400000000000002</v>
      </c>
      <c r="CK1245" s="1">
        <v>44461</v>
      </c>
      <c r="CL1245" s="1">
        <v>2.39</v>
      </c>
    </row>
    <row r="1246" spans="31:98" x14ac:dyDescent="0.2">
      <c r="AI1246" s="1">
        <v>44460</v>
      </c>
      <c r="AJ1246" s="1">
        <v>0.29270000000000002</v>
      </c>
      <c r="AK1246" s="1">
        <v>44460</v>
      </c>
      <c r="AL1246" s="1">
        <v>0.36</v>
      </c>
      <c r="AM1246" s="1">
        <v>44460</v>
      </c>
      <c r="AN1246" s="1">
        <v>0.42</v>
      </c>
      <c r="AO1246" s="1">
        <v>44460</v>
      </c>
      <c r="AP1246" s="1">
        <v>0.64</v>
      </c>
      <c r="AQ1246" s="1">
        <v>44460</v>
      </c>
      <c r="AR1246" s="1">
        <v>0.89549999999999996</v>
      </c>
      <c r="AS1246" s="1">
        <v>44460</v>
      </c>
      <c r="AT1246" s="1">
        <v>1.135</v>
      </c>
      <c r="AU1246" s="1">
        <v>44460</v>
      </c>
      <c r="AV1246" s="1">
        <v>1.3149999999999999</v>
      </c>
      <c r="AW1246" s="1">
        <v>44460</v>
      </c>
      <c r="AX1246" s="1">
        <v>1.4850000000000001</v>
      </c>
      <c r="AY1246" s="1">
        <v>44460</v>
      </c>
      <c r="AZ1246" s="1">
        <v>1.6</v>
      </c>
      <c r="BF1246" s="1">
        <v>44460</v>
      </c>
      <c r="BG1246" s="1">
        <v>1.5149999999999999</v>
      </c>
      <c r="BH1246" s="1">
        <v>44460</v>
      </c>
      <c r="BI1246" s="1">
        <v>1.8340000000000001</v>
      </c>
      <c r="BJ1246" s="1">
        <v>44460</v>
      </c>
      <c r="BK1246" s="1">
        <v>1.9379999999999999</v>
      </c>
      <c r="BL1246" s="1">
        <v>44460</v>
      </c>
      <c r="BM1246" s="1">
        <v>2.4350000000000001</v>
      </c>
      <c r="BN1246" s="1">
        <v>44459</v>
      </c>
      <c r="BO1246" s="1">
        <v>2.68</v>
      </c>
      <c r="BP1246" s="1">
        <v>44460</v>
      </c>
      <c r="BQ1246" s="1">
        <v>2.73</v>
      </c>
      <c r="BR1246" s="1">
        <v>44460</v>
      </c>
      <c r="BS1246" s="1">
        <v>2.6880000000000002</v>
      </c>
      <c r="BT1246" s="1">
        <v>44460</v>
      </c>
      <c r="BU1246" s="1">
        <v>2.633</v>
      </c>
      <c r="BV1246" s="1">
        <v>44460</v>
      </c>
      <c r="BW1246" s="1">
        <v>2.5430000000000001</v>
      </c>
      <c r="CC1246" s="1">
        <v>44460</v>
      </c>
      <c r="CD1246" s="1">
        <v>1.8759999999999999</v>
      </c>
      <c r="CE1246" s="1">
        <v>44460</v>
      </c>
      <c r="CF1246" s="1">
        <v>1.9550000000000001</v>
      </c>
      <c r="CG1246" s="1">
        <v>44460</v>
      </c>
      <c r="CH1246" s="1">
        <v>2.0975000000000001</v>
      </c>
      <c r="CI1246" s="1">
        <v>44460</v>
      </c>
      <c r="CJ1246" s="1">
        <v>2.2725</v>
      </c>
      <c r="CK1246" s="1">
        <v>44460</v>
      </c>
      <c r="CL1246" s="1">
        <v>2.39</v>
      </c>
    </row>
    <row r="1247" spans="31:98" x14ac:dyDescent="0.2">
      <c r="AI1247" s="1">
        <v>44459</v>
      </c>
      <c r="AJ1247" s="1">
        <v>0.27400000000000002</v>
      </c>
      <c r="AK1247" s="1">
        <v>44459</v>
      </c>
      <c r="AL1247" s="1">
        <v>0.37</v>
      </c>
      <c r="AM1247" s="1">
        <v>44459</v>
      </c>
      <c r="AN1247" s="1">
        <v>0.435</v>
      </c>
      <c r="AO1247" s="1">
        <v>44459</v>
      </c>
      <c r="AP1247" s="1">
        <v>0.67</v>
      </c>
      <c r="AQ1247" s="1">
        <v>44459</v>
      </c>
      <c r="AR1247" s="1">
        <v>0.91500000000000004</v>
      </c>
      <c r="AS1247" s="1">
        <v>44459</v>
      </c>
      <c r="AT1247" s="1">
        <v>1.1525000000000001</v>
      </c>
      <c r="AU1247" s="1">
        <v>44459</v>
      </c>
      <c r="AV1247" s="1">
        <v>1.335</v>
      </c>
      <c r="AW1247" s="1">
        <v>44459</v>
      </c>
      <c r="AX1247" s="1">
        <v>1.4924999999999999</v>
      </c>
      <c r="AY1247" s="1">
        <v>44459</v>
      </c>
      <c r="AZ1247" s="1">
        <v>1.6025</v>
      </c>
      <c r="BF1247" s="1">
        <v>44459</v>
      </c>
      <c r="BG1247" s="1">
        <v>1.51</v>
      </c>
      <c r="BH1247" s="1">
        <v>44459</v>
      </c>
      <c r="BI1247" s="1">
        <v>1.7849999999999999</v>
      </c>
      <c r="BJ1247" s="1">
        <v>44459</v>
      </c>
      <c r="BK1247" s="1">
        <v>1.88</v>
      </c>
      <c r="BL1247" s="1">
        <v>44459</v>
      </c>
      <c r="BM1247" s="1">
        <v>2.42</v>
      </c>
      <c r="BN1247" s="1">
        <v>44456</v>
      </c>
      <c r="BO1247" s="1">
        <v>2.75</v>
      </c>
      <c r="BP1247" s="1">
        <v>44459</v>
      </c>
      <c r="BQ1247" s="1">
        <v>2.718</v>
      </c>
      <c r="BR1247" s="1">
        <v>44459</v>
      </c>
      <c r="BS1247" s="1">
        <v>2.6850000000000001</v>
      </c>
      <c r="BT1247" s="1">
        <v>44459</v>
      </c>
      <c r="BU1247" s="1">
        <v>2.63</v>
      </c>
      <c r="BV1247" s="1">
        <v>44459</v>
      </c>
      <c r="BW1247" s="1">
        <v>2.5449999999999999</v>
      </c>
      <c r="CC1247" s="1">
        <v>44459</v>
      </c>
      <c r="CD1247" s="1">
        <v>1.986</v>
      </c>
      <c r="CE1247" s="1">
        <v>44459</v>
      </c>
      <c r="CF1247" s="1">
        <v>2.25</v>
      </c>
      <c r="CG1247" s="1">
        <v>44459</v>
      </c>
      <c r="CH1247" s="1">
        <v>2.3374999999999999</v>
      </c>
      <c r="CI1247" s="1">
        <v>44459</v>
      </c>
      <c r="CJ1247" s="1">
        <v>2.4874999999999998</v>
      </c>
      <c r="CK1247" s="1">
        <v>44459</v>
      </c>
      <c r="CL1247" s="1">
        <v>2.59</v>
      </c>
    </row>
    <row r="1248" spans="31:98" x14ac:dyDescent="0.2">
      <c r="AI1248" s="1">
        <v>44456</v>
      </c>
      <c r="AJ1248" s="1">
        <v>0.27700000000000002</v>
      </c>
      <c r="AK1248" s="1">
        <v>44456</v>
      </c>
      <c r="AL1248" s="1">
        <v>0.38</v>
      </c>
      <c r="AM1248" s="1">
        <v>44456</v>
      </c>
      <c r="AN1248" s="1">
        <v>0.45</v>
      </c>
      <c r="AO1248" s="1">
        <v>44456</v>
      </c>
      <c r="AP1248" s="1">
        <v>0.745</v>
      </c>
      <c r="AQ1248" s="1">
        <v>44456</v>
      </c>
      <c r="AR1248" s="1">
        <v>1.01</v>
      </c>
      <c r="AS1248" s="1">
        <v>44456</v>
      </c>
      <c r="AT1248" s="1">
        <v>1.27</v>
      </c>
      <c r="AU1248" s="1">
        <v>44456</v>
      </c>
      <c r="AV1248" s="1">
        <v>1.4550000000000001</v>
      </c>
      <c r="AW1248" s="1">
        <v>44456</v>
      </c>
      <c r="AX1248" s="1">
        <v>1.615</v>
      </c>
      <c r="AY1248" s="1">
        <v>44456</v>
      </c>
      <c r="AZ1248" s="1">
        <v>1.73</v>
      </c>
      <c r="BF1248" s="1">
        <v>44456</v>
      </c>
      <c r="BG1248" s="1">
        <v>1.5149999999999999</v>
      </c>
      <c r="BH1248" s="1">
        <v>44456</v>
      </c>
      <c r="BI1248" s="1">
        <v>1.825</v>
      </c>
      <c r="BJ1248" s="1">
        <v>44456</v>
      </c>
      <c r="BK1248" s="1">
        <v>1.925</v>
      </c>
      <c r="BL1248" s="1">
        <v>44456</v>
      </c>
      <c r="BM1248" s="1">
        <v>2.4849999999999999</v>
      </c>
      <c r="BN1248" s="1">
        <v>44455</v>
      </c>
      <c r="BO1248" s="1">
        <v>2.7730000000000001</v>
      </c>
      <c r="BP1248" s="1">
        <v>44456</v>
      </c>
      <c r="BQ1248" s="1">
        <v>2.7829999999999999</v>
      </c>
      <c r="BR1248" s="1">
        <v>44456</v>
      </c>
      <c r="BS1248" s="1">
        <v>2.74</v>
      </c>
      <c r="BT1248" s="1">
        <v>44456</v>
      </c>
      <c r="BU1248" s="1">
        <v>2.6880000000000002</v>
      </c>
      <c r="BV1248" s="1">
        <v>44456</v>
      </c>
      <c r="BW1248" s="1">
        <v>2.5950000000000002</v>
      </c>
      <c r="CC1248" s="1">
        <v>44456</v>
      </c>
      <c r="CD1248" s="1">
        <v>1.909</v>
      </c>
      <c r="CE1248" s="1">
        <v>44456</v>
      </c>
      <c r="CF1248" s="1">
        <v>2.1875</v>
      </c>
      <c r="CG1248" s="1">
        <v>44456</v>
      </c>
      <c r="CH1248" s="1">
        <v>2.3250000000000002</v>
      </c>
      <c r="CI1248" s="1">
        <v>44456</v>
      </c>
      <c r="CJ1248" s="1">
        <v>2.48</v>
      </c>
      <c r="CK1248" s="1">
        <v>44456</v>
      </c>
      <c r="CL1248" s="1">
        <v>2.59</v>
      </c>
    </row>
    <row r="1249" spans="35:90" x14ac:dyDescent="0.2">
      <c r="AI1249" s="1">
        <v>44455</v>
      </c>
      <c r="AJ1249" s="1">
        <v>0.30499999999999999</v>
      </c>
      <c r="AK1249" s="1">
        <v>44455</v>
      </c>
      <c r="AL1249" s="1">
        <v>0.37</v>
      </c>
      <c r="AM1249" s="1">
        <v>44455</v>
      </c>
      <c r="AN1249" s="1">
        <v>0.43790000000000001</v>
      </c>
      <c r="AO1249" s="1">
        <v>44455</v>
      </c>
      <c r="AP1249" s="1">
        <v>0.72840000000000005</v>
      </c>
      <c r="AQ1249" s="1">
        <v>44455</v>
      </c>
      <c r="AR1249" s="1">
        <v>0.97950000000000004</v>
      </c>
      <c r="AS1249" s="1">
        <v>44455</v>
      </c>
      <c r="AT1249" s="1">
        <v>1.1850000000000001</v>
      </c>
      <c r="AU1249" s="1">
        <v>44455</v>
      </c>
      <c r="AV1249" s="1">
        <v>1.37</v>
      </c>
      <c r="AW1249" s="1">
        <v>44455</v>
      </c>
      <c r="AX1249" s="1">
        <v>1.54</v>
      </c>
      <c r="AY1249" s="1">
        <v>44455</v>
      </c>
      <c r="AZ1249" s="1">
        <v>1.66</v>
      </c>
      <c r="BF1249" s="1">
        <v>44455</v>
      </c>
      <c r="BG1249" s="1">
        <v>1.52</v>
      </c>
      <c r="BH1249" s="1">
        <v>44455</v>
      </c>
      <c r="BI1249" s="1">
        <v>1.833</v>
      </c>
      <c r="BJ1249" s="1">
        <v>44455</v>
      </c>
      <c r="BK1249" s="1">
        <v>1.9430000000000001</v>
      </c>
      <c r="BL1249" s="1">
        <v>44455</v>
      </c>
      <c r="BM1249" s="1">
        <v>2.528</v>
      </c>
      <c r="BN1249" s="1">
        <v>44454</v>
      </c>
      <c r="BO1249" s="1">
        <v>2.7949999999999999</v>
      </c>
      <c r="BP1249" s="1">
        <v>44455</v>
      </c>
      <c r="BQ1249" s="1">
        <v>2.798</v>
      </c>
      <c r="BR1249" s="1">
        <v>44455</v>
      </c>
      <c r="BS1249" s="1">
        <v>2.7549999999999999</v>
      </c>
      <c r="BT1249" s="1">
        <v>44455</v>
      </c>
      <c r="BU1249" s="1">
        <v>2.7</v>
      </c>
      <c r="BV1249" s="1">
        <v>44455</v>
      </c>
      <c r="BW1249" s="1">
        <v>2.6150000000000002</v>
      </c>
      <c r="CC1249" s="1">
        <v>44455</v>
      </c>
      <c r="CD1249" s="1">
        <v>1.8859999999999999</v>
      </c>
      <c r="CE1249" s="1">
        <v>44455</v>
      </c>
      <c r="CF1249" s="1">
        <v>2.1825000000000001</v>
      </c>
      <c r="CG1249" s="1">
        <v>44455</v>
      </c>
      <c r="CH1249" s="1">
        <v>2.3199999999999998</v>
      </c>
      <c r="CI1249" s="1">
        <v>44455</v>
      </c>
      <c r="CJ1249" s="1">
        <v>2.4775</v>
      </c>
      <c r="CK1249" s="1">
        <v>44455</v>
      </c>
      <c r="CL1249" s="1">
        <v>2.59</v>
      </c>
    </row>
    <row r="1250" spans="35:90" x14ac:dyDescent="0.2">
      <c r="AI1250" s="1">
        <v>44454</v>
      </c>
      <c r="AJ1250" s="1">
        <v>0.28760000000000002</v>
      </c>
      <c r="AK1250" s="1">
        <v>44454</v>
      </c>
      <c r="AL1250" s="1">
        <v>0.37</v>
      </c>
      <c r="AM1250" s="1">
        <v>44454</v>
      </c>
      <c r="AN1250" s="1">
        <v>0.41249999999999998</v>
      </c>
      <c r="AO1250" s="1">
        <v>44454</v>
      </c>
      <c r="AP1250" s="1">
        <v>0.65749999999999997</v>
      </c>
      <c r="AQ1250" s="1">
        <v>44454</v>
      </c>
      <c r="AR1250" s="1">
        <v>0.91</v>
      </c>
      <c r="AS1250" s="1">
        <v>44454</v>
      </c>
      <c r="AT1250" s="1">
        <v>1.1200000000000001</v>
      </c>
      <c r="AU1250" s="1">
        <v>44454</v>
      </c>
      <c r="AV1250" s="1">
        <v>1.2975000000000001</v>
      </c>
      <c r="AW1250" s="1">
        <v>44454</v>
      </c>
      <c r="AX1250" s="1">
        <v>1.4550000000000001</v>
      </c>
      <c r="AY1250" s="1">
        <v>44454</v>
      </c>
      <c r="AZ1250" s="1">
        <v>1.5649999999999999</v>
      </c>
      <c r="BF1250" s="1">
        <v>44454</v>
      </c>
      <c r="BG1250" s="1">
        <v>1.5029999999999999</v>
      </c>
      <c r="BH1250" s="1">
        <v>44454</v>
      </c>
      <c r="BI1250" s="1">
        <v>1.859</v>
      </c>
      <c r="BJ1250" s="1">
        <v>44454</v>
      </c>
      <c r="BK1250" s="1">
        <v>1.97</v>
      </c>
      <c r="BL1250" s="1">
        <v>44454</v>
      </c>
      <c r="BM1250" s="1">
        <v>2.5499999999999998</v>
      </c>
      <c r="BN1250" s="1">
        <v>44453</v>
      </c>
      <c r="BO1250" s="1">
        <v>2.74</v>
      </c>
      <c r="BP1250" s="1">
        <v>44454</v>
      </c>
      <c r="BQ1250" s="1">
        <v>2.84</v>
      </c>
      <c r="BR1250" s="1">
        <v>44454</v>
      </c>
      <c r="BS1250" s="1">
        <v>2.7949999999999999</v>
      </c>
      <c r="BT1250" s="1">
        <v>44454</v>
      </c>
      <c r="BU1250" s="1">
        <v>2.7450000000000001</v>
      </c>
      <c r="BV1250" s="1">
        <v>44454</v>
      </c>
      <c r="BW1250" s="1">
        <v>2.66</v>
      </c>
      <c r="CC1250" s="1">
        <v>44454</v>
      </c>
      <c r="CD1250" s="1">
        <v>1.8560000000000001</v>
      </c>
      <c r="CE1250" s="1">
        <v>44454</v>
      </c>
      <c r="CF1250" s="1">
        <v>2.09</v>
      </c>
      <c r="CG1250" s="1">
        <v>44454</v>
      </c>
      <c r="CH1250" s="1">
        <v>2.29</v>
      </c>
      <c r="CI1250" s="1">
        <v>44454</v>
      </c>
      <c r="CJ1250" s="1">
        <v>2.44</v>
      </c>
      <c r="CK1250" s="1">
        <v>44454</v>
      </c>
      <c r="CL1250" s="1">
        <v>2.5249999999999999</v>
      </c>
    </row>
    <row r="1251" spans="35:90" x14ac:dyDescent="0.2">
      <c r="AI1251" s="1">
        <v>44453</v>
      </c>
      <c r="AJ1251" s="1">
        <v>0.29099999999999998</v>
      </c>
      <c r="AK1251" s="1">
        <v>44453</v>
      </c>
      <c r="AL1251" s="1">
        <v>0.37</v>
      </c>
      <c r="AM1251" s="1">
        <v>44453</v>
      </c>
      <c r="AN1251" s="1">
        <v>0.42</v>
      </c>
      <c r="AO1251" s="1">
        <v>44453</v>
      </c>
      <c r="AP1251" s="1">
        <v>0.65749999999999997</v>
      </c>
      <c r="AQ1251" s="1">
        <v>44453</v>
      </c>
      <c r="AR1251" s="1">
        <v>0.89749999999999996</v>
      </c>
      <c r="AS1251" s="1">
        <v>44453</v>
      </c>
      <c r="AT1251" s="1">
        <v>1.1125</v>
      </c>
      <c r="AU1251" s="1">
        <v>44453</v>
      </c>
      <c r="AV1251" s="1">
        <v>1.29</v>
      </c>
      <c r="AW1251" s="1">
        <v>44453</v>
      </c>
      <c r="AX1251" s="1">
        <v>1.4424999999999999</v>
      </c>
      <c r="AY1251" s="1">
        <v>44453</v>
      </c>
      <c r="AZ1251" s="1">
        <v>1.5525</v>
      </c>
      <c r="BF1251" s="1">
        <v>44453</v>
      </c>
      <c r="BG1251" s="1">
        <v>1.5149999999999999</v>
      </c>
      <c r="BH1251" s="1">
        <v>44453</v>
      </c>
      <c r="BI1251" s="1">
        <v>1.8169999999999999</v>
      </c>
      <c r="BJ1251" s="1">
        <v>44453</v>
      </c>
      <c r="BK1251" s="1">
        <v>1.9450000000000001</v>
      </c>
      <c r="BL1251" s="1">
        <v>44453</v>
      </c>
      <c r="BM1251" s="1">
        <v>2.508</v>
      </c>
      <c r="BP1251" s="1">
        <v>44453</v>
      </c>
      <c r="BQ1251" s="1">
        <v>2.7850000000000001</v>
      </c>
      <c r="BR1251" s="1">
        <v>44453</v>
      </c>
      <c r="BS1251" s="1">
        <v>2.7549999999999999</v>
      </c>
      <c r="BT1251" s="1">
        <v>44453</v>
      </c>
      <c r="BU1251" s="1">
        <v>2.68</v>
      </c>
      <c r="BV1251" s="1">
        <v>44453</v>
      </c>
      <c r="BW1251" s="1">
        <v>2.625</v>
      </c>
      <c r="CC1251" s="1">
        <v>44453</v>
      </c>
      <c r="CD1251" s="1">
        <v>1.8340000000000001</v>
      </c>
      <c r="CE1251" s="1">
        <v>44453</v>
      </c>
      <c r="CF1251" s="1">
        <v>2.02</v>
      </c>
      <c r="CG1251" s="1">
        <v>44453</v>
      </c>
      <c r="CH1251" s="1">
        <v>2.1575000000000002</v>
      </c>
      <c r="CI1251" s="1">
        <v>44453</v>
      </c>
      <c r="CJ1251" s="1">
        <v>2.3025000000000002</v>
      </c>
      <c r="CK1251" s="1">
        <v>44453</v>
      </c>
      <c r="CL1251" s="1">
        <v>2.4350000000000001</v>
      </c>
    </row>
    <row r="1252" spans="35:90" x14ac:dyDescent="0.2">
      <c r="AI1252" s="1">
        <v>44452</v>
      </c>
      <c r="AJ1252" s="1">
        <v>0.26900000000000002</v>
      </c>
      <c r="AK1252" s="1">
        <v>44452</v>
      </c>
      <c r="AL1252" s="1">
        <v>0.37</v>
      </c>
      <c r="BF1252" s="1">
        <v>44452</v>
      </c>
      <c r="BG1252" s="1">
        <v>1.4850000000000001</v>
      </c>
      <c r="BH1252" s="1">
        <v>44452</v>
      </c>
      <c r="BI1252" s="1">
        <v>1.782</v>
      </c>
      <c r="CC1252" s="1">
        <v>44452</v>
      </c>
      <c r="CD1252" s="1">
        <v>1.8180000000000001</v>
      </c>
      <c r="CE1252" s="1">
        <v>44452</v>
      </c>
      <c r="CF1252" s="1">
        <v>2.0099999999999998</v>
      </c>
    </row>
    <row r="1253" spans="35:90" x14ac:dyDescent="0.2">
      <c r="AI1253" s="1">
        <v>44449</v>
      </c>
      <c r="AJ1253" s="1">
        <v>0.26</v>
      </c>
      <c r="AK1253" s="1">
        <v>44449</v>
      </c>
      <c r="AL1253" s="1">
        <v>0.37</v>
      </c>
      <c r="BF1253" s="1">
        <v>44449</v>
      </c>
      <c r="BG1253" s="1">
        <v>1.46</v>
      </c>
      <c r="BH1253" s="1">
        <v>44449</v>
      </c>
      <c r="BI1253" s="1">
        <v>1.7729999999999999</v>
      </c>
      <c r="CC1253" s="1">
        <v>44449</v>
      </c>
      <c r="CD1253" s="1">
        <v>1.798</v>
      </c>
      <c r="CE1253" s="1">
        <v>44449</v>
      </c>
      <c r="CF1253" s="1">
        <v>1.9950000000000001</v>
      </c>
    </row>
    <row r="1254" spans="35:90" x14ac:dyDescent="0.2">
      <c r="AI1254" s="1">
        <v>44448</v>
      </c>
      <c r="AJ1254" s="1">
        <v>0.2777</v>
      </c>
      <c r="AK1254" s="1">
        <v>44448</v>
      </c>
      <c r="AL1254" s="1">
        <v>0.34050000000000002</v>
      </c>
      <c r="BF1254" s="1">
        <v>44448</v>
      </c>
      <c r="BG1254" s="1">
        <v>1.4</v>
      </c>
      <c r="BH1254" s="1">
        <v>44448</v>
      </c>
      <c r="BI1254" s="1">
        <v>1.61</v>
      </c>
      <c r="CC1254" s="1">
        <v>44448</v>
      </c>
      <c r="CD1254" s="1">
        <v>1.82</v>
      </c>
      <c r="CE1254" s="1">
        <v>44448</v>
      </c>
      <c r="CF1254" s="1">
        <v>1.9950000000000001</v>
      </c>
    </row>
    <row r="1255" spans="35:90" x14ac:dyDescent="0.2">
      <c r="AI1255" s="1">
        <v>44447</v>
      </c>
      <c r="AJ1255" s="1">
        <v>0.28129999999999999</v>
      </c>
      <c r="AK1255" s="1">
        <v>44447</v>
      </c>
      <c r="AL1255" s="1">
        <v>0.39500000000000002</v>
      </c>
      <c r="BF1255" s="1">
        <v>44447</v>
      </c>
      <c r="BG1255" s="1">
        <v>1.38</v>
      </c>
      <c r="BH1255" s="1">
        <v>44447</v>
      </c>
      <c r="BI1255" s="1">
        <v>1.603</v>
      </c>
      <c r="CC1255" s="1">
        <v>44447</v>
      </c>
      <c r="CD1255" s="1">
        <v>1.835</v>
      </c>
      <c r="CE1255" s="1">
        <v>44447</v>
      </c>
      <c r="CF1255" s="1">
        <v>1.9850000000000001</v>
      </c>
    </row>
    <row r="1256" spans="35:90" x14ac:dyDescent="0.2">
      <c r="AI1256" s="1">
        <v>44446</v>
      </c>
      <c r="AJ1256" s="1">
        <v>0.29299999999999998</v>
      </c>
      <c r="AK1256" s="1">
        <v>44446</v>
      </c>
      <c r="AL1256" s="1">
        <v>0.39500000000000002</v>
      </c>
      <c r="BF1256" s="1">
        <v>44446</v>
      </c>
      <c r="BG1256" s="1">
        <v>1.37</v>
      </c>
      <c r="BH1256" s="1">
        <v>44446</v>
      </c>
      <c r="BI1256" s="1">
        <v>1.599</v>
      </c>
      <c r="CC1256" s="1">
        <v>44446</v>
      </c>
      <c r="CD1256" s="1">
        <v>1.835</v>
      </c>
      <c r="CE1256" s="1">
        <v>44446</v>
      </c>
      <c r="CF1256" s="1">
        <v>1.96</v>
      </c>
    </row>
    <row r="1257" spans="35:90" x14ac:dyDescent="0.2">
      <c r="AI1257" s="1">
        <v>44445</v>
      </c>
      <c r="AJ1257" s="1">
        <v>0.27939999999999998</v>
      </c>
      <c r="AK1257" s="1">
        <v>44445</v>
      </c>
      <c r="AL1257" s="1">
        <v>0.38250000000000001</v>
      </c>
      <c r="BF1257" s="1">
        <v>44445</v>
      </c>
      <c r="BG1257" s="1">
        <v>1.355</v>
      </c>
      <c r="BH1257" s="1">
        <v>44445</v>
      </c>
      <c r="BI1257" s="1">
        <v>1.4359999999999999</v>
      </c>
      <c r="CC1257" s="1">
        <v>44445</v>
      </c>
      <c r="CD1257" s="1">
        <v>1.8069999999999999</v>
      </c>
      <c r="CE1257" s="1">
        <v>44445</v>
      </c>
      <c r="CF1257" s="1">
        <v>1.96</v>
      </c>
    </row>
    <row r="1258" spans="35:90" x14ac:dyDescent="0.2">
      <c r="AI1258" s="1">
        <v>44442</v>
      </c>
      <c r="AJ1258" s="1">
        <v>0.28000000000000003</v>
      </c>
      <c r="AK1258" s="1">
        <v>44442</v>
      </c>
      <c r="AL1258" s="1">
        <v>0.4425</v>
      </c>
      <c r="BF1258" s="1">
        <v>44442</v>
      </c>
      <c r="BG1258" s="1">
        <v>1.35</v>
      </c>
      <c r="BH1258" s="1">
        <v>44442</v>
      </c>
      <c r="BI1258" s="1">
        <v>1.423</v>
      </c>
      <c r="CC1258" s="1">
        <v>44442</v>
      </c>
      <c r="CD1258" s="1">
        <v>1.8069999999999999</v>
      </c>
      <c r="CE1258" s="1">
        <v>44442</v>
      </c>
      <c r="CF1258" s="1">
        <v>1.96</v>
      </c>
    </row>
    <row r="1259" spans="35:90" x14ac:dyDescent="0.2">
      <c r="AI1259" s="1">
        <v>44441</v>
      </c>
      <c r="AJ1259" s="1">
        <v>0.28000000000000003</v>
      </c>
      <c r="AK1259" s="1">
        <v>44441</v>
      </c>
      <c r="AL1259" s="1">
        <v>0.433</v>
      </c>
      <c r="BF1259" s="1">
        <v>44441</v>
      </c>
      <c r="BG1259" s="1">
        <v>1.36</v>
      </c>
      <c r="BH1259" s="1">
        <v>44441</v>
      </c>
      <c r="BI1259" s="1">
        <v>1.4350000000000001</v>
      </c>
      <c r="CC1259" s="1">
        <v>44441</v>
      </c>
      <c r="CD1259" s="1">
        <v>1.8069999999999999</v>
      </c>
      <c r="CE1259" s="1">
        <v>44441</v>
      </c>
      <c r="CF1259" s="1">
        <v>1.96</v>
      </c>
    </row>
    <row r="1260" spans="35:90" x14ac:dyDescent="0.2">
      <c r="AI1260" s="1">
        <v>44440</v>
      </c>
      <c r="AJ1260" s="1">
        <v>0.2868</v>
      </c>
      <c r="AK1260" s="1">
        <v>44440</v>
      </c>
      <c r="AL1260" s="1">
        <v>0.36299999999999999</v>
      </c>
      <c r="BF1260" s="1">
        <v>44440</v>
      </c>
      <c r="BG1260" s="1">
        <v>1.1200000000000001</v>
      </c>
      <c r="BH1260" s="1">
        <v>44440</v>
      </c>
      <c r="BI1260" s="1">
        <v>1.399</v>
      </c>
      <c r="CC1260" s="1">
        <v>44440</v>
      </c>
      <c r="CD1260" s="1">
        <v>1.8080000000000001</v>
      </c>
      <c r="CE1260" s="1">
        <v>44440</v>
      </c>
      <c r="CF1260" s="1">
        <v>1.96</v>
      </c>
    </row>
  </sheetData>
  <pageMargins left="0.7" right="0.7" top="0.75" bottom="0.75" header="0.3" footer="0.3"/>
  <pageSetup paperSize="9" orientation="portrait" r:id="rId1"/>
  <headerFooter>
    <oddHeader>&amp;L&amp;"Arial"&amp;9&amp;K0078D7 INTERNAL&amp;1#_x000D_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  <pageSetup paperSize="9" orientation="portrait" verticalDpi="0" r:id="rId1"/>
  <headerFooter>
    <oddHeader>&amp;L&amp;"Arial"&amp;9&amp;K0078D7 INTERNAL&amp;1#_x000D_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  <headerFooter>
    <oddHeader>&amp;L&amp;"Arial"&amp;9&amp;K0078D7 INTERNAL&amp;1#_x000D_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  <headerFooter>
    <oddHeader>&amp;L&amp;"Arial"&amp;9&amp;K0078D7 INTERNAL&amp;1#_x000D_</oddHeader>
  </headerFooter>
</worksheet>
</file>

<file path=docMetadata/LabelInfo.xml><?xml version="1.0" encoding="utf-8"?>
<clbl:labelList xmlns:clbl="http://schemas.microsoft.com/office/2020/mipLabelMetadata">
  <clbl:label id="{840e60c6-cef6-4cc0-a98d-364c7249d74b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FRAs</vt:lpstr>
      <vt:lpstr>Sheet1</vt:lpstr>
      <vt:lpstr>Sheet2</vt:lpstr>
      <vt:lpstr>Sheet3</vt:lpstr>
    </vt:vector>
  </TitlesOfParts>
  <Company>Standard Chartered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Lester, Ethan</dc:creator>
  <cp:lastModifiedBy>Kanji, Hassan</cp:lastModifiedBy>
  <dcterms:created xsi:type="dcterms:W3CDTF">2012-01-06T04:53:55Z</dcterms:created>
  <dcterms:modified xsi:type="dcterms:W3CDTF">2026-06-26T14:39:45Z</dcterms:modified>
</cp:coreProperties>
</file>